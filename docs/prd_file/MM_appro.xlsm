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ime\Documents\MM_HYDRO\"/>
    </mc:Choice>
  </mc:AlternateContent>
  <xr:revisionPtr revIDLastSave="0" documentId="13_ncr:1_{5FD9679B-49E2-4357-B4F4-79E27BA33D4E}" xr6:coauthVersionLast="47" xr6:coauthVersionMax="47" xr10:uidLastSave="{00000000-0000-0000-0000-000000000000}"/>
  <bookViews>
    <workbookView xWindow="930" yWindow="3855" windowWidth="28800" windowHeight="15345" activeTab="4" xr2:uid="{EE3F9A92-EC5F-4ED6-B502-99BB1503CA73}"/>
  </bookViews>
  <sheets>
    <sheet name="tests" sheetId="1" r:id="rId1"/>
    <sheet name="plan" sheetId="4" r:id="rId2"/>
    <sheet name="essai-1" sheetId="6" r:id="rId3"/>
    <sheet name="cuivre_isolant" sheetId="5" r:id="rId4"/>
    <sheet name="HEX_appro" sheetId="8" r:id="rId5"/>
    <sheet name="à masquer" sheetId="7" state="hidden" r:id="rId6"/>
  </sheets>
  <definedNames>
    <definedName name="_xlnm._FilterDatabase" localSheetId="2" hidden="1">'essai-1'!$A$11:$J$19</definedName>
    <definedName name="_xlnm._FilterDatabase" localSheetId="4" hidden="1">HEX_appro!$A$11:$H$19</definedName>
    <definedName name="_xlnm.Print_Titles" localSheetId="2">'essai-1'!$A:$K,'essai-1'!$1:$9</definedName>
    <definedName name="_xlnm.Print_Titles" localSheetId="4">HEX_appro!$A:$H,HEX_appro!$1:$9</definedName>
    <definedName name="Valeur">tests!$F$62</definedName>
    <definedName name="Valeur_pression">tests!$F$62</definedName>
    <definedName name="_xlnm.Print_Area" localSheetId="2">'essai-1'!$A:$H</definedName>
    <definedName name="_xlnm.Print_Area" localSheetId="4">HEX_appro!$A:$F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3" i="5" l="1"/>
  <c r="AC70" i="5" l="1"/>
  <c r="AA70" i="5"/>
  <c r="Y70" i="5"/>
  <c r="W70" i="5"/>
  <c r="U70" i="5"/>
  <c r="S70" i="5"/>
  <c r="Q70" i="5"/>
  <c r="O70" i="5"/>
  <c r="M70" i="5"/>
  <c r="K70" i="5"/>
  <c r="I70" i="5"/>
  <c r="G70" i="5"/>
  <c r="E70" i="5"/>
  <c r="C70" i="5"/>
  <c r="AC69" i="5"/>
  <c r="AA69" i="5"/>
  <c r="Y69" i="5"/>
  <c r="W69" i="5"/>
  <c r="U69" i="5"/>
  <c r="S69" i="5"/>
  <c r="Q69" i="5"/>
  <c r="O69" i="5"/>
  <c r="M69" i="5"/>
  <c r="K69" i="5"/>
  <c r="I69" i="5"/>
  <c r="G69" i="5"/>
  <c r="E69" i="5"/>
  <c r="C69" i="5"/>
  <c r="AC67" i="5"/>
  <c r="AA67" i="5"/>
  <c r="Y67" i="5"/>
  <c r="W67" i="5"/>
  <c r="U67" i="5"/>
  <c r="S67" i="5"/>
  <c r="Q67" i="5"/>
  <c r="O67" i="5"/>
  <c r="M67" i="5"/>
  <c r="K67" i="5"/>
  <c r="I67" i="5"/>
  <c r="G67" i="5"/>
  <c r="E67" i="5"/>
  <c r="C67" i="5"/>
  <c r="AC66" i="5"/>
  <c r="AA66" i="5"/>
  <c r="Y66" i="5"/>
  <c r="W66" i="5"/>
  <c r="U66" i="5"/>
  <c r="S66" i="5"/>
  <c r="Q66" i="5"/>
  <c r="O66" i="5"/>
  <c r="M66" i="5"/>
  <c r="K66" i="5"/>
  <c r="I66" i="5"/>
  <c r="G66" i="5"/>
  <c r="E66" i="5"/>
  <c r="C66" i="5"/>
  <c r="AC42" i="5"/>
  <c r="AA42" i="5"/>
  <c r="Y42" i="5"/>
  <c r="W42" i="5"/>
  <c r="U42" i="5"/>
  <c r="S42" i="5"/>
  <c r="Q42" i="5"/>
  <c r="O42" i="5"/>
  <c r="M42" i="5"/>
  <c r="K42" i="5"/>
  <c r="I42" i="5"/>
  <c r="G42" i="5"/>
  <c r="E42" i="5"/>
  <c r="C42" i="5"/>
  <c r="AC41" i="5"/>
  <c r="AA41" i="5"/>
  <c r="Y41" i="5"/>
  <c r="W41" i="5"/>
  <c r="U41" i="5"/>
  <c r="S41" i="5"/>
  <c r="Q41" i="5"/>
  <c r="O41" i="5"/>
  <c r="M41" i="5"/>
  <c r="K41" i="5"/>
  <c r="I41" i="5"/>
  <c r="G41" i="5"/>
  <c r="E41" i="5"/>
  <c r="C41" i="5"/>
  <c r="AC39" i="5"/>
  <c r="AA39" i="5"/>
  <c r="Y39" i="5"/>
  <c r="W39" i="5"/>
  <c r="U39" i="5"/>
  <c r="S39" i="5"/>
  <c r="Q39" i="5"/>
  <c r="O39" i="5"/>
  <c r="M39" i="5"/>
  <c r="K39" i="5"/>
  <c r="I39" i="5"/>
  <c r="G39" i="5"/>
  <c r="E39" i="5"/>
  <c r="C39" i="5"/>
  <c r="AC38" i="5"/>
  <c r="AA38" i="5"/>
  <c r="Y38" i="5"/>
  <c r="W38" i="5"/>
  <c r="U38" i="5"/>
  <c r="S38" i="5"/>
  <c r="Q38" i="5"/>
  <c r="O38" i="5"/>
  <c r="M38" i="5"/>
  <c r="K38" i="5"/>
  <c r="I38" i="5"/>
  <c r="G38" i="5"/>
  <c r="E38" i="5"/>
  <c r="C38" i="5"/>
  <c r="K10" i="5"/>
  <c r="M10" i="5"/>
  <c r="G10" i="5"/>
  <c r="I10" i="5"/>
  <c r="E10" i="5"/>
  <c r="E14" i="5"/>
  <c r="G14" i="5"/>
  <c r="I14" i="5"/>
  <c r="K14" i="5"/>
  <c r="M14" i="5"/>
  <c r="O14" i="5"/>
  <c r="Q14" i="5"/>
  <c r="S14" i="5"/>
  <c r="U14" i="5"/>
  <c r="W14" i="5"/>
  <c r="Y14" i="5"/>
  <c r="AA14" i="5"/>
  <c r="AC14" i="5"/>
  <c r="C14" i="5"/>
  <c r="E13" i="5"/>
  <c r="G13" i="5"/>
  <c r="I13" i="5"/>
  <c r="M13" i="5"/>
  <c r="O13" i="5"/>
  <c r="Q13" i="5"/>
  <c r="S13" i="5"/>
  <c r="U13" i="5"/>
  <c r="W13" i="5"/>
  <c r="Y13" i="5"/>
  <c r="AA13" i="5"/>
  <c r="AC13" i="5"/>
  <c r="C13" i="5"/>
  <c r="W10" i="5"/>
  <c r="Y10" i="5"/>
  <c r="AA10" i="5"/>
  <c r="AC10" i="5"/>
  <c r="W11" i="5"/>
  <c r="Y11" i="5"/>
  <c r="AA11" i="5"/>
  <c r="AC11" i="5"/>
  <c r="U11" i="5"/>
  <c r="Q10" i="5"/>
  <c r="S10" i="5"/>
  <c r="U10" i="5"/>
  <c r="Q11" i="5"/>
  <c r="S11" i="5"/>
  <c r="O11" i="5"/>
  <c r="O10" i="5"/>
  <c r="E11" i="5"/>
  <c r="G11" i="5"/>
  <c r="I11" i="5"/>
  <c r="K11" i="5"/>
  <c r="M11" i="5"/>
  <c r="C11" i="5"/>
  <c r="C10" i="5" l="1"/>
  <c r="G91" i="5"/>
  <c r="G90" i="5" l="1"/>
  <c r="E79" i="5" l="1"/>
  <c r="G78" i="5"/>
  <c r="E78" i="5"/>
  <c r="M75" i="5"/>
  <c r="O74" i="5"/>
  <c r="M74" i="5"/>
  <c r="K74" i="5"/>
  <c r="I74" i="5"/>
  <c r="S73" i="5"/>
  <c r="Q73" i="5"/>
  <c r="O73" i="5"/>
  <c r="M73" i="5"/>
  <c r="K73" i="5"/>
  <c r="U72" i="5"/>
  <c r="S72" i="5"/>
  <c r="Q72" i="5"/>
  <c r="O72" i="5"/>
  <c r="M64" i="5"/>
  <c r="K64" i="5"/>
  <c r="I64" i="5"/>
  <c r="G64" i="5"/>
  <c r="E51" i="5" l="1"/>
  <c r="G50" i="5"/>
  <c r="E50" i="5"/>
  <c r="M47" i="5"/>
  <c r="O46" i="5"/>
  <c r="M46" i="5"/>
  <c r="K46" i="5"/>
  <c r="I46" i="5"/>
  <c r="S45" i="5"/>
  <c r="Q45" i="5"/>
  <c r="O45" i="5"/>
  <c r="M45" i="5"/>
  <c r="K45" i="5"/>
  <c r="U44" i="5"/>
  <c r="S44" i="5"/>
  <c r="Q44" i="5"/>
  <c r="O44" i="5"/>
  <c r="M36" i="5"/>
  <c r="K36" i="5"/>
  <c r="I36" i="5"/>
  <c r="G36" i="5"/>
  <c r="G47" i="1" a="1"/>
  <c r="G47" i="1" s="1"/>
  <c r="AH8" i="5"/>
  <c r="AI8" i="5" s="1"/>
  <c r="U16" i="5"/>
  <c r="S17" i="5"/>
  <c r="S16" i="5"/>
  <c r="Q17" i="5"/>
  <c r="Q16" i="5"/>
  <c r="O18" i="5"/>
  <c r="O17" i="5"/>
  <c r="O16" i="5"/>
  <c r="M19" i="5"/>
  <c r="M18" i="5"/>
  <c r="M17" i="5"/>
  <c r="K18" i="5"/>
  <c r="K17" i="5"/>
  <c r="I18" i="5"/>
  <c r="G22" i="5" l="1"/>
  <c r="E23" i="5"/>
  <c r="E22" i="5"/>
  <c r="H49" i="1" l="1"/>
  <c r="H50" i="1"/>
  <c r="H51" i="1"/>
  <c r="H52" i="1"/>
  <c r="H53" i="1"/>
  <c r="H54" i="1"/>
  <c r="H55" i="1"/>
  <c r="H48" i="1"/>
  <c r="H47" i="1"/>
  <c r="H33" i="1"/>
  <c r="M8" i="5" l="1"/>
  <c r="K8" i="5"/>
  <c r="I8" i="5"/>
  <c r="G8" i="5"/>
  <c r="N3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<sst xmlns="http://schemas.openxmlformats.org/spreadsheetml/2006/main" count="22191" uniqueCount="4575">
  <si>
    <t>rondelle</t>
  </si>
  <si>
    <t>liste fournisseur possibles</t>
  </si>
  <si>
    <t>code MCI</t>
  </si>
  <si>
    <t>fiche informations générales (methodes/habitudes) par themes</t>
  </si>
  <si>
    <t>accès magasinier &gt; mise à jour automatique via son logiciel</t>
  </si>
  <si>
    <t>qte mini/alerte &gt; code couleur</t>
  </si>
  <si>
    <t>diff NC et géré magasin?</t>
  </si>
  <si>
    <t>tuyauterie froid et isolation</t>
  </si>
  <si>
    <t>gaine</t>
  </si>
  <si>
    <t>&gt; pré remplissage par ratio usuel ?</t>
  </si>
  <si>
    <t>GM</t>
  </si>
  <si>
    <t>Vis placo</t>
  </si>
  <si>
    <t>Matériel à préparer pour le :</t>
  </si>
  <si>
    <t>Chargé d'affaire :</t>
  </si>
  <si>
    <t>Conducteur de travaux :</t>
  </si>
  <si>
    <t>Qte mag</t>
  </si>
  <si>
    <t>Désignation</t>
  </si>
  <si>
    <t>Qté dmdé</t>
  </si>
  <si>
    <t>Qte
 cmdé</t>
  </si>
  <si>
    <t>Qte alarm</t>
  </si>
  <si>
    <t>Qte mini</t>
  </si>
  <si>
    <t>3,5 x 35 mm</t>
  </si>
  <si>
    <t>3,5 x 45 mm</t>
  </si>
  <si>
    <t>Fournisseur</t>
  </si>
  <si>
    <t>Tout à l'unité, 1 rubber foot, 1 seule rondelle, mètre</t>
  </si>
  <si>
    <t>Vis</t>
  </si>
  <si>
    <t>Cheville</t>
  </si>
  <si>
    <t>Boulon</t>
  </si>
  <si>
    <t>Tige-filetée</t>
  </si>
  <si>
    <t>Goujon</t>
  </si>
  <si>
    <t>écrou</t>
  </si>
  <si>
    <t>Tire-fond</t>
  </si>
  <si>
    <t>Console</t>
  </si>
  <si>
    <t>usuel&gt;rare</t>
  </si>
  <si>
    <t>Modèle</t>
  </si>
  <si>
    <t>Spécification</t>
  </si>
  <si>
    <t>à masquer impression</t>
  </si>
  <si>
    <t>Rail</t>
  </si>
  <si>
    <t>Griffe/Crampon</t>
  </si>
  <si>
    <t>Collier</t>
  </si>
  <si>
    <t>Câble acier</t>
  </si>
  <si>
    <t>à ajouter :</t>
  </si>
  <si>
    <t>teflon std</t>
  </si>
  <si>
    <t>teflon gaz</t>
  </si>
  <si>
    <t>Legoueix - 89053</t>
  </si>
  <si>
    <t>Legoueix - 89051</t>
  </si>
  <si>
    <t>Divers</t>
  </si>
  <si>
    <t>Supportage</t>
  </si>
  <si>
    <t>Embouts matériel</t>
  </si>
  <si>
    <t>Brasure</t>
  </si>
  <si>
    <t>bombes/Cartouches</t>
  </si>
  <si>
    <t>tige filetée</t>
  </si>
  <si>
    <t>câble acier</t>
  </si>
  <si>
    <t>M6</t>
  </si>
  <si>
    <t>M8</t>
  </si>
  <si>
    <t>M10</t>
  </si>
  <si>
    <t>5m</t>
  </si>
  <si>
    <t>10m</t>
  </si>
  <si>
    <t>Ø32mm</t>
  </si>
  <si>
    <t>Ø40mm</t>
  </si>
  <si>
    <t>générique</t>
  </si>
  <si>
    <t>PVC Pression</t>
  </si>
  <si>
    <t xml:space="preserve">Consommables </t>
  </si>
  <si>
    <t>Isolation :</t>
  </si>
  <si>
    <t>&gt; avec Pression</t>
  </si>
  <si>
    <t>Fluide &amp; huiles</t>
  </si>
  <si>
    <t>3x4</t>
  </si>
  <si>
    <t>3x5</t>
  </si>
  <si>
    <t>Dijoncteur</t>
  </si>
  <si>
    <t>relais</t>
  </si>
  <si>
    <t>temporisation</t>
  </si>
  <si>
    <t>contacteur</t>
  </si>
  <si>
    <t>Différentiel</t>
  </si>
  <si>
    <t>Connecteur</t>
  </si>
  <si>
    <t xml:space="preserve">Chemin de dalle </t>
  </si>
  <si>
    <t>chemin de câble</t>
  </si>
  <si>
    <t>autres</t>
  </si>
  <si>
    <t>Elec-matériel</t>
  </si>
  <si>
    <t>Elec-consommables</t>
  </si>
  <si>
    <t>Colson/Colring</t>
  </si>
  <si>
    <t>Tube IRL</t>
  </si>
  <si>
    <t>Goulotte</t>
  </si>
  <si>
    <t>Fourreau</t>
  </si>
  <si>
    <t>Boite Plexo</t>
  </si>
  <si>
    <t>Borne</t>
  </si>
  <si>
    <t>Cosse</t>
  </si>
  <si>
    <t>connecteurs</t>
  </si>
  <si>
    <t>embout câblage</t>
  </si>
  <si>
    <t>Repère fil</t>
  </si>
  <si>
    <t>Presse-étoupe</t>
  </si>
  <si>
    <t>divers</t>
  </si>
  <si>
    <t>Elec-câbles</t>
  </si>
  <si>
    <t>R2V</t>
  </si>
  <si>
    <t>HO7 RNF</t>
  </si>
  <si>
    <t>AWG20 SYT1 9/10</t>
  </si>
  <si>
    <t>LIYCY</t>
  </si>
  <si>
    <t>Belden</t>
  </si>
  <si>
    <t>H05 VV-F</t>
  </si>
  <si>
    <t>YSL JZ</t>
  </si>
  <si>
    <t>H05-VK</t>
  </si>
  <si>
    <t>H07-VK</t>
  </si>
  <si>
    <t>LIYCY-JB</t>
  </si>
  <si>
    <t>gaine thermo</t>
  </si>
  <si>
    <t>RJ45</t>
  </si>
  <si>
    <t>collier poire</t>
  </si>
  <si>
    <t>support sol/mural</t>
  </si>
  <si>
    <t>Cu</t>
  </si>
  <si>
    <t>FROID-composants</t>
  </si>
  <si>
    <t>electrovanne</t>
  </si>
  <si>
    <t>filtre liquide</t>
  </si>
  <si>
    <t>écrou flare</t>
  </si>
  <si>
    <t>filtre à huile</t>
  </si>
  <si>
    <t>vanne P constant</t>
  </si>
  <si>
    <t>Détendeur</t>
  </si>
  <si>
    <t>Orifice détendeur</t>
  </si>
  <si>
    <t>voyant liquide</t>
  </si>
  <si>
    <t>corps de vanne</t>
  </si>
  <si>
    <t xml:space="preserve"> + element thermo (egal ext)</t>
  </si>
  <si>
    <t>Clapet anti-retour</t>
  </si>
  <si>
    <t>Vanne de barrage</t>
  </si>
  <si>
    <t>FROID-régulation mécanique</t>
  </si>
  <si>
    <t>Thermostat</t>
  </si>
  <si>
    <t>Pressostat</t>
  </si>
  <si>
    <t>Té manométrique</t>
  </si>
  <si>
    <t>Flexible</t>
  </si>
  <si>
    <t>FROID-régulation électrique</t>
  </si>
  <si>
    <t>Détendeur électrique</t>
  </si>
  <si>
    <t>Sonde</t>
  </si>
  <si>
    <t>Capteur</t>
  </si>
  <si>
    <t>FROID-Chambres froides</t>
  </si>
  <si>
    <t>Alarme personne enfermée</t>
  </si>
  <si>
    <t>Détection fluide</t>
  </si>
  <si>
    <t>Cordon chauffant</t>
  </si>
  <si>
    <t>déshydrateur/cartouche</t>
  </si>
  <si>
    <t>Vanne dégazage</t>
  </si>
  <si>
    <t>Schrader</t>
  </si>
  <si>
    <t>(autres Ø)</t>
  </si>
  <si>
    <t>PVC/écoulement</t>
  </si>
  <si>
    <t>Pompe</t>
  </si>
  <si>
    <t>Tuyau souple</t>
  </si>
  <si>
    <t>Raccord</t>
  </si>
  <si>
    <t>Gaine galva</t>
  </si>
  <si>
    <t>Flexible isolé</t>
  </si>
  <si>
    <t>Coude 90°</t>
  </si>
  <si>
    <t>Coude 45°</t>
  </si>
  <si>
    <t>Coude 30°</t>
  </si>
  <si>
    <t>Reduction M-M</t>
  </si>
  <si>
    <t>Té égal</t>
  </si>
  <si>
    <t>Té réduit</t>
  </si>
  <si>
    <t>Manchon M</t>
  </si>
  <si>
    <t>Manchon F</t>
  </si>
  <si>
    <t>Piquage express</t>
  </si>
  <si>
    <t>Piquage plat</t>
  </si>
  <si>
    <t>Sifflet grillagé</t>
  </si>
  <si>
    <t>Collier isolé</t>
  </si>
  <si>
    <t>AERAULIQUE - DIFFUSION/COMPOSANTS</t>
  </si>
  <si>
    <t>AERAULIQUE - GAINE</t>
  </si>
  <si>
    <t>Bouche</t>
  </si>
  <si>
    <t>Registre</t>
  </si>
  <si>
    <t>Rad</t>
  </si>
  <si>
    <t>Clapet coupe-feu</t>
  </si>
  <si>
    <t>Clim - couronne</t>
  </si>
  <si>
    <t>Tube</t>
  </si>
  <si>
    <t>Coude 45° F-F</t>
  </si>
  <si>
    <t>Coude 90° F-F</t>
  </si>
  <si>
    <t>Coude 90° M-F</t>
  </si>
  <si>
    <t>Coude 45° M-F</t>
  </si>
  <si>
    <t>Bouchon</t>
  </si>
  <si>
    <t>Manchon</t>
  </si>
  <si>
    <t>Manchon réduit F-F</t>
  </si>
  <si>
    <t>Manchon réduit M-F</t>
  </si>
  <si>
    <t>Région Nord</t>
  </si>
  <si>
    <t>ZAC de la Croix de Fer</t>
  </si>
  <si>
    <t>3 Allée du Nautilus</t>
  </si>
  <si>
    <t>80 440 - Glisy</t>
  </si>
  <si>
    <t>Tél  : 03 22 38 88 00</t>
  </si>
  <si>
    <t>21I521XXX</t>
  </si>
  <si>
    <t xml:space="preserve">NOM CHANTIER - Ville </t>
  </si>
  <si>
    <t xml:space="preserve">Adresse </t>
  </si>
  <si>
    <t>INTITULE TRAVAUX</t>
  </si>
  <si>
    <t>Qté
dmdé</t>
  </si>
  <si>
    <t>Qté 
mag</t>
  </si>
  <si>
    <t>Géré magasin</t>
  </si>
  <si>
    <t>vis placo</t>
  </si>
  <si>
    <t>parker noires 3,5x45</t>
  </si>
  <si>
    <t>parker noires 3,5x35</t>
  </si>
  <si>
    <t>vis à bois</t>
  </si>
  <si>
    <t>cruciforme 4x50</t>
  </si>
  <si>
    <t>cruciforme 5x60</t>
  </si>
  <si>
    <t>vis autoperçeuse carré</t>
  </si>
  <si>
    <t>4,2x16mm</t>
  </si>
  <si>
    <t>pour cheville plate</t>
  </si>
  <si>
    <t>Visserie</t>
  </si>
  <si>
    <t>Qté 
cmdé</t>
  </si>
  <si>
    <t>Marque</t>
  </si>
  <si>
    <t>Auteur :</t>
  </si>
  <si>
    <t>XXX</t>
  </si>
  <si>
    <t>JJ/MM/AAAA</t>
  </si>
  <si>
    <t>Code produit</t>
  </si>
  <si>
    <t>Technicien :</t>
  </si>
  <si>
    <t>Colisage</t>
  </si>
  <si>
    <t>BIZ 770 072</t>
  </si>
  <si>
    <t>Bizline</t>
  </si>
  <si>
    <t>SCPTC35045</t>
  </si>
  <si>
    <t>Legoueix</t>
  </si>
  <si>
    <t>BIZ 770 071</t>
  </si>
  <si>
    <t>SCPTC35035</t>
  </si>
  <si>
    <t>93402068</t>
  </si>
  <si>
    <t>93402108</t>
  </si>
  <si>
    <t>VIW23</t>
  </si>
  <si>
    <t>TREMOIS</t>
  </si>
  <si>
    <t>100</t>
  </si>
  <si>
    <t>1000</t>
  </si>
  <si>
    <t>200</t>
  </si>
  <si>
    <t>500</t>
  </si>
  <si>
    <t>vis autoperçeuse TH</t>
  </si>
  <si>
    <t>6,3x25mm TH</t>
  </si>
  <si>
    <t>94902137</t>
  </si>
  <si>
    <t>4,2x16mm blanche</t>
  </si>
  <si>
    <t>TCQW42016/DL</t>
  </si>
  <si>
    <t>tête hexagonale 10</t>
  </si>
  <si>
    <t>emprunte carrée</t>
  </si>
  <si>
    <t>250</t>
  </si>
  <si>
    <t>X</t>
  </si>
  <si>
    <t>cheville à frapper</t>
  </si>
  <si>
    <t>5 x 35mm</t>
  </si>
  <si>
    <t>SP050117</t>
  </si>
  <si>
    <t>6 x 50mm</t>
  </si>
  <si>
    <t>SP050121</t>
  </si>
  <si>
    <t>8 x 60mm</t>
  </si>
  <si>
    <t>SP050124</t>
  </si>
  <si>
    <t>15kg</t>
  </si>
  <si>
    <t>25kg</t>
  </si>
  <si>
    <t>45kg</t>
  </si>
  <si>
    <t>STOCK 
MINI</t>
  </si>
  <si>
    <t>STOCK
ALERTE</t>
  </si>
  <si>
    <t>10b</t>
  </si>
  <si>
    <t>5b</t>
  </si>
  <si>
    <t>7b</t>
  </si>
  <si>
    <t>2b</t>
  </si>
  <si>
    <t>4b</t>
  </si>
  <si>
    <t>6b</t>
  </si>
  <si>
    <t>1b</t>
  </si>
  <si>
    <t>boulon poelier</t>
  </si>
  <si>
    <t>TRL 6x60</t>
  </si>
  <si>
    <t>9 1052084</t>
  </si>
  <si>
    <t>TRL 6x30</t>
  </si>
  <si>
    <t>9 1052078</t>
  </si>
  <si>
    <t>tige-filetée</t>
  </si>
  <si>
    <t>manchon tige-filetée</t>
  </si>
  <si>
    <t>Goujon 8x70</t>
  </si>
  <si>
    <t>Goujon 8x95</t>
  </si>
  <si>
    <t>diamètre 6</t>
  </si>
  <si>
    <t>113603</t>
  </si>
  <si>
    <t>Mupro</t>
  </si>
  <si>
    <t>113248</t>
  </si>
  <si>
    <t>diamètre 8</t>
  </si>
  <si>
    <t>113651</t>
  </si>
  <si>
    <t>113639</t>
  </si>
  <si>
    <t>113259</t>
  </si>
  <si>
    <t>158035</t>
  </si>
  <si>
    <t>158050</t>
  </si>
  <si>
    <t>Ø 6mm</t>
  </si>
  <si>
    <t>1m - Ø 6mm</t>
  </si>
  <si>
    <t>2m - Ø 8mm</t>
  </si>
  <si>
    <t>1m - Ø 8mm</t>
  </si>
  <si>
    <t>100m</t>
  </si>
  <si>
    <t>50m</t>
  </si>
  <si>
    <t>TIG06ZI</t>
  </si>
  <si>
    <t>PRO206</t>
  </si>
  <si>
    <t>TIG08ZI-2</t>
  </si>
  <si>
    <t>TIG08ZI</t>
  </si>
  <si>
    <t>PRO208</t>
  </si>
  <si>
    <t xml:space="preserve">Ecrou </t>
  </si>
  <si>
    <t>écrou hexagonal</t>
  </si>
  <si>
    <t>92002060</t>
  </si>
  <si>
    <t>92002080</t>
  </si>
  <si>
    <t>92002100</t>
  </si>
  <si>
    <t>15b</t>
  </si>
  <si>
    <t>vis tête hexa TH</t>
  </si>
  <si>
    <t>6 x 30</t>
  </si>
  <si>
    <t>94412079</t>
  </si>
  <si>
    <t>6 x 60</t>
  </si>
  <si>
    <t>94412085</t>
  </si>
  <si>
    <t>8 x 30</t>
  </si>
  <si>
    <t>94412099</t>
  </si>
  <si>
    <t>8 x 60</t>
  </si>
  <si>
    <t>94412105</t>
  </si>
  <si>
    <t>8 X 80</t>
  </si>
  <si>
    <t>94412109</t>
  </si>
  <si>
    <t>10 x 40</t>
  </si>
  <si>
    <t>105590</t>
  </si>
  <si>
    <t>10 x 60</t>
  </si>
  <si>
    <t>105605</t>
  </si>
  <si>
    <t>3b</t>
  </si>
  <si>
    <t>Rondelle</t>
  </si>
  <si>
    <t>6 x 30 x 1,2</t>
  </si>
  <si>
    <t>92292032</t>
  </si>
  <si>
    <t>6 x 24 x 2</t>
  </si>
  <si>
    <t>127244</t>
  </si>
  <si>
    <t>8 x 30 x 2</t>
  </si>
  <si>
    <t>92322080</t>
  </si>
  <si>
    <t>8 x 36 x 2</t>
  </si>
  <si>
    <t>127214</t>
  </si>
  <si>
    <t>10 x 24 x 2</t>
  </si>
  <si>
    <t>127079</t>
  </si>
  <si>
    <t>10 x 36 x 2</t>
  </si>
  <si>
    <t>127121</t>
  </si>
  <si>
    <t>92322100</t>
  </si>
  <si>
    <t>extra large</t>
  </si>
  <si>
    <t>large</t>
  </si>
  <si>
    <t>tire-fond</t>
  </si>
  <si>
    <t>6 X 40</t>
  </si>
  <si>
    <t>105355</t>
  </si>
  <si>
    <t>8 X 55</t>
  </si>
  <si>
    <t>105396</t>
  </si>
  <si>
    <t>8 X 60</t>
  </si>
  <si>
    <t>93002107</t>
  </si>
  <si>
    <t>8 x 100</t>
  </si>
  <si>
    <t>cheville nylon</t>
  </si>
  <si>
    <t>7 51 6</t>
  </si>
  <si>
    <t>7 51 8</t>
  </si>
  <si>
    <t>diamètre 10</t>
  </si>
  <si>
    <t>7 51 10</t>
  </si>
  <si>
    <t>cheville plate</t>
  </si>
  <si>
    <t xml:space="preserve">plaque de platre 40mm  </t>
  </si>
  <si>
    <t>BIZ 10657</t>
  </si>
  <si>
    <t>cheville plate avec vis</t>
  </si>
  <si>
    <t xml:space="preserve">plaque de platre 13mm </t>
  </si>
  <si>
    <t>900211</t>
  </si>
  <si>
    <t>Sanelec</t>
  </si>
  <si>
    <t>900210</t>
  </si>
  <si>
    <t>BIZ 710 656</t>
  </si>
  <si>
    <t>cheville laiton</t>
  </si>
  <si>
    <t>79 1 6</t>
  </si>
  <si>
    <t>79 1 8</t>
  </si>
  <si>
    <t>79 1 10</t>
  </si>
  <si>
    <t>cheville à bascule</t>
  </si>
  <si>
    <t>44 102 6</t>
  </si>
  <si>
    <t>44 102 8</t>
  </si>
  <si>
    <t>cheville RAWL</t>
  </si>
  <si>
    <t>77 11 4</t>
  </si>
  <si>
    <t>77 11 5</t>
  </si>
  <si>
    <t>avec collerette pour vis D4</t>
  </si>
  <si>
    <t>avec collerette pour vis D6</t>
  </si>
  <si>
    <t>avec collerette pour vis D8</t>
  </si>
  <si>
    <t>30kg traction 60kg cisaill.</t>
  </si>
  <si>
    <t>vis 4x40</t>
  </si>
  <si>
    <t>percage 14</t>
  </si>
  <si>
    <t>percage 16</t>
  </si>
  <si>
    <t>50</t>
  </si>
  <si>
    <t>géré magasin</t>
  </si>
  <si>
    <t>NC</t>
  </si>
  <si>
    <t>CHE208</t>
  </si>
  <si>
    <t>CHE210</t>
  </si>
  <si>
    <t>console rail 28/30</t>
  </si>
  <si>
    <t>240mm</t>
  </si>
  <si>
    <t>118602</t>
  </si>
  <si>
    <t>400mm</t>
  </si>
  <si>
    <t>118771</t>
  </si>
  <si>
    <t>console rail 38/40</t>
  </si>
  <si>
    <t>160mm</t>
  </si>
  <si>
    <t>118518</t>
  </si>
  <si>
    <t>118604</t>
  </si>
  <si>
    <t>320mm</t>
  </si>
  <si>
    <t>118704</t>
  </si>
  <si>
    <t>118775</t>
  </si>
  <si>
    <t>480mm</t>
  </si>
  <si>
    <t>118849</t>
  </si>
  <si>
    <t>560mm</t>
  </si>
  <si>
    <t>118908</t>
  </si>
  <si>
    <t>640mm</t>
  </si>
  <si>
    <t>119006</t>
  </si>
  <si>
    <t>PAS D'EQUIV. FISCHER</t>
  </si>
  <si>
    <t>40142</t>
  </si>
  <si>
    <t>1</t>
  </si>
  <si>
    <t>10</t>
  </si>
  <si>
    <t>CON40LG36</t>
  </si>
  <si>
    <t>CON40LG45</t>
  </si>
  <si>
    <t>CON40LG52</t>
  </si>
  <si>
    <t>CON40LG60</t>
  </si>
  <si>
    <t>Rail d'installation</t>
  </si>
  <si>
    <t>rail d'installation</t>
  </si>
  <si>
    <t>bouchon rail</t>
  </si>
  <si>
    <t>38/24</t>
  </si>
  <si>
    <t>153256</t>
  </si>
  <si>
    <t>38/40</t>
  </si>
  <si>
    <t>129945</t>
  </si>
  <si>
    <t>129917</t>
  </si>
  <si>
    <t>40/60</t>
  </si>
  <si>
    <t>129965</t>
  </si>
  <si>
    <t>130020</t>
  </si>
  <si>
    <t>40x120</t>
  </si>
  <si>
    <t>129875</t>
  </si>
  <si>
    <t>28/30</t>
  </si>
  <si>
    <t>106002</t>
  </si>
  <si>
    <t>106006</t>
  </si>
  <si>
    <t>106008</t>
  </si>
  <si>
    <t>longueur 3m</t>
  </si>
  <si>
    <t>longueur 2m</t>
  </si>
  <si>
    <t>longueur 4m</t>
  </si>
  <si>
    <t>longueur 6m</t>
  </si>
  <si>
    <t>longueur 6,64m</t>
  </si>
  <si>
    <t>16m</t>
  </si>
  <si>
    <t>12m</t>
  </si>
  <si>
    <t>25</t>
  </si>
  <si>
    <t>80m</t>
  </si>
  <si>
    <t>éclisse rail d'install</t>
  </si>
  <si>
    <t>38/40 40/60</t>
  </si>
  <si>
    <t>120076</t>
  </si>
  <si>
    <t>79566</t>
  </si>
  <si>
    <t>79567</t>
  </si>
  <si>
    <t>48841</t>
  </si>
  <si>
    <t>79661</t>
  </si>
  <si>
    <t>Griffe / Crampon</t>
  </si>
  <si>
    <t>griffe à poutrelle</t>
  </si>
  <si>
    <t>130283</t>
  </si>
  <si>
    <t>130284</t>
  </si>
  <si>
    <t>crampon serre joint</t>
  </si>
  <si>
    <t>trou lisse pour M8</t>
  </si>
  <si>
    <t>130248</t>
  </si>
  <si>
    <t>trou lisse pour M10</t>
  </si>
  <si>
    <t>130251</t>
  </si>
  <si>
    <t>ETR3840</t>
  </si>
  <si>
    <t>CRAM08</t>
  </si>
  <si>
    <t>CRAM10</t>
  </si>
  <si>
    <t>20</t>
  </si>
  <si>
    <t>0-20mm</t>
  </si>
  <si>
    <t>ferragrip - 79412</t>
  </si>
  <si>
    <t>ferragrip - 49435</t>
  </si>
  <si>
    <t>0-18mm - 77605</t>
  </si>
  <si>
    <t>RAI4040</t>
  </si>
  <si>
    <t>RAI4060</t>
  </si>
  <si>
    <t>CAP3840</t>
  </si>
  <si>
    <t>21849</t>
  </si>
  <si>
    <t>PRO3840</t>
  </si>
  <si>
    <t>boulon rail</t>
  </si>
  <si>
    <t>115092</t>
  </si>
  <si>
    <t>écrou rail</t>
  </si>
  <si>
    <t>M8 - 28/30</t>
  </si>
  <si>
    <t>120043</t>
  </si>
  <si>
    <t>M6 - 28/30</t>
  </si>
  <si>
    <t>49480</t>
  </si>
  <si>
    <t>Fischer</t>
  </si>
  <si>
    <t>M6 - 40/60 38/40</t>
  </si>
  <si>
    <t>77667</t>
  </si>
  <si>
    <t>M8 - 40/60 38/40</t>
  </si>
  <si>
    <t>118040</t>
  </si>
  <si>
    <t>M10 - 40/60 38/40</t>
  </si>
  <si>
    <t>117968</t>
  </si>
  <si>
    <t>plaque de verrouillage</t>
  </si>
  <si>
    <t>28/30 M8</t>
  </si>
  <si>
    <t>114439</t>
  </si>
  <si>
    <t>38/40 M8</t>
  </si>
  <si>
    <t>114447</t>
  </si>
  <si>
    <t>40/60 M8</t>
  </si>
  <si>
    <t>114471</t>
  </si>
  <si>
    <t>platine U 27/18 28/30</t>
  </si>
  <si>
    <t>vertical</t>
  </si>
  <si>
    <t>129633</t>
  </si>
  <si>
    <t>horizontal</t>
  </si>
  <si>
    <t>129648</t>
  </si>
  <si>
    <t>platine U 38/40 40/60</t>
  </si>
  <si>
    <t>129649</t>
  </si>
  <si>
    <t>129638</t>
  </si>
  <si>
    <t>équerre 90°</t>
  </si>
  <si>
    <t>200 x 200 x 4</t>
  </si>
  <si>
    <t>113628</t>
  </si>
  <si>
    <t>équerre 27/18 28/30</t>
  </si>
  <si>
    <t>45°</t>
  </si>
  <si>
    <t>118753</t>
  </si>
  <si>
    <t>90°</t>
  </si>
  <si>
    <t>118797</t>
  </si>
  <si>
    <t>équerre 38/40 40/60</t>
  </si>
  <si>
    <t>118769</t>
  </si>
  <si>
    <t>118808</t>
  </si>
  <si>
    <t>BOUL3840</t>
  </si>
  <si>
    <t>ECRRAILM8</t>
  </si>
  <si>
    <t>ECRRAILM10</t>
  </si>
  <si>
    <t>PLA3840-M8</t>
  </si>
  <si>
    <t>SAB4040-TRA</t>
  </si>
  <si>
    <t>SAB4040-LON</t>
  </si>
  <si>
    <t>EQU200200</t>
  </si>
  <si>
    <t>EQU3845</t>
  </si>
  <si>
    <t>EQU3890</t>
  </si>
  <si>
    <t>30mm</t>
  </si>
  <si>
    <t>79595</t>
  </si>
  <si>
    <t>79600</t>
  </si>
  <si>
    <t>79650</t>
  </si>
  <si>
    <t>79651</t>
  </si>
  <si>
    <t>20946</t>
  </si>
  <si>
    <t>79585</t>
  </si>
  <si>
    <t>79410</t>
  </si>
  <si>
    <t>79586</t>
  </si>
  <si>
    <t>79570</t>
  </si>
  <si>
    <t>79656</t>
  </si>
  <si>
    <t>79655</t>
  </si>
  <si>
    <t>79658</t>
  </si>
  <si>
    <t>79657</t>
  </si>
  <si>
    <t xml:space="preserve">Collier </t>
  </si>
  <si>
    <t>collier à vis Hté T°</t>
  </si>
  <si>
    <t>14-20mm M8</t>
  </si>
  <si>
    <t>20-26mm M8</t>
  </si>
  <si>
    <t>26-30mm M8</t>
  </si>
  <si>
    <t>32-38mm M8</t>
  </si>
  <si>
    <t>40-46mm M8</t>
  </si>
  <si>
    <t>48-54mm M8</t>
  </si>
  <si>
    <t>54-60mm M8</t>
  </si>
  <si>
    <t>60-66mm M8</t>
  </si>
  <si>
    <t>68-73mm M8</t>
  </si>
  <si>
    <t>72-80mm M8</t>
  </si>
  <si>
    <t>82-86mm M8</t>
  </si>
  <si>
    <t>88-92mm M8</t>
  </si>
  <si>
    <t>99-103mm M8</t>
  </si>
  <si>
    <t>118641</t>
  </si>
  <si>
    <t>108-112mm M8</t>
  </si>
  <si>
    <t>118645</t>
  </si>
  <si>
    <t>7/8</t>
  </si>
  <si>
    <t>1 1/8</t>
  </si>
  <si>
    <t>1 3/8</t>
  </si>
  <si>
    <t>1 5/8</t>
  </si>
  <si>
    <t>2 1/8</t>
  </si>
  <si>
    <t>2 5/8</t>
  </si>
  <si>
    <t>3 1/8</t>
  </si>
  <si>
    <t>5/8 - 3/4 - 150kg</t>
  </si>
  <si>
    <t>7/8 - 150kg</t>
  </si>
  <si>
    <t>1 1/8 - 150kg</t>
  </si>
  <si>
    <t>1 3/8 - 150kg</t>
  </si>
  <si>
    <t>1 5/8 - 150kg</t>
  </si>
  <si>
    <t>2 1/8 - 150kg</t>
  </si>
  <si>
    <t>3 1/8 - 150kg</t>
  </si>
  <si>
    <t>2 5/8 - 150kg</t>
  </si>
  <si>
    <t xml:space="preserve"> 150kg</t>
  </si>
  <si>
    <t>316kg</t>
  </si>
  <si>
    <t>3,625 - 316kg</t>
  </si>
  <si>
    <t>4,125 - 316kg</t>
  </si>
  <si>
    <t>COL34</t>
  </si>
  <si>
    <t>COL78</t>
  </si>
  <si>
    <t>COL118</t>
  </si>
  <si>
    <t>COL138</t>
  </si>
  <si>
    <t>COL158</t>
  </si>
  <si>
    <t>COL218</t>
  </si>
  <si>
    <t>COL258</t>
  </si>
  <si>
    <t>COL318</t>
  </si>
  <si>
    <t>COL358</t>
  </si>
  <si>
    <t>COL418</t>
  </si>
  <si>
    <t xml:space="preserve"> feuillard type hilti </t>
  </si>
  <si>
    <t>-</t>
  </si>
  <si>
    <t>profilé de montage</t>
  </si>
  <si>
    <t>Stabofix à cintrer</t>
  </si>
  <si>
    <t>129076</t>
  </si>
  <si>
    <t>Gripple</t>
  </si>
  <si>
    <t>n°1 0-10kg FR</t>
  </si>
  <si>
    <t>HF110FR</t>
  </si>
  <si>
    <t>HF15FR</t>
  </si>
  <si>
    <t>n°2 10-45kg FR</t>
  </si>
  <si>
    <t>HF210FR</t>
  </si>
  <si>
    <t>HF25FR</t>
  </si>
  <si>
    <t>n°3 45-90kg FR</t>
  </si>
  <si>
    <t>HF310FR</t>
  </si>
  <si>
    <t>HF35FR</t>
  </si>
  <si>
    <t>n°4 90-225kg FR</t>
  </si>
  <si>
    <t>HF410FR</t>
  </si>
  <si>
    <t>HF45FR</t>
  </si>
  <si>
    <t>diam. 1,5mm 35kg</t>
  </si>
  <si>
    <t>BIZ 710 360</t>
  </si>
  <si>
    <t>BIZ 710 363</t>
  </si>
  <si>
    <t>diam. 2,5mm 70kg</t>
  </si>
  <si>
    <t>BIZ 710 361</t>
  </si>
  <si>
    <t>ou autre marque</t>
  </si>
  <si>
    <t>BIZ 710 364</t>
  </si>
  <si>
    <t>BIZ 710 365</t>
  </si>
  <si>
    <t>BIZ 710 366</t>
  </si>
  <si>
    <t>Wfix suspente rapid.</t>
  </si>
  <si>
    <t>attache type 1</t>
  </si>
  <si>
    <t>972 600 050</t>
  </si>
  <si>
    <t>Würth</t>
  </si>
  <si>
    <t>15-70kg (câble 2,5mm)</t>
  </si>
  <si>
    <t>Wfix</t>
  </si>
  <si>
    <t xml:space="preserve">câble </t>
  </si>
  <si>
    <t>972 600 056</t>
  </si>
  <si>
    <t>2,5mm 184 kg</t>
  </si>
  <si>
    <t>attache type 3</t>
  </si>
  <si>
    <t>972 600 052</t>
  </si>
  <si>
    <t>25-300kg (câble 5mm)</t>
  </si>
  <si>
    <t>972 600 058</t>
  </si>
  <si>
    <t>5mm 840 kg</t>
  </si>
  <si>
    <t>trou Ø 8,5mm</t>
  </si>
  <si>
    <t>trou Ø 6,5mm</t>
  </si>
  <si>
    <t>boucle 1m</t>
  </si>
  <si>
    <t>boucle 5m</t>
  </si>
  <si>
    <t>boucle 10m</t>
  </si>
  <si>
    <t>70m</t>
  </si>
  <si>
    <t>150m</t>
  </si>
  <si>
    <t>152m</t>
  </si>
  <si>
    <t>76m</t>
  </si>
  <si>
    <t>verrou de susp.</t>
  </si>
  <si>
    <t>câble 1,5 &amp; 2,5mm</t>
  </si>
  <si>
    <t>FEU001</t>
  </si>
  <si>
    <t>CHETUBE</t>
  </si>
  <si>
    <t>tige filetée nylon</t>
  </si>
  <si>
    <t>rondelle + écrous nylon</t>
  </si>
  <si>
    <t>panneau "Styrodur"</t>
  </si>
  <si>
    <t>épaisseur 47mm</t>
  </si>
  <si>
    <t>dalle gravillonnée</t>
  </si>
  <si>
    <t>40x40</t>
  </si>
  <si>
    <t>TIG06NY</t>
  </si>
  <si>
    <t>PLAQ-STY</t>
  </si>
  <si>
    <t>DAL-GRA</t>
  </si>
  <si>
    <t>TMS MF</t>
  </si>
  <si>
    <t>EFISOL</t>
  </si>
  <si>
    <t>1,2x1m usage extérieur</t>
  </si>
  <si>
    <t>Point P</t>
  </si>
  <si>
    <t>béton</t>
  </si>
  <si>
    <t>Embout matériel</t>
  </si>
  <si>
    <t>foret à béton SDS</t>
  </si>
  <si>
    <t>diamètre 14</t>
  </si>
  <si>
    <t>6714150</t>
  </si>
  <si>
    <t>150mm</t>
  </si>
  <si>
    <t>6710150</t>
  </si>
  <si>
    <t>678100</t>
  </si>
  <si>
    <t>100mm</t>
  </si>
  <si>
    <t>diamètre 5</t>
  </si>
  <si>
    <t>foret à métal HSS</t>
  </si>
  <si>
    <t>diamètre 16</t>
  </si>
  <si>
    <t>105160</t>
  </si>
  <si>
    <t>équeté 12mm</t>
  </si>
  <si>
    <t>diamètre 20</t>
  </si>
  <si>
    <t>105200</t>
  </si>
  <si>
    <t>diamètre 12</t>
  </si>
  <si>
    <t>10112</t>
  </si>
  <si>
    <t>diamètre 9</t>
  </si>
  <si>
    <t>1019</t>
  </si>
  <si>
    <t>diamètre 7</t>
  </si>
  <si>
    <t>1017</t>
  </si>
  <si>
    <t>1015</t>
  </si>
  <si>
    <t>disque à tronçonneuse</t>
  </si>
  <si>
    <t>diam 125 x 1,6</t>
  </si>
  <si>
    <t>55 5 125</t>
  </si>
  <si>
    <t>diam 230 x 1,6</t>
  </si>
  <si>
    <t>55 5 230</t>
  </si>
  <si>
    <t>acier / inox</t>
  </si>
  <si>
    <t>scie cloche bi-métal</t>
  </si>
  <si>
    <t>diam 32</t>
  </si>
  <si>
    <t>53432</t>
  </si>
  <si>
    <t>diam 40</t>
  </si>
  <si>
    <t>53440</t>
  </si>
  <si>
    <t>diam 127</t>
  </si>
  <si>
    <t>534127</t>
  </si>
  <si>
    <t>diam. 46</t>
  </si>
  <si>
    <t>53446</t>
  </si>
  <si>
    <t>diam. 67</t>
  </si>
  <si>
    <t>53467</t>
  </si>
  <si>
    <t>diam. 83</t>
  </si>
  <si>
    <t>53482</t>
  </si>
  <si>
    <t>diam. 105</t>
  </si>
  <si>
    <t>534105</t>
  </si>
  <si>
    <t>diam. 127</t>
  </si>
  <si>
    <t>support scie cloche</t>
  </si>
  <si>
    <t>diam. 32 à 152</t>
  </si>
  <si>
    <t>5322</t>
  </si>
  <si>
    <t>foret guide scie cloche</t>
  </si>
  <si>
    <t>5325</t>
  </si>
  <si>
    <t>lame scie sabre</t>
  </si>
  <si>
    <t>S 936 CHF</t>
  </si>
  <si>
    <t>Bosch</t>
  </si>
  <si>
    <t>711932 Legoueix</t>
  </si>
  <si>
    <t>pate loctite tubetanche</t>
  </si>
  <si>
    <t>50ml</t>
  </si>
  <si>
    <t>234560</t>
  </si>
  <si>
    <t>S 1136 CHF</t>
  </si>
  <si>
    <t>71192 Legoueix</t>
  </si>
  <si>
    <t>acier - par 10 minimum</t>
  </si>
  <si>
    <t>5</t>
  </si>
  <si>
    <t>U</t>
  </si>
  <si>
    <t>3</t>
  </si>
  <si>
    <t>brasure</t>
  </si>
  <si>
    <t>5% diamètre 2</t>
  </si>
  <si>
    <t>105B</t>
  </si>
  <si>
    <t>Alliage Ind.</t>
  </si>
  <si>
    <t>sans cadnium étui 5kg</t>
  </si>
  <si>
    <t>5% diamètre 3</t>
  </si>
  <si>
    <t>brasure (la baguette)</t>
  </si>
  <si>
    <t>sans cadnium</t>
  </si>
  <si>
    <t>enrobée 40% diam. 2</t>
  </si>
  <si>
    <t>540Sn ES</t>
  </si>
  <si>
    <t>sans cadnium étui 2,5kg</t>
  </si>
  <si>
    <t>15% diamètre 2</t>
  </si>
  <si>
    <t>115B</t>
  </si>
  <si>
    <t>115B200L500E5</t>
  </si>
  <si>
    <t>15% diamètre 3</t>
  </si>
  <si>
    <t>115B300L500E5</t>
  </si>
  <si>
    <t>Oxygène</t>
  </si>
  <si>
    <t>Pratic-Gaz</t>
  </si>
  <si>
    <t>M20</t>
  </si>
  <si>
    <t>Air Liquide</t>
  </si>
  <si>
    <t>grande bouteille</t>
  </si>
  <si>
    <t>L50</t>
  </si>
  <si>
    <t>Acéthylène</t>
  </si>
  <si>
    <t>Azote</t>
  </si>
  <si>
    <t>polyuréthane</t>
  </si>
  <si>
    <t>bombe</t>
  </si>
  <si>
    <t>coupe feu</t>
  </si>
  <si>
    <t>8 613 2</t>
  </si>
  <si>
    <t>bombe 750ml</t>
  </si>
  <si>
    <t>silicone</t>
  </si>
  <si>
    <t>transparant</t>
  </si>
  <si>
    <t>cartouche</t>
  </si>
  <si>
    <t>blanc</t>
  </si>
  <si>
    <t>toile émeri</t>
  </si>
  <si>
    <t>rouleau</t>
  </si>
  <si>
    <t>Legrand</t>
  </si>
  <si>
    <t>BIZ 740 002</t>
  </si>
  <si>
    <t>Prestobul</t>
  </si>
  <si>
    <t>recherche fuite</t>
  </si>
  <si>
    <t xml:space="preserve">bombe peinture </t>
  </si>
  <si>
    <t>galvanisée anti-rouille</t>
  </si>
  <si>
    <t>83711</t>
  </si>
  <si>
    <t>traceur chantier Divers</t>
  </si>
  <si>
    <t>Jaune Fluos</t>
  </si>
  <si>
    <t>BIZ 740 103</t>
  </si>
  <si>
    <t>traceur chantier Elec.</t>
  </si>
  <si>
    <t>Orange Fluos</t>
  </si>
  <si>
    <t>BIZ 740 104</t>
  </si>
  <si>
    <t>traceur chantier Plafond</t>
  </si>
  <si>
    <t>Cerise Fluos</t>
  </si>
  <si>
    <t>BIZ 740 100</t>
  </si>
  <si>
    <t>spécial Plafond</t>
  </si>
  <si>
    <t>pinceau</t>
  </si>
  <si>
    <t>largeur 40mm</t>
  </si>
  <si>
    <t>867740</t>
  </si>
  <si>
    <t>bande de signalisation</t>
  </si>
  <si>
    <t>Rubalis</t>
  </si>
  <si>
    <t>8501</t>
  </si>
  <si>
    <t>rouleau essuis-tout</t>
  </si>
  <si>
    <t>86282</t>
  </si>
  <si>
    <t>polyane</t>
  </si>
  <si>
    <t>15/100 3m x 25m</t>
  </si>
  <si>
    <t>8391</t>
  </si>
  <si>
    <t>tube PVC gris</t>
  </si>
  <si>
    <t>160 mm</t>
  </si>
  <si>
    <t>64774</t>
  </si>
  <si>
    <t>PUM</t>
  </si>
  <si>
    <t>4m</t>
  </si>
  <si>
    <t>140 mm</t>
  </si>
  <si>
    <t>64773</t>
  </si>
  <si>
    <t>125 mm</t>
  </si>
  <si>
    <t>64772</t>
  </si>
  <si>
    <t>100 mm</t>
  </si>
  <si>
    <t>64770</t>
  </si>
  <si>
    <t>80 mm</t>
  </si>
  <si>
    <t>64769</t>
  </si>
  <si>
    <t>63 mm</t>
  </si>
  <si>
    <t>64767</t>
  </si>
  <si>
    <t>50 mm</t>
  </si>
  <si>
    <t>64766</t>
  </si>
  <si>
    <t>40 mm</t>
  </si>
  <si>
    <t>64765</t>
  </si>
  <si>
    <t>tube PVC blanc</t>
  </si>
  <si>
    <t>52469</t>
  </si>
  <si>
    <t>32 mm</t>
  </si>
  <si>
    <t>64764</t>
  </si>
  <si>
    <t>Colle PVC Griffon</t>
  </si>
  <si>
    <t>250ml</t>
  </si>
  <si>
    <t>T88</t>
  </si>
  <si>
    <t>AQUACHAUD</t>
  </si>
  <si>
    <t>avec pinceau</t>
  </si>
  <si>
    <t>collier PVC</t>
  </si>
  <si>
    <t>40mm</t>
  </si>
  <si>
    <t>49835</t>
  </si>
  <si>
    <t>GRIS</t>
  </si>
  <si>
    <t>collier noir D40</t>
  </si>
  <si>
    <t>ASP-3410</t>
  </si>
  <si>
    <t>linum</t>
  </si>
  <si>
    <t>culotte simple</t>
  </si>
  <si>
    <t>80</t>
  </si>
  <si>
    <t xml:space="preserve"> Té pied de biche </t>
  </si>
  <si>
    <t>40mm   F-F</t>
  </si>
  <si>
    <t>1890</t>
  </si>
  <si>
    <t xml:space="preserve">coude PVC 87°31 </t>
  </si>
  <si>
    <t>1618</t>
  </si>
  <si>
    <t>coude PVC 87°31</t>
  </si>
  <si>
    <t>40mm   M-F</t>
  </si>
  <si>
    <t>477</t>
  </si>
  <si>
    <t>coude PVC 45°</t>
  </si>
  <si>
    <t>1592</t>
  </si>
  <si>
    <t>447</t>
  </si>
  <si>
    <t>réduction 40 x 32</t>
  </si>
  <si>
    <t>1446</t>
  </si>
  <si>
    <t>tampon de sol double</t>
  </si>
  <si>
    <t>110/40/40  TT40</t>
  </si>
  <si>
    <t>1530</t>
  </si>
  <si>
    <t>100/40/40  TT40</t>
  </si>
  <si>
    <t>1525</t>
  </si>
  <si>
    <t>93/40/40  TT40</t>
  </si>
  <si>
    <t>10237</t>
  </si>
  <si>
    <t>tampon de sol simple</t>
  </si>
  <si>
    <t>93 x 40mm</t>
  </si>
  <si>
    <t>35445</t>
  </si>
  <si>
    <t>bouchon PVC</t>
  </si>
  <si>
    <t>1553</t>
  </si>
  <si>
    <t>manchon PVC</t>
  </si>
  <si>
    <t>40mm F-F</t>
  </si>
  <si>
    <t>1836</t>
  </si>
  <si>
    <t>clapet anti-retour</t>
  </si>
  <si>
    <t>9205</t>
  </si>
  <si>
    <t>siphon droit horizontal</t>
  </si>
  <si>
    <t>40mm GRIS</t>
  </si>
  <si>
    <t>6835</t>
  </si>
  <si>
    <t xml:space="preserve">siphon </t>
  </si>
  <si>
    <t>machine à laver</t>
  </si>
  <si>
    <t>6843</t>
  </si>
  <si>
    <t>manchette souple</t>
  </si>
  <si>
    <t>réduction élastomère</t>
  </si>
  <si>
    <t>40mm x 12à30mm</t>
  </si>
  <si>
    <t>51477</t>
  </si>
  <si>
    <t>BLANC</t>
  </si>
  <si>
    <t xml:space="preserve">pied de biche </t>
  </si>
  <si>
    <t>51473</t>
  </si>
  <si>
    <t>51471</t>
  </si>
  <si>
    <t>51472</t>
  </si>
  <si>
    <t>51469</t>
  </si>
  <si>
    <t>51470</t>
  </si>
  <si>
    <t>51475</t>
  </si>
  <si>
    <t>51474</t>
  </si>
  <si>
    <t>base de siphon</t>
  </si>
  <si>
    <t>40mm BLANC</t>
  </si>
  <si>
    <t>32mm</t>
  </si>
  <si>
    <t>49834</t>
  </si>
  <si>
    <t>collier noir D32</t>
  </si>
  <si>
    <t>ASP-3408</t>
  </si>
  <si>
    <t>Linum</t>
  </si>
  <si>
    <t xml:space="preserve">Té pied de biche </t>
  </si>
  <si>
    <t>32mm   F-F</t>
  </si>
  <si>
    <t>1889</t>
  </si>
  <si>
    <t>1617</t>
  </si>
  <si>
    <t>32mm   M-F</t>
  </si>
  <si>
    <t>475</t>
  </si>
  <si>
    <t>1591</t>
  </si>
  <si>
    <t>446</t>
  </si>
  <si>
    <t>bouchon</t>
  </si>
  <si>
    <t>1552</t>
  </si>
  <si>
    <t>manchon</t>
  </si>
  <si>
    <t>32mm F-F</t>
  </si>
  <si>
    <t>1862</t>
  </si>
  <si>
    <t>9204</t>
  </si>
  <si>
    <t>32mm x 12à30mm</t>
  </si>
  <si>
    <t>11989</t>
  </si>
  <si>
    <t>Réduction Ext PVC-U</t>
  </si>
  <si>
    <t>32 - 20 M-F</t>
  </si>
  <si>
    <t>3011</t>
  </si>
  <si>
    <t>Raccord K7 DAIKIN</t>
  </si>
  <si>
    <t>32mm GRIS</t>
  </si>
  <si>
    <t>6834</t>
  </si>
  <si>
    <t>80mm   F-F</t>
  </si>
  <si>
    <t>80mm   M-F</t>
  </si>
  <si>
    <t>80mm</t>
  </si>
  <si>
    <t>80mm F-F</t>
  </si>
  <si>
    <t>1790</t>
  </si>
  <si>
    <t>patte à vis bois</t>
  </si>
  <si>
    <t>7 x 150</t>
  </si>
  <si>
    <t>14750</t>
  </si>
  <si>
    <t>patte à vis métal</t>
  </si>
  <si>
    <t>61529</t>
  </si>
  <si>
    <t>50mm M6</t>
  </si>
  <si>
    <t>écrou Hexagonal</t>
  </si>
  <si>
    <t>7mm</t>
  </si>
  <si>
    <t>56091</t>
  </si>
  <si>
    <t>selle à coller</t>
  </si>
  <si>
    <t>pour PVC 80/75</t>
  </si>
  <si>
    <t>1472</t>
  </si>
  <si>
    <t>raccordement 40mm</t>
  </si>
  <si>
    <t>pour PVC 100</t>
  </si>
  <si>
    <t>pour PVC 125</t>
  </si>
  <si>
    <t>PVC-U Pression</t>
  </si>
  <si>
    <t>16mm</t>
  </si>
  <si>
    <t>130</t>
  </si>
  <si>
    <t>PN25</t>
  </si>
  <si>
    <t>20mm</t>
  </si>
  <si>
    <t>131</t>
  </si>
  <si>
    <t>25mm</t>
  </si>
  <si>
    <t>133</t>
  </si>
  <si>
    <t>134</t>
  </si>
  <si>
    <t>PN16</t>
  </si>
  <si>
    <t>136</t>
  </si>
  <si>
    <t>50mm</t>
  </si>
  <si>
    <t>138</t>
  </si>
  <si>
    <t>63mm</t>
  </si>
  <si>
    <t>140</t>
  </si>
  <si>
    <t>75mm</t>
  </si>
  <si>
    <t>141</t>
  </si>
  <si>
    <t>90mm</t>
  </si>
  <si>
    <t>142</t>
  </si>
  <si>
    <t>PN10</t>
  </si>
  <si>
    <t>Bidon 1L</t>
  </si>
  <si>
    <t>HTA-E, PVC-U K62</t>
  </si>
  <si>
    <t>Rerfix</t>
  </si>
  <si>
    <t>Avec applicateur</t>
  </si>
  <si>
    <t>Colle PVC</t>
  </si>
  <si>
    <t>59703</t>
  </si>
  <si>
    <t>Décapant</t>
  </si>
  <si>
    <t>6692</t>
  </si>
  <si>
    <t>Ruban PTFE</t>
  </si>
  <si>
    <t>Largeur 12mm</t>
  </si>
  <si>
    <t>52028</t>
  </si>
  <si>
    <t>Pâte d'étanchéité</t>
  </si>
  <si>
    <t>Tube 75ml</t>
  </si>
  <si>
    <t>52027</t>
  </si>
  <si>
    <t>Coude PVC-U 90°</t>
  </si>
  <si>
    <t>16 FF</t>
  </si>
  <si>
    <t>2886</t>
  </si>
  <si>
    <t>Petit Rayon</t>
  </si>
  <si>
    <t>20 FF</t>
  </si>
  <si>
    <t>2887</t>
  </si>
  <si>
    <t>25 FF</t>
  </si>
  <si>
    <t>2888</t>
  </si>
  <si>
    <t>32 FF</t>
  </si>
  <si>
    <t>2889</t>
  </si>
  <si>
    <t>40 FF</t>
  </si>
  <si>
    <t>2890</t>
  </si>
  <si>
    <t>50 FF</t>
  </si>
  <si>
    <t>2891</t>
  </si>
  <si>
    <t>63 FF</t>
  </si>
  <si>
    <t>2892</t>
  </si>
  <si>
    <t>75 FF</t>
  </si>
  <si>
    <t>2893</t>
  </si>
  <si>
    <t>90 FF</t>
  </si>
  <si>
    <t>2894</t>
  </si>
  <si>
    <t>Courbe PVC-U 90°</t>
  </si>
  <si>
    <t>2928</t>
  </si>
  <si>
    <t>Grand Rayon</t>
  </si>
  <si>
    <t>2929</t>
  </si>
  <si>
    <t>2930</t>
  </si>
  <si>
    <t>2931</t>
  </si>
  <si>
    <t>2932</t>
  </si>
  <si>
    <t>2933</t>
  </si>
  <si>
    <t>2934</t>
  </si>
  <si>
    <t>2935</t>
  </si>
  <si>
    <t>Coude PVC-U 45°</t>
  </si>
  <si>
    <t>2872</t>
  </si>
  <si>
    <t>2873</t>
  </si>
  <si>
    <t>2874</t>
  </si>
  <si>
    <t>2875</t>
  </si>
  <si>
    <t>2876</t>
  </si>
  <si>
    <t>2877</t>
  </si>
  <si>
    <t>2878</t>
  </si>
  <si>
    <t>2879</t>
  </si>
  <si>
    <t>2880</t>
  </si>
  <si>
    <t xml:space="preserve">Té Egal PVC-U </t>
  </si>
  <si>
    <t>16 FFF</t>
  </si>
  <si>
    <t>3048</t>
  </si>
  <si>
    <t>20 FFF</t>
  </si>
  <si>
    <t>3050</t>
  </si>
  <si>
    <t>25 FFF</t>
  </si>
  <si>
    <t>3053</t>
  </si>
  <si>
    <t>32 FFF</t>
  </si>
  <si>
    <t>3057</t>
  </si>
  <si>
    <t>40 FFF</t>
  </si>
  <si>
    <t>3062</t>
  </si>
  <si>
    <t>50 FFF</t>
  </si>
  <si>
    <t>3067</t>
  </si>
  <si>
    <t>63 FFF</t>
  </si>
  <si>
    <t>3071</t>
  </si>
  <si>
    <t>75 FFF</t>
  </si>
  <si>
    <t>3077</t>
  </si>
  <si>
    <t>90 FFF</t>
  </si>
  <si>
    <t>3084</t>
  </si>
  <si>
    <t>20 - 16 M-F</t>
  </si>
  <si>
    <t>11507</t>
  </si>
  <si>
    <t>25 - 16 M-F</t>
  </si>
  <si>
    <t>3009</t>
  </si>
  <si>
    <t>32 - 16 M-F</t>
  </si>
  <si>
    <t>3012</t>
  </si>
  <si>
    <t>40 - 16 M-F</t>
  </si>
  <si>
    <t>3016</t>
  </si>
  <si>
    <t>40 - 20 M-F</t>
  </si>
  <si>
    <t>3015</t>
  </si>
  <si>
    <t>40 - 25 M-F</t>
  </si>
  <si>
    <t>3014</t>
  </si>
  <si>
    <t>50 - 20 M-F</t>
  </si>
  <si>
    <t>3019</t>
  </si>
  <si>
    <t>50 - 25 M-F</t>
  </si>
  <si>
    <t>3018</t>
  </si>
  <si>
    <t>50 - 32 M-F</t>
  </si>
  <si>
    <t>3017</t>
  </si>
  <si>
    <t>63 - 20 M-F</t>
  </si>
  <si>
    <t>58699</t>
  </si>
  <si>
    <t>63 - 25 M-F</t>
  </si>
  <si>
    <t>3022</t>
  </si>
  <si>
    <t>63 - 32 M-F</t>
  </si>
  <si>
    <t>3021</t>
  </si>
  <si>
    <t>63 - 40 M-F</t>
  </si>
  <si>
    <t>3020</t>
  </si>
  <si>
    <t>75 - 20 M-F</t>
  </si>
  <si>
    <t>58991</t>
  </si>
  <si>
    <t>75 - 25 M-F</t>
  </si>
  <si>
    <t>58992</t>
  </si>
  <si>
    <t>75 - 32 M-F</t>
  </si>
  <si>
    <t>3025</t>
  </si>
  <si>
    <t>75 - 40 M-F</t>
  </si>
  <si>
    <t>3024</t>
  </si>
  <si>
    <t>75 - 50 M-F</t>
  </si>
  <si>
    <t>3023</t>
  </si>
  <si>
    <t>90 - 25 M-F</t>
  </si>
  <si>
    <t>58993</t>
  </si>
  <si>
    <t>90 - 32 M-F</t>
  </si>
  <si>
    <t>58700</t>
  </si>
  <si>
    <t>90 - 40 M-F</t>
  </si>
  <si>
    <t>3028</t>
  </si>
  <si>
    <t>90 - 50 M-F</t>
  </si>
  <si>
    <t>3027</t>
  </si>
  <si>
    <t>90 - 63 M-F</t>
  </si>
  <si>
    <t>3026</t>
  </si>
  <si>
    <t>Réduction Int PVC-U</t>
  </si>
  <si>
    <t>3033</t>
  </si>
  <si>
    <t>25 - 20 M-F</t>
  </si>
  <si>
    <t>3034</t>
  </si>
  <si>
    <t>54871</t>
  </si>
  <si>
    <t>32 - 25 M-F</t>
  </si>
  <si>
    <t>3035</t>
  </si>
  <si>
    <t>54872</t>
  </si>
  <si>
    <t>54873</t>
  </si>
  <si>
    <t>40 - 32 M-F</t>
  </si>
  <si>
    <t>3036</t>
  </si>
  <si>
    <t>54874</t>
  </si>
  <si>
    <t>54875</t>
  </si>
  <si>
    <t>54876</t>
  </si>
  <si>
    <t>50 - 40 M-F</t>
  </si>
  <si>
    <t>3037</t>
  </si>
  <si>
    <t>54877</t>
  </si>
  <si>
    <t>54878</t>
  </si>
  <si>
    <t>63 - 50 M-F</t>
  </si>
  <si>
    <t>3038</t>
  </si>
  <si>
    <t>54879</t>
  </si>
  <si>
    <t>75 - 63 M-F</t>
  </si>
  <si>
    <t>3039</t>
  </si>
  <si>
    <t>54880</t>
  </si>
  <si>
    <t>54881</t>
  </si>
  <si>
    <t>90 - 75 M-F</t>
  </si>
  <si>
    <t>3040</t>
  </si>
  <si>
    <t>Manchon PVC-U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</si>
  <si>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</si>
  <si>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</si>
  <si>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</si>
  <si>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</si>
  <si>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</si>
  <si>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</si>
  <si>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</si>
  <si>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</si>
  <si>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</si>
  <si>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Bouchon PVC-U</t>
  </si>
  <si>
    <t>16 F</t>
  </si>
  <si>
    <t>2979</t>
  </si>
  <si>
    <t>Femelle</t>
  </si>
  <si>
    <t>20 F</t>
  </si>
  <si>
    <t>2980</t>
  </si>
  <si>
    <t>25 F</t>
  </si>
  <si>
    <t>2981</t>
  </si>
  <si>
    <t>32 F</t>
  </si>
  <si>
    <t>2982</t>
  </si>
  <si>
    <t>40 F</t>
  </si>
  <si>
    <t>2983</t>
  </si>
  <si>
    <t>50 F</t>
  </si>
  <si>
    <t>2984</t>
  </si>
  <si>
    <t>63 F</t>
  </si>
  <si>
    <t>2985</t>
  </si>
  <si>
    <t>75 F</t>
  </si>
  <si>
    <t>2986</t>
  </si>
  <si>
    <t>90 F</t>
  </si>
  <si>
    <t>2987</t>
  </si>
  <si>
    <t>Embout PVC-U Taraudé</t>
  </si>
  <si>
    <t>20M - 16F / 3/8"</t>
  </si>
  <si>
    <t>3389</t>
  </si>
  <si>
    <t>Filetage Normal</t>
  </si>
  <si>
    <t>25M - 20F / 1/2"</t>
  </si>
  <si>
    <t>3390</t>
  </si>
  <si>
    <t>32M - 25F / 3/4"</t>
  </si>
  <si>
    <t>3391</t>
  </si>
  <si>
    <t>40M - 32F / 1"</t>
  </si>
  <si>
    <t>3392</t>
  </si>
  <si>
    <t>50M - 40F / 1"1/4</t>
  </si>
  <si>
    <t>3393</t>
  </si>
  <si>
    <t>63M - 50F / 1"1/2</t>
  </si>
  <si>
    <t>3394</t>
  </si>
  <si>
    <t>90F / 3"</t>
  </si>
  <si>
    <t>48498</t>
  </si>
  <si>
    <t>Embout PVC-U Fileté</t>
  </si>
  <si>
    <t>20M - 16F / 1/2"</t>
  </si>
  <si>
    <t>3313</t>
  </si>
  <si>
    <t>3306</t>
  </si>
  <si>
    <t>3307</t>
  </si>
  <si>
    <t>3308</t>
  </si>
  <si>
    <t>3309</t>
  </si>
  <si>
    <t>3310</t>
  </si>
  <si>
    <t>75M - 63F / 2"</t>
  </si>
  <si>
    <t>3311</t>
  </si>
  <si>
    <t>90M - 75F / 2"</t>
  </si>
  <si>
    <t>55421</t>
  </si>
  <si>
    <t>90M - 75F / 2"1/2</t>
  </si>
  <si>
    <t>12372</t>
  </si>
  <si>
    <t>90M - 75F / 3"</t>
  </si>
  <si>
    <t>55422</t>
  </si>
  <si>
    <t>54058</t>
  </si>
  <si>
    <t>PVC-U - Laiton</t>
  </si>
  <si>
    <t>54059</t>
  </si>
  <si>
    <t>54060</t>
  </si>
  <si>
    <t>54061</t>
  </si>
  <si>
    <t>57811</t>
  </si>
  <si>
    <t>57812</t>
  </si>
  <si>
    <t>75M -63F / 2"</t>
  </si>
  <si>
    <t>57813</t>
  </si>
  <si>
    <t>54056</t>
  </si>
  <si>
    <t>54053</t>
  </si>
  <si>
    <t>54054</t>
  </si>
  <si>
    <t>54055</t>
  </si>
  <si>
    <t>57814</t>
  </si>
  <si>
    <t>57815</t>
  </si>
  <si>
    <t>57816</t>
  </si>
  <si>
    <t>Union PVC-U Taraudé</t>
  </si>
  <si>
    <t>16F / 3/8"</t>
  </si>
  <si>
    <t>10610</t>
  </si>
  <si>
    <t xml:space="preserve">Taraudage PVC-U </t>
  </si>
  <si>
    <t>20F / 1/2"</t>
  </si>
  <si>
    <t>8753</t>
  </si>
  <si>
    <t>25F / 3/4"</t>
  </si>
  <si>
    <t>8754</t>
  </si>
  <si>
    <t>32F / 1"</t>
  </si>
  <si>
    <t>8755</t>
  </si>
  <si>
    <t>40F / 1"1/4</t>
  </si>
  <si>
    <t>8756</t>
  </si>
  <si>
    <t>50F / 1"1/2</t>
  </si>
  <si>
    <t>8757</t>
  </si>
  <si>
    <t>63F / 2"</t>
  </si>
  <si>
    <t>8758</t>
  </si>
  <si>
    <t>Union PVC-U Fileté</t>
  </si>
  <si>
    <t>10611</t>
  </si>
  <si>
    <t xml:space="preserve">Filetage PVC-U </t>
  </si>
  <si>
    <t>10613</t>
  </si>
  <si>
    <t>10615</t>
  </si>
  <si>
    <t>10617</t>
  </si>
  <si>
    <t>10619</t>
  </si>
  <si>
    <t>10621</t>
  </si>
  <si>
    <t>50F / 2"</t>
  </si>
  <si>
    <t>35037</t>
  </si>
  <si>
    <t>35038</t>
  </si>
  <si>
    <t>75F / 2"1/2</t>
  </si>
  <si>
    <t>49038</t>
  </si>
  <si>
    <t>Coude PVC-U 90° Taraudé</t>
  </si>
  <si>
    <t>3270</t>
  </si>
  <si>
    <t>3271</t>
  </si>
  <si>
    <t>3272</t>
  </si>
  <si>
    <t>3273</t>
  </si>
  <si>
    <t>3274</t>
  </si>
  <si>
    <t>3275</t>
  </si>
  <si>
    <t>3276</t>
  </si>
  <si>
    <t>Té PVC-U Taraudé</t>
  </si>
  <si>
    <t>3395</t>
  </si>
  <si>
    <t>3396</t>
  </si>
  <si>
    <t>3397</t>
  </si>
  <si>
    <t>32F / 3/4"</t>
  </si>
  <si>
    <t>58693</t>
  </si>
  <si>
    <t>3398</t>
  </si>
  <si>
    <t>40F / 3/4"</t>
  </si>
  <si>
    <t>58694</t>
  </si>
  <si>
    <t>3399</t>
  </si>
  <si>
    <t>50F / 3/4"</t>
  </si>
  <si>
    <t>58695</t>
  </si>
  <si>
    <t>3400</t>
  </si>
  <si>
    <t>63F / 3/4"</t>
  </si>
  <si>
    <t>58689</t>
  </si>
  <si>
    <t>3401</t>
  </si>
  <si>
    <t>48014</t>
  </si>
  <si>
    <t>48015</t>
  </si>
  <si>
    <t>48016</t>
  </si>
  <si>
    <t>48017</t>
  </si>
  <si>
    <t>48018</t>
  </si>
  <si>
    <t>48019</t>
  </si>
  <si>
    <t>48020</t>
  </si>
  <si>
    <t>48021</t>
  </si>
  <si>
    <t>48022</t>
  </si>
  <si>
    <t>48023</t>
  </si>
  <si>
    <t>48024</t>
  </si>
  <si>
    <t>48025</t>
  </si>
  <si>
    <t>48026</t>
  </si>
  <si>
    <t>48027</t>
  </si>
  <si>
    <t>NMC</t>
  </si>
  <si>
    <t>scotch noir</t>
  </si>
  <si>
    <t>couvre joint</t>
  </si>
  <si>
    <t>scotch blanc</t>
  </si>
  <si>
    <t>50mm x 20ml</t>
  </si>
  <si>
    <t>bande isolante isolée</t>
  </si>
  <si>
    <t>Rubatex noire</t>
  </si>
  <si>
    <t>15m x 50mm x 3mm</t>
  </si>
  <si>
    <t>blanche</t>
  </si>
  <si>
    <t>10m x 50mm x 3mm</t>
  </si>
  <si>
    <t>colle manchon isolant</t>
  </si>
  <si>
    <t>0,25 litre avec pinceau</t>
  </si>
  <si>
    <t>0,5 litre sans pinceau</t>
  </si>
  <si>
    <t>1 litre sans pinceau</t>
  </si>
  <si>
    <t>1/4</t>
  </si>
  <si>
    <t>3/8</t>
  </si>
  <si>
    <t>1/2</t>
  </si>
  <si>
    <t>5/8</t>
  </si>
  <si>
    <t>13 x 06</t>
  </si>
  <si>
    <t>13 x 10</t>
  </si>
  <si>
    <t>13 x 12</t>
  </si>
  <si>
    <t>13 x 15</t>
  </si>
  <si>
    <t>13 x 18</t>
  </si>
  <si>
    <t>3/4 - DN10</t>
  </si>
  <si>
    <t>13 x 22</t>
  </si>
  <si>
    <t>7/8 - DN15</t>
  </si>
  <si>
    <t>13 x 28</t>
  </si>
  <si>
    <t>1 1/8 - DN20</t>
  </si>
  <si>
    <t>13 x 35</t>
  </si>
  <si>
    <t>1 3/8 - DN25</t>
  </si>
  <si>
    <t>13 x 42</t>
  </si>
  <si>
    <t>1 5/8 - DN32</t>
  </si>
  <si>
    <t>13 x 54</t>
  </si>
  <si>
    <t>19 x 12</t>
  </si>
  <si>
    <t>19 x 15</t>
  </si>
  <si>
    <t>19 x 18</t>
  </si>
  <si>
    <t>19 x 22</t>
  </si>
  <si>
    <t>19 x 28</t>
  </si>
  <si>
    <t>19 x 35</t>
  </si>
  <si>
    <t>19 x 42</t>
  </si>
  <si>
    <t>19 x 54</t>
  </si>
  <si>
    <t>19 x 67</t>
  </si>
  <si>
    <t>19 x 80</t>
  </si>
  <si>
    <t>19 x 102</t>
  </si>
  <si>
    <t>3 5/8</t>
  </si>
  <si>
    <t>19 x 48</t>
  </si>
  <si>
    <t>DN 40</t>
  </si>
  <si>
    <t>19 x 60</t>
  </si>
  <si>
    <t>DN 50</t>
  </si>
  <si>
    <t>19 x 70</t>
  </si>
  <si>
    <t>19 x 76</t>
  </si>
  <si>
    <t>DN 65</t>
  </si>
  <si>
    <t>19 x 89</t>
  </si>
  <si>
    <t>DN 80</t>
  </si>
  <si>
    <t>32 x 18</t>
  </si>
  <si>
    <t>32 x 22</t>
  </si>
  <si>
    <t>32 x 28</t>
  </si>
  <si>
    <t>32 x 35</t>
  </si>
  <si>
    <t>32 x 42</t>
  </si>
  <si>
    <t>32 x 54</t>
  </si>
  <si>
    <t>32 x 67</t>
  </si>
  <si>
    <t>32 x 80</t>
  </si>
  <si>
    <t>32 x 102</t>
  </si>
  <si>
    <t>32 x 48</t>
  </si>
  <si>
    <t>32 x 60</t>
  </si>
  <si>
    <t>32 x 70</t>
  </si>
  <si>
    <t>32 x 76</t>
  </si>
  <si>
    <t>32 x 89</t>
  </si>
  <si>
    <t>plaque d'isolant 9mm</t>
  </si>
  <si>
    <t>2,0m x 0,5m</t>
  </si>
  <si>
    <t>2,0m x 1,0m</t>
  </si>
  <si>
    <t>plaque d'isolant 13mm</t>
  </si>
  <si>
    <t>plaque d'isolant 19mm</t>
  </si>
  <si>
    <t>collier coquille 13mm</t>
  </si>
  <si>
    <t>collier coquille 19mm</t>
  </si>
  <si>
    <t>collier coquille 32mm</t>
  </si>
  <si>
    <t>coquille 13mm</t>
  </si>
  <si>
    <t>coquille 19mm</t>
  </si>
  <si>
    <t>coquille 32mm</t>
  </si>
  <si>
    <t>frigorigène</t>
  </si>
  <si>
    <t>Bouteille 18 litres</t>
  </si>
  <si>
    <t>R404A</t>
  </si>
  <si>
    <t>Gazechim</t>
  </si>
  <si>
    <t>Taiga</t>
  </si>
  <si>
    <t>Tube 61 litres</t>
  </si>
  <si>
    <t>R410A</t>
  </si>
  <si>
    <t>Bouteille 27 litres</t>
  </si>
  <si>
    <t>R134a</t>
  </si>
  <si>
    <t>Tube 45 litres</t>
  </si>
  <si>
    <t>R-448A N40</t>
  </si>
  <si>
    <t>Dehon</t>
  </si>
  <si>
    <t>Tube 54 litres</t>
  </si>
  <si>
    <t>R-449A XP40</t>
  </si>
  <si>
    <t>R422D - MO29</t>
  </si>
  <si>
    <t>Bouteille 11.2 kg</t>
  </si>
  <si>
    <t>R744</t>
  </si>
  <si>
    <t>Tube 37.5 kg</t>
  </si>
  <si>
    <t>récupération frigorigène</t>
  </si>
  <si>
    <t>17kg récupérable</t>
  </si>
  <si>
    <t>39kg récupérable</t>
  </si>
  <si>
    <t>huile Copeland origine</t>
  </si>
  <si>
    <t>5L</t>
  </si>
  <si>
    <t>RL32-3MAF</t>
  </si>
  <si>
    <t>Emkarate</t>
  </si>
  <si>
    <t>20L</t>
  </si>
  <si>
    <t>huile Copeland compatible</t>
  </si>
  <si>
    <t>EAL ARCTIC 22CC</t>
  </si>
  <si>
    <t>Mobil</t>
  </si>
  <si>
    <t>huile Bitzer S-H</t>
  </si>
  <si>
    <t>EAL ARTIC 32</t>
  </si>
  <si>
    <t>huile R744 Subcritique</t>
  </si>
  <si>
    <t>1L</t>
  </si>
  <si>
    <t>BSE60K</t>
  </si>
  <si>
    <t>Bitzer</t>
  </si>
  <si>
    <t>huile R744 Transcritique</t>
  </si>
  <si>
    <t>BSE85K</t>
  </si>
  <si>
    <t>C 85 E</t>
  </si>
  <si>
    <t>Fuchs</t>
  </si>
  <si>
    <t>huile compresseur à vis</t>
  </si>
  <si>
    <t>10L</t>
  </si>
  <si>
    <t>BSE 170</t>
  </si>
  <si>
    <t xml:space="preserve">porte fusible </t>
  </si>
  <si>
    <t>uni + neutre</t>
  </si>
  <si>
    <t>10 x 38</t>
  </si>
  <si>
    <t xml:space="preserve">mini coffret </t>
  </si>
  <si>
    <t>opale</t>
  </si>
  <si>
    <t>13392</t>
  </si>
  <si>
    <t>Merlin Gerin</t>
  </si>
  <si>
    <t>pour m2+</t>
  </si>
  <si>
    <t>coup de poing AU</t>
  </si>
  <si>
    <t>40mm 1NO/1NF</t>
  </si>
  <si>
    <t>XAL-K174E</t>
  </si>
  <si>
    <t>Télémécanique</t>
  </si>
  <si>
    <t>boite complète</t>
  </si>
  <si>
    <t>coffret bris de glace</t>
  </si>
  <si>
    <t>1 bouton impulsion</t>
  </si>
  <si>
    <t>380 11</t>
  </si>
  <si>
    <t>sans voyant</t>
  </si>
  <si>
    <t>bouton tournant</t>
  </si>
  <si>
    <t>complet 1NO</t>
  </si>
  <si>
    <t>XB5AD21</t>
  </si>
  <si>
    <t>Schneider</t>
  </si>
  <si>
    <t>ETAL POISSON</t>
  </si>
  <si>
    <t>1 NO</t>
  </si>
  <si>
    <t>ZBE101</t>
  </si>
  <si>
    <t>1 NF</t>
  </si>
  <si>
    <t>ZBE102</t>
  </si>
  <si>
    <t>interrupteur position</t>
  </si>
  <si>
    <t xml:space="preserve">à levier à galet </t>
  </si>
  <si>
    <t>XCKM121H29</t>
  </si>
  <si>
    <t>à tige souple ressort</t>
  </si>
  <si>
    <t>XCKM106H29</t>
  </si>
  <si>
    <t>inter de proximité</t>
  </si>
  <si>
    <t>3P 25A</t>
  </si>
  <si>
    <t>PI-25/I2/SVB</t>
  </si>
  <si>
    <t>Moeller</t>
  </si>
  <si>
    <t>3P 32A</t>
  </si>
  <si>
    <t>PI-32/I2/SVB</t>
  </si>
  <si>
    <t>contact additif neutre</t>
  </si>
  <si>
    <t>N-P1Z</t>
  </si>
  <si>
    <t>4P 32A</t>
  </si>
  <si>
    <t>FGXX2032B</t>
  </si>
  <si>
    <t>XTRA</t>
  </si>
  <si>
    <t>GFF</t>
  </si>
  <si>
    <t>4P 63A</t>
  </si>
  <si>
    <t>FGXX2063B</t>
  </si>
  <si>
    <t>VCF 1GE</t>
  </si>
  <si>
    <t>VCF 2GE</t>
  </si>
  <si>
    <t>10 à 32A</t>
  </si>
  <si>
    <t>VZ 11</t>
  </si>
  <si>
    <t>3P 50A</t>
  </si>
  <si>
    <t>VCF 3GE</t>
  </si>
  <si>
    <t>3P 63A</t>
  </si>
  <si>
    <t>VCF 4GE</t>
  </si>
  <si>
    <t>50 à 63A</t>
  </si>
  <si>
    <t>VZ 12</t>
  </si>
  <si>
    <t>disjoncteur</t>
  </si>
  <si>
    <t>iC60N 2P 6A - C</t>
  </si>
  <si>
    <t>A9F77206</t>
  </si>
  <si>
    <t>iC60N 2P 10A - C</t>
  </si>
  <si>
    <t>A9F77210</t>
  </si>
  <si>
    <t>iC60N 2P 16A - C</t>
  </si>
  <si>
    <t>A9F77216</t>
  </si>
  <si>
    <t>iC60N 2P 20A - C</t>
  </si>
  <si>
    <t>A9F77220</t>
  </si>
  <si>
    <t>iC60N 2P 25A - C</t>
  </si>
  <si>
    <t>A9F77225</t>
  </si>
  <si>
    <t>iC60N 4P 10A - C</t>
  </si>
  <si>
    <t>A9F77410</t>
  </si>
  <si>
    <t>iC60N 4P 16A - C</t>
  </si>
  <si>
    <t>A9F77416</t>
  </si>
  <si>
    <t>iC60N 4P 20A - C</t>
  </si>
  <si>
    <t>A9F77420</t>
  </si>
  <si>
    <t>iC60N 4P 25A - C</t>
  </si>
  <si>
    <t>A9F77425</t>
  </si>
  <si>
    <t>iC60N 4P 32A - C</t>
  </si>
  <si>
    <t>A9F77432</t>
  </si>
  <si>
    <t>iC60N 2P 10A - D</t>
  </si>
  <si>
    <t>A9F75210</t>
  </si>
  <si>
    <t>iC60N 2P 16A - D</t>
  </si>
  <si>
    <t>A9F75216</t>
  </si>
  <si>
    <t>iC60N 4P 10A - D</t>
  </si>
  <si>
    <t>A9F75410</t>
  </si>
  <si>
    <t>iC60N 4P 16A - D</t>
  </si>
  <si>
    <t>A9F75416</t>
  </si>
  <si>
    <t>bloc différentiel</t>
  </si>
  <si>
    <t>VIGI 2P 30mA &lt;25A</t>
  </si>
  <si>
    <t>A9Q11225</t>
  </si>
  <si>
    <t>VIGI AC</t>
  </si>
  <si>
    <t>VIGI 2P 300mA &lt;25A</t>
  </si>
  <si>
    <t>A9Q14225</t>
  </si>
  <si>
    <t>VIGI 4P 30mA &lt;25A</t>
  </si>
  <si>
    <t>A9Q11425</t>
  </si>
  <si>
    <t>VIGI 4P 300mA &lt;25A</t>
  </si>
  <si>
    <t>A9Q14425</t>
  </si>
  <si>
    <t>VIGI 4P 300mA &lt;40A</t>
  </si>
  <si>
    <t>A9Q14440</t>
  </si>
  <si>
    <t>contact auxiliaire</t>
  </si>
  <si>
    <t>A9A26924</t>
  </si>
  <si>
    <t>interrupteur différentiel</t>
  </si>
  <si>
    <t>iID 2P 300mA 25A</t>
  </si>
  <si>
    <t>A9R14225</t>
  </si>
  <si>
    <t>iID 2P 30mA 25A</t>
  </si>
  <si>
    <t>A9R11225</t>
  </si>
  <si>
    <t>iID 4P 300mA 25A</t>
  </si>
  <si>
    <t>A9R14425</t>
  </si>
  <si>
    <t>iID 4P 30mA 25A</t>
  </si>
  <si>
    <t>A9R11425</t>
  </si>
  <si>
    <t>9A 1NF+1NO 220V</t>
  </si>
  <si>
    <t>LC1-D09P7</t>
  </si>
  <si>
    <t>cde 220V</t>
  </si>
  <si>
    <t>18A 1NF+1NO 220V</t>
  </si>
  <si>
    <t>LC1-D18P7</t>
  </si>
  <si>
    <t>bloc auxiliaire</t>
  </si>
  <si>
    <t>1NO+1NF</t>
  </si>
  <si>
    <t>LA1-DN11</t>
  </si>
  <si>
    <t>2NO</t>
  </si>
  <si>
    <t>LA1-DN20</t>
  </si>
  <si>
    <t>2NF</t>
  </si>
  <si>
    <t>LA1-DN02</t>
  </si>
  <si>
    <t>LAD T4</t>
  </si>
  <si>
    <t>10 à 180s Travail</t>
  </si>
  <si>
    <t>LAD R4</t>
  </si>
  <si>
    <t>10 à 180s Repos</t>
  </si>
  <si>
    <t>6A 1 NO</t>
  </si>
  <si>
    <t>LC1-K0610M7</t>
  </si>
  <si>
    <t>9A 1 NO</t>
  </si>
  <si>
    <t>LC1-K0910M7</t>
  </si>
  <si>
    <t>12A 1 NO</t>
  </si>
  <si>
    <t>LC1-K1210M7</t>
  </si>
  <si>
    <t>contacteur auxiliaire</t>
  </si>
  <si>
    <t>2 NO + 2NF</t>
  </si>
  <si>
    <t>CA2KN22P7</t>
  </si>
  <si>
    <t>relais auxiliaire</t>
  </si>
  <si>
    <t>4 RT 7A 12V AC</t>
  </si>
  <si>
    <t>55.34.8012.0040</t>
  </si>
  <si>
    <t>Finder</t>
  </si>
  <si>
    <t>4 RT 7A 24V AC</t>
  </si>
  <si>
    <t>55.34.8024.0040</t>
  </si>
  <si>
    <t>4 RT 7A 230V AC</t>
  </si>
  <si>
    <t>55.34.8230.0040</t>
  </si>
  <si>
    <t>4 RT 7A 12V DC</t>
  </si>
  <si>
    <t>55.34.9012.0040</t>
  </si>
  <si>
    <t>4 RT 7A 24V DC</t>
  </si>
  <si>
    <t>55.34.9024.0040</t>
  </si>
  <si>
    <t>embase relais 4 RT</t>
  </si>
  <si>
    <t>9474SMA</t>
  </si>
  <si>
    <t>RE17RAMU</t>
  </si>
  <si>
    <t>Tempo à l'ouverture</t>
  </si>
  <si>
    <t>RE17RCMU</t>
  </si>
  <si>
    <t>Clignoteur</t>
  </si>
  <si>
    <t>RE17RLMU</t>
  </si>
  <si>
    <t>RE17RHMU</t>
  </si>
  <si>
    <t>MUR1</t>
  </si>
  <si>
    <t>Crouzet</t>
  </si>
  <si>
    <t>Multifonction A;C;H</t>
  </si>
  <si>
    <t>connecteur canalis</t>
  </si>
  <si>
    <t>32A maxi</t>
  </si>
  <si>
    <t>KNB 32CM55</t>
  </si>
  <si>
    <t>pour 5 modules 18mm</t>
  </si>
  <si>
    <t>63A maxi</t>
  </si>
  <si>
    <t>KNB 63SM48</t>
  </si>
  <si>
    <t>pour 8 modules 18mm</t>
  </si>
  <si>
    <t>25A maxi</t>
  </si>
  <si>
    <t>KNB 25CF5</t>
  </si>
  <si>
    <t>fusible 10x38 aM</t>
  </si>
  <si>
    <t>KSB 32CF5</t>
  </si>
  <si>
    <t>50A maxi</t>
  </si>
  <si>
    <t>KSB 50SF4</t>
  </si>
  <si>
    <t>fusible 14x51 aM</t>
  </si>
  <si>
    <t>cartouche fusible</t>
  </si>
  <si>
    <t>10 x 38 aM 10A</t>
  </si>
  <si>
    <t>10 x 38 aM 16A</t>
  </si>
  <si>
    <t>10 x 38 aM 20A</t>
  </si>
  <si>
    <t>10 x 38 aM 25A</t>
  </si>
  <si>
    <t>14 x 51 aM 32A</t>
  </si>
  <si>
    <t>14 x 51 Am 40A</t>
  </si>
  <si>
    <t>boitier 1 trou</t>
  </si>
  <si>
    <t>XAL-D01</t>
  </si>
  <si>
    <t>boitier 2 trous</t>
  </si>
  <si>
    <t>XAL-D02</t>
  </si>
  <si>
    <t>bloc à contact</t>
  </si>
  <si>
    <t>contact F</t>
  </si>
  <si>
    <t>ZEN-L1111</t>
  </si>
  <si>
    <t xml:space="preserve"> à fermeture</t>
  </si>
  <si>
    <t>bloc lumineux</t>
  </si>
  <si>
    <t>vert</t>
  </si>
  <si>
    <t>ZAL-VM3</t>
  </si>
  <si>
    <t>2 position fixes</t>
  </si>
  <si>
    <t>ZB5-AD2</t>
  </si>
  <si>
    <t>voyant vert</t>
  </si>
  <si>
    <t>ZB5-AV033</t>
  </si>
  <si>
    <t>voyant rouge</t>
  </si>
  <si>
    <t>ZB5-AV043</t>
  </si>
  <si>
    <t>coffret étanche</t>
  </si>
  <si>
    <t>KAEDRA</t>
  </si>
  <si>
    <t>13957</t>
  </si>
  <si>
    <t>8 modules 9mm</t>
  </si>
  <si>
    <t>coffret</t>
  </si>
  <si>
    <t>6 modules 9mm</t>
  </si>
  <si>
    <t>interrupteur</t>
  </si>
  <si>
    <t>inverseur 3 positions OF</t>
  </si>
  <si>
    <t>A9E18073</t>
  </si>
  <si>
    <t>horloge</t>
  </si>
  <si>
    <t>horloge hebdomadaire</t>
  </si>
  <si>
    <t>Flash</t>
  </si>
  <si>
    <t>chemin câble / dalle</t>
  </si>
  <si>
    <t>BS T48 50</t>
  </si>
  <si>
    <t>Tolmega</t>
  </si>
  <si>
    <t>couvercle C.C</t>
  </si>
  <si>
    <t>BS  50</t>
  </si>
  <si>
    <t>BS T48 75</t>
  </si>
  <si>
    <t>BS 75</t>
  </si>
  <si>
    <t>BS T48 100</t>
  </si>
  <si>
    <t>BS 100</t>
  </si>
  <si>
    <t>BT T48 147</t>
  </si>
  <si>
    <t>BS 147</t>
  </si>
  <si>
    <t>BS T48 195</t>
  </si>
  <si>
    <t>BS 195</t>
  </si>
  <si>
    <t>BS T48 316</t>
  </si>
  <si>
    <t>BS 316</t>
  </si>
  <si>
    <t>BS T48 412</t>
  </si>
  <si>
    <t>BS 412</t>
  </si>
  <si>
    <t>BS T48 507</t>
  </si>
  <si>
    <t>BS 507</t>
  </si>
  <si>
    <t>BS T48 604</t>
  </si>
  <si>
    <t>BS 604</t>
  </si>
  <si>
    <t>clips couvercles</t>
  </si>
  <si>
    <t>RS</t>
  </si>
  <si>
    <t>jonc de protection</t>
  </si>
  <si>
    <t>040037</t>
  </si>
  <si>
    <t>R 48</t>
  </si>
  <si>
    <t>éclisse plate dalle</t>
  </si>
  <si>
    <t>P 48</t>
  </si>
  <si>
    <t>plate (4 boulons)</t>
  </si>
  <si>
    <t>éclisse cornière dalle</t>
  </si>
  <si>
    <t>C 48</t>
  </si>
  <si>
    <t>435002</t>
  </si>
  <si>
    <t>cornière (4 boulons)</t>
  </si>
  <si>
    <t>Cablofil</t>
  </si>
  <si>
    <t>CF54/600</t>
  </si>
  <si>
    <t>54/600</t>
  </si>
  <si>
    <t>CF54/500</t>
  </si>
  <si>
    <t>000301</t>
  </si>
  <si>
    <t>CF54/400</t>
  </si>
  <si>
    <t>000201</t>
  </si>
  <si>
    <t>CF54/300</t>
  </si>
  <si>
    <t>000101</t>
  </si>
  <si>
    <t>CF54/200</t>
  </si>
  <si>
    <t>000091</t>
  </si>
  <si>
    <t>CF54/150</t>
  </si>
  <si>
    <t>000081</t>
  </si>
  <si>
    <t>CF54/100</t>
  </si>
  <si>
    <t>000071</t>
  </si>
  <si>
    <t>CF54/50</t>
  </si>
  <si>
    <t>000061</t>
  </si>
  <si>
    <t>eclisses automatiques</t>
  </si>
  <si>
    <t>AUTOCLIC</t>
  </si>
  <si>
    <t>contre eclisses</t>
  </si>
  <si>
    <t>CE30</t>
  </si>
  <si>
    <t>558041</t>
  </si>
  <si>
    <t>CE25</t>
  </si>
  <si>
    <t>558011</t>
  </si>
  <si>
    <t>clame de suspension</t>
  </si>
  <si>
    <t>CE40</t>
  </si>
  <si>
    <t>558051</t>
  </si>
  <si>
    <t>attache cablofil 50</t>
  </si>
  <si>
    <t>CAT30</t>
  </si>
  <si>
    <t>586050</t>
  </si>
  <si>
    <t>fixation murale cablofil</t>
  </si>
  <si>
    <t>FV1</t>
  </si>
  <si>
    <t>586070</t>
  </si>
  <si>
    <t>150 à 600mm</t>
  </si>
  <si>
    <t>CM50</t>
  </si>
  <si>
    <t>586060</t>
  </si>
  <si>
    <t>50 à 100mm</t>
  </si>
  <si>
    <t>attache balancelle</t>
  </si>
  <si>
    <t>AS</t>
  </si>
  <si>
    <t>586020</t>
  </si>
  <si>
    <t>console à goupille</t>
  </si>
  <si>
    <t>E/ 55x150mm</t>
  </si>
  <si>
    <t>613025</t>
  </si>
  <si>
    <t>fixation sur échelle stand.</t>
  </si>
  <si>
    <t>E/ 90x225mm</t>
  </si>
  <si>
    <t>613006</t>
  </si>
  <si>
    <t>E/ 90x350mm</t>
  </si>
  <si>
    <t>613007</t>
  </si>
  <si>
    <t>E/ 90x475mm</t>
  </si>
  <si>
    <t>613008</t>
  </si>
  <si>
    <t>E/ 90x555mm</t>
  </si>
  <si>
    <t>E/ 130x640mm</t>
  </si>
  <si>
    <t>613010</t>
  </si>
  <si>
    <t>semelle de console</t>
  </si>
  <si>
    <t>627001</t>
  </si>
  <si>
    <t xml:space="preserve"> utilisation goupille 8 x 90</t>
  </si>
  <si>
    <t>échelle standard</t>
  </si>
  <si>
    <t>goupilles fendues</t>
  </si>
  <si>
    <t>échelle EDF</t>
  </si>
  <si>
    <t>utilisation TRL 8x15</t>
  </si>
  <si>
    <t>627004</t>
  </si>
  <si>
    <t>longueur 2 mètres</t>
  </si>
  <si>
    <t>8 x 90</t>
  </si>
  <si>
    <t>644002</t>
  </si>
  <si>
    <t>pour échelle EDF&amp;console</t>
  </si>
  <si>
    <t>boulon poelier dalle</t>
  </si>
  <si>
    <t>TRCC 6x12</t>
  </si>
  <si>
    <t>648001</t>
  </si>
  <si>
    <t>boulon poelier cablofil</t>
  </si>
  <si>
    <t>TRCC 6x20</t>
  </si>
  <si>
    <t>648003</t>
  </si>
  <si>
    <t>TPC rouge</t>
  </si>
  <si>
    <t>110mm</t>
  </si>
  <si>
    <t>ICTA noir</t>
  </si>
  <si>
    <t>ICTA bleu</t>
  </si>
  <si>
    <t>05116</t>
  </si>
  <si>
    <t>Arnould</t>
  </si>
  <si>
    <t>tube IRL</t>
  </si>
  <si>
    <t>16mm tulipé</t>
  </si>
  <si>
    <t>attache Caddy / Raymond</t>
  </si>
  <si>
    <t>diam. 15-18</t>
  </si>
  <si>
    <t>ERICO</t>
  </si>
  <si>
    <t>épai fer 1-4mm</t>
  </si>
  <si>
    <t>diam. 19-24</t>
  </si>
  <si>
    <t>187610</t>
  </si>
  <si>
    <t>20mm tulipé</t>
  </si>
  <si>
    <t>187580</t>
  </si>
  <si>
    <t>épai fer 4-7mm</t>
  </si>
  <si>
    <t>187600</t>
  </si>
  <si>
    <t>25mm tulipé</t>
  </si>
  <si>
    <t>32mm tulipé</t>
  </si>
  <si>
    <t>longueur 3m emb. ?m</t>
  </si>
  <si>
    <t>collier pour tube IRL</t>
  </si>
  <si>
    <t>47930</t>
  </si>
  <si>
    <t>Sarel</t>
  </si>
  <si>
    <t>goulotte PVC blanc</t>
  </si>
  <si>
    <t>22x12mm</t>
  </si>
  <si>
    <t>00304</t>
  </si>
  <si>
    <t>Iboco</t>
  </si>
  <si>
    <t>TMC</t>
  </si>
  <si>
    <t>embout goulotte</t>
  </si>
  <si>
    <t>00578</t>
  </si>
  <si>
    <t>40x40mm</t>
  </si>
  <si>
    <t>00324</t>
  </si>
  <si>
    <t>TA E</t>
  </si>
  <si>
    <t>00868</t>
  </si>
  <si>
    <t>60x40mm</t>
  </si>
  <si>
    <t>00325</t>
  </si>
  <si>
    <t>00869</t>
  </si>
  <si>
    <t>100x60mm</t>
  </si>
  <si>
    <t>00327</t>
  </si>
  <si>
    <t>00874</t>
  </si>
  <si>
    <t>angle plat 90°</t>
  </si>
  <si>
    <t>01745</t>
  </si>
  <si>
    <t>120x80mm</t>
  </si>
  <si>
    <t>00359</t>
  </si>
  <si>
    <t>00878</t>
  </si>
  <si>
    <t>01750</t>
  </si>
  <si>
    <t xml:space="preserve"> 110x75mm</t>
  </si>
  <si>
    <t>QLTT1705C</t>
  </si>
  <si>
    <t>Totaline</t>
  </si>
  <si>
    <t>sans cloison blanc</t>
  </si>
  <si>
    <t xml:space="preserve"> 120x60mm</t>
  </si>
  <si>
    <t>16504</t>
  </si>
  <si>
    <t>Planet&amp;Whattom</t>
  </si>
  <si>
    <t>16503</t>
  </si>
  <si>
    <t>té goulotte</t>
  </si>
  <si>
    <t>16486</t>
  </si>
  <si>
    <t>150x80mm</t>
  </si>
  <si>
    <t>16620</t>
  </si>
  <si>
    <t>16624</t>
  </si>
  <si>
    <t>collier Colson</t>
  </si>
  <si>
    <t>368 x 4.8 mm noir</t>
  </si>
  <si>
    <t>BIZ 300 017</t>
  </si>
  <si>
    <t>boite</t>
  </si>
  <si>
    <t>368 x 4.8 mm blanc</t>
  </si>
  <si>
    <t>BIZ 300 018</t>
  </si>
  <si>
    <t>194 x 9 mm</t>
  </si>
  <si>
    <t>47942</t>
  </si>
  <si>
    <t>273 x 9 mm</t>
  </si>
  <si>
    <t>47962</t>
  </si>
  <si>
    <t>370 x 9 mm</t>
  </si>
  <si>
    <t>47992</t>
  </si>
  <si>
    <t>embase à visser</t>
  </si>
  <si>
    <t>47995</t>
  </si>
  <si>
    <t>embase à frapper</t>
  </si>
  <si>
    <t>47996</t>
  </si>
  <si>
    <t>cheville à vis</t>
  </si>
  <si>
    <t>319 57</t>
  </si>
  <si>
    <t>attache IPN standard</t>
  </si>
  <si>
    <t>ép. Tôle 4-10mm</t>
  </si>
  <si>
    <t>BIZ 710 337</t>
  </si>
  <si>
    <t>pour Colson</t>
  </si>
  <si>
    <t>ép. Tôle 10-15mm</t>
  </si>
  <si>
    <t>BIZ 710 338</t>
  </si>
  <si>
    <t>ép. Tôle 15-20mm</t>
  </si>
  <si>
    <t>BIZ 710 339</t>
  </si>
  <si>
    <t>collier Colring</t>
  </si>
  <si>
    <t>95mm x 2,4mm</t>
  </si>
  <si>
    <t>320 30</t>
  </si>
  <si>
    <t>180mm x 2,4mm</t>
  </si>
  <si>
    <t>320 32</t>
  </si>
  <si>
    <t>280mm x 3,5mm</t>
  </si>
  <si>
    <t>320 39</t>
  </si>
  <si>
    <t>collier Colring etiquette</t>
  </si>
  <si>
    <t>320 61</t>
  </si>
  <si>
    <t>avec identification</t>
  </si>
  <si>
    <t>320 65</t>
  </si>
  <si>
    <t>boîte Plexo</t>
  </si>
  <si>
    <t>60mm</t>
  </si>
  <si>
    <t>05001</t>
  </si>
  <si>
    <t>65x65x45mm</t>
  </si>
  <si>
    <t>05002</t>
  </si>
  <si>
    <t>80x80x45mm</t>
  </si>
  <si>
    <t>05004</t>
  </si>
  <si>
    <t>105x105x55mm</t>
  </si>
  <si>
    <t>05005</t>
  </si>
  <si>
    <t>150x105x80mm</t>
  </si>
  <si>
    <t>05007</t>
  </si>
  <si>
    <t>175x150x80mm</t>
  </si>
  <si>
    <t>05010</t>
  </si>
  <si>
    <t>225x175x100mm</t>
  </si>
  <si>
    <t>05013</t>
  </si>
  <si>
    <t>shaterton</t>
  </si>
  <si>
    <t>BIZ 350012</t>
  </si>
  <si>
    <t>BIZLINE</t>
  </si>
  <si>
    <t>multi-colore</t>
  </si>
  <si>
    <t>Wago</t>
  </si>
  <si>
    <t>3 bornes 1-2.5mm²</t>
  </si>
  <si>
    <t>273-104</t>
  </si>
  <si>
    <t>câble rigide</t>
  </si>
  <si>
    <t>5 bornes 1-2.5mm²</t>
  </si>
  <si>
    <t>273-105</t>
  </si>
  <si>
    <t>3 bornes 0,08-4mm²</t>
  </si>
  <si>
    <t>221-413</t>
  </si>
  <si>
    <t>câble souple</t>
  </si>
  <si>
    <t>5 bornes 0,08-4mm²</t>
  </si>
  <si>
    <t>221-415</t>
  </si>
  <si>
    <t>1 borne 0.5-2.5mm²</t>
  </si>
  <si>
    <t>224-101</t>
  </si>
  <si>
    <t>câble rigide/souple</t>
  </si>
  <si>
    <t>dominos Nylbloc</t>
  </si>
  <si>
    <t>2.5mm²</t>
  </si>
  <si>
    <t>342 11</t>
  </si>
  <si>
    <t>10 x 12 éléments</t>
  </si>
  <si>
    <t>6mm²</t>
  </si>
  <si>
    <t>342 13</t>
  </si>
  <si>
    <t>10mm²</t>
  </si>
  <si>
    <t>342 15</t>
  </si>
  <si>
    <t>16mm²</t>
  </si>
  <si>
    <t>342 17</t>
  </si>
  <si>
    <t>25mm²</t>
  </si>
  <si>
    <t>342 19</t>
  </si>
  <si>
    <t>borne standard</t>
  </si>
  <si>
    <t>2,5mm² - Grise</t>
  </si>
  <si>
    <t>371 60</t>
  </si>
  <si>
    <t>Viking à vis</t>
  </si>
  <si>
    <t>4mm² - Grise</t>
  </si>
  <si>
    <t>371 61</t>
  </si>
  <si>
    <t>6mm² - Grise</t>
  </si>
  <si>
    <t>371 62</t>
  </si>
  <si>
    <t>10mm² - Grise</t>
  </si>
  <si>
    <t>371 63</t>
  </si>
  <si>
    <t>16mm² - Grise</t>
  </si>
  <si>
    <t>371 64</t>
  </si>
  <si>
    <t>35mm² - Grise</t>
  </si>
  <si>
    <t>371 65</t>
  </si>
  <si>
    <t>borne pour neutre</t>
  </si>
  <si>
    <t>2,5mm² - Bleue</t>
  </si>
  <si>
    <t>371 00</t>
  </si>
  <si>
    <t>4mm² - Bleue</t>
  </si>
  <si>
    <t>371 01</t>
  </si>
  <si>
    <t>6mm² - Bleue</t>
  </si>
  <si>
    <t>371 02</t>
  </si>
  <si>
    <t>10mm² - Bleue</t>
  </si>
  <si>
    <t>371 03</t>
  </si>
  <si>
    <t>borne de terre V/J</t>
  </si>
  <si>
    <t>4mm² - Vert / Jaune</t>
  </si>
  <si>
    <t>371 71</t>
  </si>
  <si>
    <t>6mm² - Vert / Jaune</t>
  </si>
  <si>
    <t>371 72</t>
  </si>
  <si>
    <t>10mm² - Vert / Jaune</t>
  </si>
  <si>
    <t>371 73</t>
  </si>
  <si>
    <t>butée de blocage</t>
  </si>
  <si>
    <t>375 11</t>
  </si>
  <si>
    <t>rail DIN</t>
  </si>
  <si>
    <t>35x15</t>
  </si>
  <si>
    <t>perforé</t>
  </si>
  <si>
    <t>cosse pré-isolée à oeil</t>
  </si>
  <si>
    <t>1,5² x diam. 6</t>
  </si>
  <si>
    <t>PGC1.5-6</t>
  </si>
  <si>
    <t>Tyco</t>
  </si>
  <si>
    <t>Rouge</t>
  </si>
  <si>
    <t>2,5² x diam. 6</t>
  </si>
  <si>
    <t>PGC2.5-6</t>
  </si>
  <si>
    <t>Bleue</t>
  </si>
  <si>
    <t>4² x diam. 6</t>
  </si>
  <si>
    <t>PGC4-6</t>
  </si>
  <si>
    <t>Jaune</t>
  </si>
  <si>
    <t>cosse tubulaire à oeil</t>
  </si>
  <si>
    <t xml:space="preserve">6² x  diam.6 </t>
  </si>
  <si>
    <t>XCT6-6</t>
  </si>
  <si>
    <t>cuivre</t>
  </si>
  <si>
    <t xml:space="preserve">10² x  diam.8 </t>
  </si>
  <si>
    <t>XCT10-8</t>
  </si>
  <si>
    <t xml:space="preserve">16² x  diam.8 </t>
  </si>
  <si>
    <t>XCT16-8</t>
  </si>
  <si>
    <t>25² x  diam.10</t>
  </si>
  <si>
    <t>XCT25-10</t>
  </si>
  <si>
    <t xml:space="preserve">35² x  diam.10 </t>
  </si>
  <si>
    <t>XCT35-10</t>
  </si>
  <si>
    <t>50² x  diam.10</t>
  </si>
  <si>
    <t>XCT50-10</t>
  </si>
  <si>
    <t>70² x  diam.10</t>
  </si>
  <si>
    <t>XCT.70-10</t>
  </si>
  <si>
    <t>cosse à vis autocassante</t>
  </si>
  <si>
    <t>VCX114</t>
  </si>
  <si>
    <t>Cu 50à95² Alu 50à120²</t>
  </si>
  <si>
    <t>VCX118</t>
  </si>
  <si>
    <t>Cu 95à120² Alu 95à185²</t>
  </si>
  <si>
    <t>Connecteur de terre</t>
  </si>
  <si>
    <t>câble de 1 à 4²</t>
  </si>
  <si>
    <t>FBC 5X4</t>
  </si>
  <si>
    <t>câble de 2.5 à 16²</t>
  </si>
  <si>
    <t>FBC 5X6</t>
  </si>
  <si>
    <t>câble de 16 à 50²</t>
  </si>
  <si>
    <t>scotchlok</t>
  </si>
  <si>
    <t>UYF</t>
  </si>
  <si>
    <t>3M</t>
  </si>
  <si>
    <t>starfix</t>
  </si>
  <si>
    <t>0.5²</t>
  </si>
  <si>
    <t>376 61</t>
  </si>
  <si>
    <t>0.75²</t>
  </si>
  <si>
    <t>376 62</t>
  </si>
  <si>
    <t>starfix DOUBLE</t>
  </si>
  <si>
    <t>376 87</t>
  </si>
  <si>
    <t>1²</t>
  </si>
  <si>
    <t>376 63</t>
  </si>
  <si>
    <t>376 88</t>
  </si>
  <si>
    <t>1.5²</t>
  </si>
  <si>
    <t>376 64</t>
  </si>
  <si>
    <t>376 89</t>
  </si>
  <si>
    <t>2.5²</t>
  </si>
  <si>
    <t>376 66</t>
  </si>
  <si>
    <t>4²</t>
  </si>
  <si>
    <t>376 67</t>
  </si>
  <si>
    <t>6²</t>
  </si>
  <si>
    <t>376 68</t>
  </si>
  <si>
    <t>10²</t>
  </si>
  <si>
    <t>376 69</t>
  </si>
  <si>
    <t>16²</t>
  </si>
  <si>
    <t>376 70</t>
  </si>
  <si>
    <t>25²</t>
  </si>
  <si>
    <t>376 71</t>
  </si>
  <si>
    <t>pince à Starfix</t>
  </si>
  <si>
    <t>0.5 à 2.5mm²</t>
  </si>
  <si>
    <t>376 49</t>
  </si>
  <si>
    <t>repère fil</t>
  </si>
  <si>
    <t>0</t>
  </si>
  <si>
    <t>382 10</t>
  </si>
  <si>
    <t>CAB 3 0,5 à 1,5mm²</t>
  </si>
  <si>
    <t>382 11</t>
  </si>
  <si>
    <t>2</t>
  </si>
  <si>
    <t>382 12</t>
  </si>
  <si>
    <t>382 13</t>
  </si>
  <si>
    <t>4</t>
  </si>
  <si>
    <t>382 14</t>
  </si>
  <si>
    <t>382 15</t>
  </si>
  <si>
    <t>6</t>
  </si>
  <si>
    <t>382 16</t>
  </si>
  <si>
    <t>7</t>
  </si>
  <si>
    <t>382 17</t>
  </si>
  <si>
    <t>8</t>
  </si>
  <si>
    <t>382 18</t>
  </si>
  <si>
    <t>9</t>
  </si>
  <si>
    <t>382 19</t>
  </si>
  <si>
    <t>repère fil + chargeurs</t>
  </si>
  <si>
    <t>ensemble 250 chiffres 0.5à1.5² + 10 chargeurs</t>
  </si>
  <si>
    <t>382 02</t>
  </si>
  <si>
    <t>C</t>
  </si>
  <si>
    <t>383 02</t>
  </si>
  <si>
    <t>S</t>
  </si>
  <si>
    <t>383 18</t>
  </si>
  <si>
    <t>N</t>
  </si>
  <si>
    <t>383 13</t>
  </si>
  <si>
    <t>ISO12</t>
  </si>
  <si>
    <t>ISO16</t>
  </si>
  <si>
    <t>98001</t>
  </si>
  <si>
    <t>ISO20</t>
  </si>
  <si>
    <t>98003</t>
  </si>
  <si>
    <t>ISO25</t>
  </si>
  <si>
    <t>98005</t>
  </si>
  <si>
    <t>ISO32</t>
  </si>
  <si>
    <t>98006</t>
  </si>
  <si>
    <t>ISO40</t>
  </si>
  <si>
    <t>98007</t>
  </si>
  <si>
    <t>ISO50</t>
  </si>
  <si>
    <t>98008</t>
  </si>
  <si>
    <t>ISO63</t>
  </si>
  <si>
    <t>98009</t>
  </si>
  <si>
    <t>PG7</t>
  </si>
  <si>
    <t>98020</t>
  </si>
  <si>
    <t>PG9</t>
  </si>
  <si>
    <t>98021</t>
  </si>
  <si>
    <t>PG13</t>
  </si>
  <si>
    <t>98023</t>
  </si>
  <si>
    <t>PG21</t>
  </si>
  <si>
    <t>98025</t>
  </si>
  <si>
    <t>PG29</t>
  </si>
  <si>
    <t>98026</t>
  </si>
  <si>
    <t>PG36</t>
  </si>
  <si>
    <t>98027</t>
  </si>
  <si>
    <t>PG42</t>
  </si>
  <si>
    <t>98028</t>
  </si>
  <si>
    <t>PG48</t>
  </si>
  <si>
    <t>98029</t>
  </si>
  <si>
    <t>700 231</t>
  </si>
  <si>
    <t>Biz Line</t>
  </si>
  <si>
    <t>BIZ'LUB (Yellow)</t>
  </si>
  <si>
    <t>câble R2V</t>
  </si>
  <si>
    <t>3G1,5²</t>
  </si>
  <si>
    <t>diam. 11mm</t>
  </si>
  <si>
    <t>PE PG13/ISO20</t>
  </si>
  <si>
    <t>4G1,5²</t>
  </si>
  <si>
    <t>diam. 11.5mm</t>
  </si>
  <si>
    <t>5G1,5²</t>
  </si>
  <si>
    <t>diam. 12mm</t>
  </si>
  <si>
    <t>7G1,5²</t>
  </si>
  <si>
    <t>diam. 13.5mm</t>
  </si>
  <si>
    <t>PE PG21/ISO25</t>
  </si>
  <si>
    <t>12G1,5²</t>
  </si>
  <si>
    <t>diam. 17mm</t>
  </si>
  <si>
    <t>3G2,5²</t>
  </si>
  <si>
    <t>4G2,5²</t>
  </si>
  <si>
    <t>diam. 12.5mm</t>
  </si>
  <si>
    <t>5G2,5²</t>
  </si>
  <si>
    <t>diam. 13mm</t>
  </si>
  <si>
    <t>7G2,5²</t>
  </si>
  <si>
    <t>diam. 15mm</t>
  </si>
  <si>
    <t>3G4²</t>
  </si>
  <si>
    <t>4G4²</t>
  </si>
  <si>
    <t>diam. 14mm</t>
  </si>
  <si>
    <t>5G4²</t>
  </si>
  <si>
    <t>diam. 16mm</t>
  </si>
  <si>
    <t>3G6²</t>
  </si>
  <si>
    <t>4G6²</t>
  </si>
  <si>
    <t>5G6²</t>
  </si>
  <si>
    <t>4G10²</t>
  </si>
  <si>
    <t>diam. 18.5mm</t>
  </si>
  <si>
    <t>PE PG29/ISO32</t>
  </si>
  <si>
    <t>5G10²</t>
  </si>
  <si>
    <t>diam. 20mm</t>
  </si>
  <si>
    <t>4G16²</t>
  </si>
  <si>
    <t>diam. 21mm</t>
  </si>
  <si>
    <t>5G16²</t>
  </si>
  <si>
    <t>diam. 23mm</t>
  </si>
  <si>
    <t>4G25²</t>
  </si>
  <si>
    <t>diam. 25.5mm</t>
  </si>
  <si>
    <t>PE PG36/ISO40</t>
  </si>
  <si>
    <t>câble H07 RNF</t>
  </si>
  <si>
    <t>diam. 37.5mm</t>
  </si>
  <si>
    <t>PE PG48/ISO63</t>
  </si>
  <si>
    <t>5G25²</t>
  </si>
  <si>
    <t>diam. 41.5mm</t>
  </si>
  <si>
    <t>4G35²</t>
  </si>
  <si>
    <t>diam. 42mm</t>
  </si>
  <si>
    <t>4G50²</t>
  </si>
  <si>
    <t>diam. 48.5mm</t>
  </si>
  <si>
    <t>3x70²</t>
  </si>
  <si>
    <t>diam. 34mm</t>
  </si>
  <si>
    <t>PE PG42/ISO50</t>
  </si>
  <si>
    <t>1x35²</t>
  </si>
  <si>
    <t>1x50²</t>
  </si>
  <si>
    <t>1x70²</t>
  </si>
  <si>
    <t>1x95²</t>
  </si>
  <si>
    <t>diam. 19mm</t>
  </si>
  <si>
    <t>câble téléphonique</t>
  </si>
  <si>
    <t>AWG20 SYT1 9/10 2P</t>
  </si>
  <si>
    <t>à voir</t>
  </si>
  <si>
    <t>4x50m</t>
  </si>
  <si>
    <t>AWG20 SYT1 9/10 5P</t>
  </si>
  <si>
    <t>5 Paires</t>
  </si>
  <si>
    <t>AWG20 SYT1 9/10 10P</t>
  </si>
  <si>
    <t>10 Paires</t>
  </si>
  <si>
    <t>AWG20 SYT1 9/10 15P</t>
  </si>
  <si>
    <t>15 Paires</t>
  </si>
  <si>
    <t>câble LIYCY (CY)</t>
  </si>
  <si>
    <t>3G0.5²</t>
  </si>
  <si>
    <t>diam. 6.1mm</t>
  </si>
  <si>
    <t>4G0.5²</t>
  </si>
  <si>
    <t>diam. 6.7mm</t>
  </si>
  <si>
    <t>5G0.75²</t>
  </si>
  <si>
    <t>diam. 7.4mm</t>
  </si>
  <si>
    <t>7G0.75²</t>
  </si>
  <si>
    <t>diam. 8mm</t>
  </si>
  <si>
    <t>12G0.75²</t>
  </si>
  <si>
    <t>diam. 10.6mm</t>
  </si>
  <si>
    <t>19G0.75²</t>
  </si>
  <si>
    <t>2x1²</t>
  </si>
  <si>
    <t>diam. 6.2mm</t>
  </si>
  <si>
    <t>2x1,5²</t>
  </si>
  <si>
    <t>4x1²</t>
  </si>
  <si>
    <t>diam. 7.3mm</t>
  </si>
  <si>
    <t>câble H05 VV-F</t>
  </si>
  <si>
    <t>3G0.75²</t>
  </si>
  <si>
    <t>diam. 6.8mm</t>
  </si>
  <si>
    <t>4G0.75²</t>
  </si>
  <si>
    <t>cable YSL JZ</t>
  </si>
  <si>
    <t>4G0,5</t>
  </si>
  <si>
    <t>câble YSL JZ</t>
  </si>
  <si>
    <t>diam. 8.2mm</t>
  </si>
  <si>
    <t>diam. 10.9mm</t>
  </si>
  <si>
    <t>diam. 12.9mm</t>
  </si>
  <si>
    <t>fil de câblage H05-VK</t>
  </si>
  <si>
    <t>ROUGE</t>
  </si>
  <si>
    <t>BLEU</t>
  </si>
  <si>
    <t>NOIR</t>
  </si>
  <si>
    <t>VIOLET</t>
  </si>
  <si>
    <t>ORANGE</t>
  </si>
  <si>
    <t>fil de câblage H07-VK</t>
  </si>
  <si>
    <t>VERT / JAUNE</t>
  </si>
  <si>
    <t>35²</t>
  </si>
  <si>
    <t>50²</t>
  </si>
  <si>
    <t>câble LIYCY-JB ou CY</t>
  </si>
  <si>
    <t>4G1.5²</t>
  </si>
  <si>
    <t>4G2.5²</t>
  </si>
  <si>
    <t>diam. 12.3mm</t>
  </si>
  <si>
    <t>diam. 14.5mm</t>
  </si>
  <si>
    <t>diam. 16.4mm</t>
  </si>
  <si>
    <t>diam. 20.1mm</t>
  </si>
  <si>
    <t>diam. 23.4mm</t>
  </si>
  <si>
    <t>diam. 27mm</t>
  </si>
  <si>
    <t>diam. 30.7mm</t>
  </si>
  <si>
    <t>diam. 36.1mm</t>
  </si>
  <si>
    <t>câble Belden</t>
  </si>
  <si>
    <t>3106A</t>
  </si>
  <si>
    <t>gaine thermorétractable</t>
  </si>
  <si>
    <t>1.5 / 0.5-0</t>
  </si>
  <si>
    <t>BIZ215001</t>
  </si>
  <si>
    <t>3 / 1-0</t>
  </si>
  <si>
    <t>BIZ215002</t>
  </si>
  <si>
    <t>MDM</t>
  </si>
  <si>
    <t>6 / 2-0</t>
  </si>
  <si>
    <t>BIZ215003</t>
  </si>
  <si>
    <t>N2</t>
  </si>
  <si>
    <t>9 / 3-0</t>
  </si>
  <si>
    <t>BIZ215004</t>
  </si>
  <si>
    <t>18 / 6-0</t>
  </si>
  <si>
    <t>BIZ215006</t>
  </si>
  <si>
    <t>TPI, danbuss, N2</t>
  </si>
  <si>
    <t>24 / 8-0</t>
  </si>
  <si>
    <t>tyco</t>
  </si>
  <si>
    <t>39 / 13-0</t>
  </si>
  <si>
    <t>cable réseau RJ45</t>
  </si>
  <si>
    <t>FTP droit</t>
  </si>
  <si>
    <t>CAT6S1M</t>
  </si>
  <si>
    <t>Gigamedia</t>
  </si>
  <si>
    <t>1m</t>
  </si>
  <si>
    <t>CAT6S2M</t>
  </si>
  <si>
    <t>2m</t>
  </si>
  <si>
    <t>CAT6S3M</t>
  </si>
  <si>
    <t>3m</t>
  </si>
  <si>
    <t>CAT6S5M</t>
  </si>
  <si>
    <t>CAT6S10M</t>
  </si>
  <si>
    <t>mono-tube - M1</t>
  </si>
  <si>
    <t>1/4 - 3/8</t>
  </si>
  <si>
    <t>bi-tube - M1</t>
  </si>
  <si>
    <t>1/4 - 1/2</t>
  </si>
  <si>
    <t>1/4 - 5/8</t>
  </si>
  <si>
    <t>3/8 - 1/2</t>
  </si>
  <si>
    <t>3/8 - 5/8</t>
  </si>
  <si>
    <t>scotch aluminium</t>
  </si>
  <si>
    <t>Bande sans fin Serflex</t>
  </si>
  <si>
    <t>largeur 8mm</t>
  </si>
  <si>
    <t>8 218 2</t>
  </si>
  <si>
    <t>Tête Bande sans fin Serflex</t>
  </si>
  <si>
    <t>8 218 4</t>
  </si>
  <si>
    <t>1/2" et 7/8"</t>
  </si>
  <si>
    <t>ASP3351</t>
  </si>
  <si>
    <t>1/2 - 7/8 M6/8</t>
  </si>
  <si>
    <t>ASP3352</t>
  </si>
  <si>
    <t>1 1/8 - 5/8 M6/8</t>
  </si>
  <si>
    <t>ASP-3415</t>
  </si>
  <si>
    <t>support au sol PVC</t>
  </si>
  <si>
    <t>Longueur 1000cm</t>
  </si>
  <si>
    <t>LJXX5020A</t>
  </si>
  <si>
    <t>blanc 10x10cm 200kg</t>
  </si>
  <si>
    <t>1540653</t>
  </si>
  <si>
    <t>CLIM+</t>
  </si>
  <si>
    <t>blanc 10x10cm 300kg</t>
  </si>
  <si>
    <t>bande caoutchouc</t>
  </si>
  <si>
    <t>pour support PVC</t>
  </si>
  <si>
    <t>ALDES</t>
  </si>
  <si>
    <t>support sol Rubber Foot</t>
  </si>
  <si>
    <t>longeur 25cm</t>
  </si>
  <si>
    <t>LJAS6105A</t>
  </si>
  <si>
    <t>pneu recyclé 82kg</t>
  </si>
  <si>
    <t>BFF-1251</t>
  </si>
  <si>
    <t>longeur 40cm</t>
  </si>
  <si>
    <t>LJAS6110A</t>
  </si>
  <si>
    <t>pneu recyclé 128kg</t>
  </si>
  <si>
    <t>BFF-1269</t>
  </si>
  <si>
    <t>longeur 60cm</t>
  </si>
  <si>
    <t>LJAS6125A</t>
  </si>
  <si>
    <t>pneu recyclé 224kg</t>
  </si>
  <si>
    <t>BFF-1219</t>
  </si>
  <si>
    <t>longeur 100cm</t>
  </si>
  <si>
    <t>LJAS6130A</t>
  </si>
  <si>
    <t>pneu recyclé 295kg</t>
  </si>
  <si>
    <t>BFF-1229</t>
  </si>
  <si>
    <t>support mural split</t>
  </si>
  <si>
    <t>MS230</t>
  </si>
  <si>
    <t>QMRG1104A</t>
  </si>
  <si>
    <t>100kg 420x800mm</t>
  </si>
  <si>
    <t>longueur bras 460mm</t>
  </si>
  <si>
    <t>ALX-6063</t>
  </si>
  <si>
    <t>140kg 550x800mm</t>
  </si>
  <si>
    <t>MS253</t>
  </si>
  <si>
    <t>QMRG1145B</t>
  </si>
  <si>
    <t>140kg 465x1000mm</t>
  </si>
  <si>
    <t>longueur bras 600mm</t>
  </si>
  <si>
    <t>ALX-6030</t>
  </si>
  <si>
    <t>200kg 600x1000mm</t>
  </si>
  <si>
    <t>MUPRO</t>
  </si>
  <si>
    <t>520mm avec amortisseur</t>
  </si>
  <si>
    <t>940x420</t>
  </si>
  <si>
    <t>ALX-6812</t>
  </si>
  <si>
    <t>QLTT1505D</t>
  </si>
  <si>
    <t>longueur de 2m 80x60</t>
  </si>
  <si>
    <t>Sortie de mur coudée</t>
  </si>
  <si>
    <t>QLTT5505D</t>
  </si>
  <si>
    <t>goulotte PVC crème</t>
  </si>
  <si>
    <t>QLTT1805C</t>
  </si>
  <si>
    <t>longueur de 2m 140x90</t>
  </si>
  <si>
    <t>QLTT5805A</t>
  </si>
  <si>
    <t>électrovanne</t>
  </si>
  <si>
    <t>EVR 2 1/4</t>
  </si>
  <si>
    <t>32F1201</t>
  </si>
  <si>
    <t>Danfoss</t>
  </si>
  <si>
    <t>ODF</t>
  </si>
  <si>
    <t>EVR3S 3/8</t>
  </si>
  <si>
    <t>32F1204</t>
  </si>
  <si>
    <t>EVR6S 3/8</t>
  </si>
  <si>
    <t>32F1212</t>
  </si>
  <si>
    <t>EVR6S 1/2</t>
  </si>
  <si>
    <t>32F1209</t>
  </si>
  <si>
    <t>EVR10S 5/8</t>
  </si>
  <si>
    <t>32F1214</t>
  </si>
  <si>
    <t>EVR15S 5/8</t>
  </si>
  <si>
    <t>32F1228</t>
  </si>
  <si>
    <t>EVR15S 7/8</t>
  </si>
  <si>
    <t>32F1225</t>
  </si>
  <si>
    <t>EVR6S NO 3/8</t>
  </si>
  <si>
    <t>32F1290</t>
  </si>
  <si>
    <t>bobine EVR</t>
  </si>
  <si>
    <t>18F6802</t>
  </si>
  <si>
    <t>240V 50Hz 12W</t>
  </si>
  <si>
    <t>1/4 ODS</t>
  </si>
  <si>
    <t>V4S2</t>
  </si>
  <si>
    <t>Parker</t>
  </si>
  <si>
    <t>3/8 ODS</t>
  </si>
  <si>
    <t>V4S3</t>
  </si>
  <si>
    <t>V8S3</t>
  </si>
  <si>
    <t>1/2 ODS</t>
  </si>
  <si>
    <t>V8S4</t>
  </si>
  <si>
    <t>V13S4</t>
  </si>
  <si>
    <t>5/8 ODS</t>
  </si>
  <si>
    <t>V19S5</t>
  </si>
  <si>
    <t>bobine VEM</t>
  </si>
  <si>
    <t>RT-14</t>
  </si>
  <si>
    <t>déshydrateur</t>
  </si>
  <si>
    <t>1/4 flare 032</t>
  </si>
  <si>
    <t>032</t>
  </si>
  <si>
    <t>1/4 ODF 032</t>
  </si>
  <si>
    <t>032S</t>
  </si>
  <si>
    <t>1/4 flare</t>
  </si>
  <si>
    <t>voir nombre AKS32R</t>
  </si>
  <si>
    <t>3/8 ODF</t>
  </si>
  <si>
    <t>FCY 703 S</t>
  </si>
  <si>
    <t>Carly</t>
  </si>
  <si>
    <t>3/8 flare 053</t>
  </si>
  <si>
    <t>053</t>
  </si>
  <si>
    <t>3/8 ODF 053S</t>
  </si>
  <si>
    <t>053S</t>
  </si>
  <si>
    <t>1/2 ODF</t>
  </si>
  <si>
    <t>FCY 894 S</t>
  </si>
  <si>
    <t>1/2 flare 084</t>
  </si>
  <si>
    <t>084</t>
  </si>
  <si>
    <t>1/2 ODF 084S</t>
  </si>
  <si>
    <t>084S</t>
  </si>
  <si>
    <t>5/8 ODF</t>
  </si>
  <si>
    <t>FCY 895 S /MMS</t>
  </si>
  <si>
    <t>5/8 flare 165</t>
  </si>
  <si>
    <t>165</t>
  </si>
  <si>
    <t>&lt; 16,8kW</t>
  </si>
  <si>
    <t>5/8 ODF 165S</t>
  </si>
  <si>
    <t>165S</t>
  </si>
  <si>
    <t>5/8 flare 305</t>
  </si>
  <si>
    <t>305</t>
  </si>
  <si>
    <t>&lt; 19,2kW</t>
  </si>
  <si>
    <t>5/8 ODF 305S</t>
  </si>
  <si>
    <t>305S</t>
  </si>
  <si>
    <t>7/8 ODF 307S</t>
  </si>
  <si>
    <t>307S</t>
  </si>
  <si>
    <t>7/8 ODF 417S</t>
  </si>
  <si>
    <t>417S</t>
  </si>
  <si>
    <t>3/4 ODF</t>
  </si>
  <si>
    <t>FCY 896 S</t>
  </si>
  <si>
    <t>7/8 ODF</t>
  </si>
  <si>
    <t>FCY 897 S</t>
  </si>
  <si>
    <t>HYDROIL  163</t>
  </si>
  <si>
    <t>vanne à pression cste</t>
  </si>
  <si>
    <t>KVP 12</t>
  </si>
  <si>
    <t>034L0023</t>
  </si>
  <si>
    <t>KVP 15</t>
  </si>
  <si>
    <t>034L0029</t>
  </si>
  <si>
    <t>KVP 22</t>
  </si>
  <si>
    <t>034L0025</t>
  </si>
  <si>
    <t>KVP 28</t>
  </si>
  <si>
    <t>034L0026</t>
  </si>
  <si>
    <t>ORIT6 30/100 5/8</t>
  </si>
  <si>
    <t>ORIT6B58</t>
  </si>
  <si>
    <t>Sporlan</t>
  </si>
  <si>
    <t>ORIT6 30/100 7/8</t>
  </si>
  <si>
    <t>ORIT6B78</t>
  </si>
  <si>
    <t>ORIT6 30/100 1 1/8</t>
  </si>
  <si>
    <t>ORIT6B118</t>
  </si>
  <si>
    <t>ORIT6 0/50 7/8</t>
  </si>
  <si>
    <t>ORIT6A78</t>
  </si>
  <si>
    <t>ORIT6 0/50 1 1/8</t>
  </si>
  <si>
    <t>ORIT6A118</t>
  </si>
  <si>
    <t>ORIT10 30/100 7/8</t>
  </si>
  <si>
    <t>ORIT10B78</t>
  </si>
  <si>
    <t>ORIT10 30/100 1 1/8</t>
  </si>
  <si>
    <t>ORIT10B118</t>
  </si>
  <si>
    <t>ORIT10 30/100 1 3/8</t>
  </si>
  <si>
    <t>ORIT10B138</t>
  </si>
  <si>
    <t>ORIT10 0/50 7/8</t>
  </si>
  <si>
    <t>ORIT10A78</t>
  </si>
  <si>
    <t>ORIT10 0/50 1 1/8</t>
  </si>
  <si>
    <t>ORIT10A118</t>
  </si>
  <si>
    <t>ORIT10 0/50 1 3/8</t>
  </si>
  <si>
    <t>ORIT10A138</t>
  </si>
  <si>
    <t>A8A 7/8 x 7/8 ODS</t>
  </si>
  <si>
    <t>US Reco</t>
  </si>
  <si>
    <t>A8A 7/8 x 1 1/8 ODS</t>
  </si>
  <si>
    <t>A81 1"1/8 x 1 1/8 ODS</t>
  </si>
  <si>
    <t>A81 1"1/8 x 1 3/8 ODS</t>
  </si>
  <si>
    <t>A81 1"3/8 x 1 3/8 ODS</t>
  </si>
  <si>
    <t>A81 1"3/8 x 1 5/8 ODS</t>
  </si>
  <si>
    <t>A82 1"5/8 x 1 5/8 ODS</t>
  </si>
  <si>
    <t>A82 2"1/8 x 2 1/8 ODS</t>
  </si>
  <si>
    <t>A82 2"5/8 x 2 5/8 ODS</t>
  </si>
  <si>
    <t>pâte bleue</t>
  </si>
  <si>
    <t>tube</t>
  </si>
  <si>
    <t>détendeur R404A</t>
  </si>
  <si>
    <t>TS2-N</t>
  </si>
  <si>
    <t xml:space="preserve">068Z3414 </t>
  </si>
  <si>
    <t>flare x braser</t>
  </si>
  <si>
    <t>TES2-N</t>
  </si>
  <si>
    <t>068Z3415</t>
  </si>
  <si>
    <t>TS2-B</t>
  </si>
  <si>
    <t>068Z3418</t>
  </si>
  <si>
    <t>TES2-B</t>
  </si>
  <si>
    <t>068Z3419</t>
  </si>
  <si>
    <t>TES-B MOP-20°C</t>
  </si>
  <si>
    <t>068Z3421</t>
  </si>
  <si>
    <t>détendeur R22</t>
  </si>
  <si>
    <t>TX2-N</t>
  </si>
  <si>
    <t>068Z3281</t>
  </si>
  <si>
    <t>TEX2-N</t>
  </si>
  <si>
    <t>068Z3284</t>
  </si>
  <si>
    <t>TEX-B</t>
  </si>
  <si>
    <t>068Z3359</t>
  </si>
  <si>
    <t>TX2-B</t>
  </si>
  <si>
    <t>068Z3357</t>
  </si>
  <si>
    <t>orifice détendeur</t>
  </si>
  <si>
    <t>n° 0XS</t>
  </si>
  <si>
    <t>68-2089</t>
  </si>
  <si>
    <t>filtre plat avec adaptateur</t>
  </si>
  <si>
    <t>n° 00S</t>
  </si>
  <si>
    <t>68-2090</t>
  </si>
  <si>
    <t>n° 01S</t>
  </si>
  <si>
    <t>68-2091</t>
  </si>
  <si>
    <t>n° 02S</t>
  </si>
  <si>
    <t>68-2092</t>
  </si>
  <si>
    <t>n° 03S</t>
  </si>
  <si>
    <t>68-2093</t>
  </si>
  <si>
    <t>n° 04S</t>
  </si>
  <si>
    <t>68-2094</t>
  </si>
  <si>
    <t>n° 05S</t>
  </si>
  <si>
    <t>68-2095</t>
  </si>
  <si>
    <t>n° 06S</t>
  </si>
  <si>
    <t>68-2096</t>
  </si>
  <si>
    <t>adaptateur ODF</t>
  </si>
  <si>
    <t>068-2060</t>
  </si>
  <si>
    <t>068Z3206</t>
  </si>
  <si>
    <t>flare x flare</t>
  </si>
  <si>
    <t>068Z3209</t>
  </si>
  <si>
    <t>068Z3400</t>
  </si>
  <si>
    <t>068Z3403</t>
  </si>
  <si>
    <t>n° 0X</t>
  </si>
  <si>
    <t>68-2002</t>
  </si>
  <si>
    <t>filtre conique</t>
  </si>
  <si>
    <t>n° 00</t>
  </si>
  <si>
    <t>68-2003</t>
  </si>
  <si>
    <t>n° 01</t>
  </si>
  <si>
    <t>68-2010</t>
  </si>
  <si>
    <t>n° 02</t>
  </si>
  <si>
    <t>68-2015</t>
  </si>
  <si>
    <t>n° 03</t>
  </si>
  <si>
    <t>68-2006</t>
  </si>
  <si>
    <t>n° 04</t>
  </si>
  <si>
    <t>68-2007</t>
  </si>
  <si>
    <t>n° 05</t>
  </si>
  <si>
    <t>68-2008</t>
  </si>
  <si>
    <t>n° 06</t>
  </si>
  <si>
    <t>68-2009</t>
  </si>
  <si>
    <t>TE 5</t>
  </si>
  <si>
    <t>068B4011</t>
  </si>
  <si>
    <t>5/8x7/8</t>
  </si>
  <si>
    <t xml:space="preserve">TE 5 </t>
  </si>
  <si>
    <t>068B4010</t>
  </si>
  <si>
    <t>1/2x7/8</t>
  </si>
  <si>
    <t>068B4009</t>
  </si>
  <si>
    <t>1/2x5/8</t>
  </si>
  <si>
    <t>cartouche orifice</t>
  </si>
  <si>
    <t>n° 01 (3,7)</t>
  </si>
  <si>
    <t>067B2089</t>
  </si>
  <si>
    <t>n° 02 (5,0)</t>
  </si>
  <si>
    <t>067B2090</t>
  </si>
  <si>
    <t>élément thermostatiq.</t>
  </si>
  <si>
    <t>TES 5 - N</t>
  </si>
  <si>
    <t>067B3342</t>
  </si>
  <si>
    <t>TES 5 - B</t>
  </si>
  <si>
    <t>067B3344</t>
  </si>
  <si>
    <t>VCYL 33 FF S</t>
  </si>
  <si>
    <t>VCYL 34 FF S</t>
  </si>
  <si>
    <t>VCYL 35 FF S</t>
  </si>
  <si>
    <t>3/8 flare MF</t>
  </si>
  <si>
    <t>VCYL 23 MF</t>
  </si>
  <si>
    <t>1/2 flare MF</t>
  </si>
  <si>
    <t>VCYL 24 MF</t>
  </si>
  <si>
    <t>5/8 flare MF</t>
  </si>
  <si>
    <t>VCYL 25 MF</t>
  </si>
  <si>
    <t>7/8 ODS</t>
  </si>
  <si>
    <t>3120 / 7</t>
  </si>
  <si>
    <t>Castel</t>
  </si>
  <si>
    <t>1"1/8 ODS</t>
  </si>
  <si>
    <t xml:space="preserve"> 3120 / 9</t>
  </si>
  <si>
    <t>1"1/4 x 2"1/8 ODS</t>
  </si>
  <si>
    <t>CK4A-06</t>
  </si>
  <si>
    <t>2" x 2"5/8 ODS</t>
  </si>
  <si>
    <t>CK4A-08</t>
  </si>
  <si>
    <t>NRVH 16S</t>
  </si>
  <si>
    <t>5/8 dP 0,30bar</t>
  </si>
  <si>
    <t>NRVH 10S</t>
  </si>
  <si>
    <t>020-1046</t>
  </si>
  <si>
    <t>vanne de barrage</t>
  </si>
  <si>
    <t>009G7050</t>
  </si>
  <si>
    <t>avec schrader</t>
  </si>
  <si>
    <t>009G7051</t>
  </si>
  <si>
    <t>009G7052</t>
  </si>
  <si>
    <t>009G7053</t>
  </si>
  <si>
    <t>3/4</t>
  </si>
  <si>
    <t>009G7054</t>
  </si>
  <si>
    <t>009G7055</t>
  </si>
  <si>
    <t>009G7056</t>
  </si>
  <si>
    <t>009G7057</t>
  </si>
  <si>
    <t>009G7058</t>
  </si>
  <si>
    <t>009G7059</t>
  </si>
  <si>
    <t>009G7066</t>
  </si>
  <si>
    <t>009G7067</t>
  </si>
  <si>
    <t>4 1/8 pass. droit</t>
  </si>
  <si>
    <t>GSCB-100</t>
  </si>
  <si>
    <t>Vanne de barrage + clapet</t>
  </si>
  <si>
    <t>3/8 - 90bar</t>
  </si>
  <si>
    <t>EBV-PR1030</t>
  </si>
  <si>
    <t>1/2 - 90bar</t>
  </si>
  <si>
    <t>EBV-PR1040</t>
  </si>
  <si>
    <t>5/8 - 90bar</t>
  </si>
  <si>
    <t>EBV-PR1050</t>
  </si>
  <si>
    <t>3/4 - 90bar</t>
  </si>
  <si>
    <t>EBV-PR1060</t>
  </si>
  <si>
    <t>7/8 - 90bar</t>
  </si>
  <si>
    <t>EBV-PR1070</t>
  </si>
  <si>
    <t>1 1/8 - 90bar</t>
  </si>
  <si>
    <t>EBV-PR1090</t>
  </si>
  <si>
    <t>Vanne de barrage + clapet + Schrader</t>
  </si>
  <si>
    <t>EBVT-PR1030</t>
  </si>
  <si>
    <t>EBVT-PR1040</t>
  </si>
  <si>
    <t>EBVT-PR1050</t>
  </si>
  <si>
    <t>EBVT-PR1060</t>
  </si>
  <si>
    <t>EBVT-PR1070</t>
  </si>
  <si>
    <t>EBVT-PR1090</t>
  </si>
  <si>
    <t>1/4 - 1/4</t>
  </si>
  <si>
    <t>6012E/22</t>
  </si>
  <si>
    <t>Fritec</t>
  </si>
  <si>
    <t>Bouchon Laiton Femelle</t>
  </si>
  <si>
    <t>BF001</t>
  </si>
  <si>
    <t>Ecrou Flare Long</t>
  </si>
  <si>
    <t>E001</t>
  </si>
  <si>
    <t>Joint Intercalaire</t>
  </si>
  <si>
    <t>JIN001</t>
  </si>
  <si>
    <t>klixon de sécurité</t>
  </si>
  <si>
    <t>TH 5708L</t>
  </si>
  <si>
    <t>Friga Bohn</t>
  </si>
  <si>
    <t>thermostat ambiance</t>
  </si>
  <si>
    <t>Prodigy</t>
  </si>
  <si>
    <t>UT 72</t>
  </si>
  <si>
    <t>RMT230</t>
  </si>
  <si>
    <t>thermostat incendie</t>
  </si>
  <si>
    <t>KP77</t>
  </si>
  <si>
    <t>060L1121</t>
  </si>
  <si>
    <t>pressostat HP</t>
  </si>
  <si>
    <t>Réarm. Auto</t>
  </si>
  <si>
    <t>P77AAA-9350</t>
  </si>
  <si>
    <t>Johnson Controls</t>
  </si>
  <si>
    <t>3à30b diff 3-12b</t>
  </si>
  <si>
    <t xml:space="preserve"> KP5 Réarm. Auto</t>
  </si>
  <si>
    <t>060-117166</t>
  </si>
  <si>
    <t>8à32b diff 1.8-6b</t>
  </si>
  <si>
    <t>pressostat HP DESP</t>
  </si>
  <si>
    <t>KP7W Réarm. Auto</t>
  </si>
  <si>
    <t>060-119066</t>
  </si>
  <si>
    <t>8à32b diff 4-10b</t>
  </si>
  <si>
    <t>pressostat BP</t>
  </si>
  <si>
    <t>P77AAA-9300</t>
  </si>
  <si>
    <t/>
  </si>
  <si>
    <t>KP1 Réarm. Auto</t>
  </si>
  <si>
    <t>060-110166</t>
  </si>
  <si>
    <t>-0.2à7.5b diff 0.7-4b</t>
  </si>
  <si>
    <t>pressostat HP / BP</t>
  </si>
  <si>
    <t>P78LCA-9300</t>
  </si>
  <si>
    <t>3à30b diff3b -0.5à7b diff0.5-3b</t>
  </si>
  <si>
    <t>KP17W Réarm. Auto</t>
  </si>
  <si>
    <t>060-126766</t>
  </si>
  <si>
    <t>8à32b diff0.7-4b -0.2à7.5b diff4b</t>
  </si>
  <si>
    <t>support pressostat</t>
  </si>
  <si>
    <t>équerre</t>
  </si>
  <si>
    <t>T120</t>
  </si>
  <si>
    <t>1/4 M x 1/4 M x 1/4 F</t>
  </si>
  <si>
    <t>T01</t>
  </si>
  <si>
    <t>1/4 M x 1/4 M x 1/4 M</t>
  </si>
  <si>
    <t>A31444</t>
  </si>
  <si>
    <t>40399</t>
  </si>
  <si>
    <t>40396</t>
  </si>
  <si>
    <t>bouchon femelle laiton</t>
  </si>
  <si>
    <t>3/8 flare</t>
  </si>
  <si>
    <t>joint cuivre intercalaire</t>
  </si>
  <si>
    <t>flexible 1/4 flare</t>
  </si>
  <si>
    <t>50cm 1Dr. 1Co.</t>
  </si>
  <si>
    <t>80cm 1Dr. 1Co.</t>
  </si>
  <si>
    <t>100cm 1Dr. 1Co.</t>
  </si>
  <si>
    <t>120cm</t>
  </si>
  <si>
    <t>420 NA401FN</t>
  </si>
  <si>
    <t>Elreha</t>
  </si>
  <si>
    <t>coup de poing</t>
  </si>
  <si>
    <t>420 107-0607-0010</t>
  </si>
  <si>
    <t>supplémentaire</t>
  </si>
  <si>
    <t>TTLAPE03</t>
  </si>
  <si>
    <t>FGTT1024A</t>
  </si>
  <si>
    <t>Total Line</t>
  </si>
  <si>
    <t>FXTT1000A</t>
  </si>
  <si>
    <t>détection fréon</t>
  </si>
  <si>
    <t>MGD 1SC-1L</t>
  </si>
  <si>
    <t>Murco</t>
  </si>
  <si>
    <t>HFC 1 sonde - 1 niveau</t>
  </si>
  <si>
    <t>détendeur électrique</t>
  </si>
  <si>
    <t>AKV10-01</t>
  </si>
  <si>
    <t>068F1161</t>
  </si>
  <si>
    <t>AKV10-02</t>
  </si>
  <si>
    <t>068F1164</t>
  </si>
  <si>
    <t>AKV10-03</t>
  </si>
  <si>
    <t>068F1167</t>
  </si>
  <si>
    <t>AKV10-04</t>
  </si>
  <si>
    <t>068F1170</t>
  </si>
  <si>
    <t>AKV10-05</t>
  </si>
  <si>
    <t>068F1173</t>
  </si>
  <si>
    <t>AKV10-06</t>
  </si>
  <si>
    <t>068F1176</t>
  </si>
  <si>
    <t>AKV10-07</t>
  </si>
  <si>
    <t>068F1179</t>
  </si>
  <si>
    <t>AKVH10-01</t>
  </si>
  <si>
    <t>068F4079</t>
  </si>
  <si>
    <t>AKVH10-02</t>
  </si>
  <si>
    <t>068F4080</t>
  </si>
  <si>
    <t>AKVH10-03</t>
  </si>
  <si>
    <t>068F4081</t>
  </si>
  <si>
    <t>AKVH10-04</t>
  </si>
  <si>
    <t>068F4082</t>
  </si>
  <si>
    <t>AKVH10-05</t>
  </si>
  <si>
    <t>068F4083</t>
  </si>
  <si>
    <t>AKVH10-06</t>
  </si>
  <si>
    <t>068F4084</t>
  </si>
  <si>
    <t>bobine AKV</t>
  </si>
  <si>
    <t>230V CC</t>
  </si>
  <si>
    <t>018F6781</t>
  </si>
  <si>
    <t>EKC 414A / AKC</t>
  </si>
  <si>
    <t>230V AC</t>
  </si>
  <si>
    <t>018F6783</t>
  </si>
  <si>
    <t>AK-CC 550</t>
  </si>
  <si>
    <t>filtre AKV</t>
  </si>
  <si>
    <t>068F0540</t>
  </si>
  <si>
    <t>joint AKV</t>
  </si>
  <si>
    <t>aluminium</t>
  </si>
  <si>
    <t>068F0549</t>
  </si>
  <si>
    <t>sonde température</t>
  </si>
  <si>
    <t>AKS11 Pt1000</t>
  </si>
  <si>
    <t>AKS12 Pt1000</t>
  </si>
  <si>
    <t>TF5019</t>
  </si>
  <si>
    <t>ZZ0000TF5019</t>
  </si>
  <si>
    <t>MFOOD</t>
  </si>
  <si>
    <t>capteur de pression BP</t>
  </si>
  <si>
    <t>AKS32R</t>
  </si>
  <si>
    <t>060G1036</t>
  </si>
  <si>
    <t>060G0090</t>
  </si>
  <si>
    <t>AKS2050</t>
  </si>
  <si>
    <t>060G5750</t>
  </si>
  <si>
    <t>fiche + câble AKS32R</t>
  </si>
  <si>
    <t>connecteur AKS32R</t>
  </si>
  <si>
    <t>060G1034</t>
  </si>
  <si>
    <t>DG025HUB</t>
  </si>
  <si>
    <t>ZZ00DG025HUB</t>
  </si>
  <si>
    <t>Huba</t>
  </si>
  <si>
    <t>DG110HUB</t>
  </si>
  <si>
    <t>ZZ00DG110HUB</t>
  </si>
  <si>
    <t>cartouche déshy</t>
  </si>
  <si>
    <t>taille 048</t>
  </si>
  <si>
    <t>US-848-CM</t>
  </si>
  <si>
    <t>haut pouvoir</t>
  </si>
  <si>
    <t>taille 100</t>
  </si>
  <si>
    <t>US-810-CM</t>
  </si>
  <si>
    <t>RCW 48 Gold</t>
  </si>
  <si>
    <t>triple capacité</t>
  </si>
  <si>
    <t>cartouche aspi filtration 5µ</t>
  </si>
  <si>
    <t>US-848-CF</t>
  </si>
  <si>
    <t>5µ</t>
  </si>
  <si>
    <t>US-810-CF</t>
  </si>
  <si>
    <t>tamis inox</t>
  </si>
  <si>
    <t>US-848-ST</t>
  </si>
  <si>
    <t>150µ</t>
  </si>
  <si>
    <t>filtre micronique feutre</t>
  </si>
  <si>
    <t>US-848-F</t>
  </si>
  <si>
    <t>feutre simple</t>
  </si>
  <si>
    <t>US-810-F</t>
  </si>
  <si>
    <t>CCY 100 F</t>
  </si>
  <si>
    <t>vanne dégazage</t>
  </si>
  <si>
    <t>PAS-22B</t>
  </si>
  <si>
    <t>1/4 flare x 1/4 NPT</t>
  </si>
  <si>
    <t>PAS-23B</t>
  </si>
  <si>
    <t>3/8 flare x 1/4 NPT</t>
  </si>
  <si>
    <t>617A-6S6</t>
  </si>
  <si>
    <t>3/8 ODS x 3/8 Flare</t>
  </si>
  <si>
    <t>617A-4S4</t>
  </si>
  <si>
    <t>1/4 ODS x 1/4 Flare</t>
  </si>
  <si>
    <t>vanne shraeder</t>
  </si>
  <si>
    <t>sur tube 1/4</t>
  </si>
  <si>
    <t>MV-8404</t>
  </si>
  <si>
    <t>KEXX0030A</t>
  </si>
  <si>
    <t>écrou+douille cuivre</t>
  </si>
  <si>
    <t>22mm x 3/4G</t>
  </si>
  <si>
    <t>360GCU223</t>
  </si>
  <si>
    <t>CGR</t>
  </si>
  <si>
    <t>soupape réservoir</t>
  </si>
  <si>
    <t>Obus de Schrader</t>
  </si>
  <si>
    <t>KAAQ6204A</t>
  </si>
  <si>
    <t>cordons chauffant</t>
  </si>
  <si>
    <t>longueur 1,00m</t>
  </si>
  <si>
    <t>auto-régulant</t>
  </si>
  <si>
    <t>longueur 2,00m</t>
  </si>
  <si>
    <t>longueur 3,00m</t>
  </si>
  <si>
    <t>longueur 4,00m</t>
  </si>
  <si>
    <t>longueur 5,00m</t>
  </si>
  <si>
    <t>longueur 6,00m</t>
  </si>
  <si>
    <t>pompe vitrine</t>
  </si>
  <si>
    <t>MCI VITECO</t>
  </si>
  <si>
    <t>FP2803</t>
  </si>
  <si>
    <t>Aspen</t>
  </si>
  <si>
    <t xml:space="preserve"> MCI SLIMECO</t>
  </si>
  <si>
    <t>FP2806</t>
  </si>
  <si>
    <t>pompe goulotte</t>
  </si>
  <si>
    <t>MIMI LIME</t>
  </si>
  <si>
    <t>FP3322</t>
  </si>
  <si>
    <t>ATC</t>
  </si>
  <si>
    <t>pompe seul</t>
  </si>
  <si>
    <t xml:space="preserve">MAXI ORANGE </t>
  </si>
  <si>
    <t>FP2210</t>
  </si>
  <si>
    <t>MAXI LIME BBJ</t>
  </si>
  <si>
    <t>FP2213</t>
  </si>
  <si>
    <t>pompe bac 1,7L</t>
  </si>
  <si>
    <t>HI.FLOW MAX</t>
  </si>
  <si>
    <t>pompe bac 1,9L</t>
  </si>
  <si>
    <t>VCMA-20S</t>
  </si>
  <si>
    <t>LG 554171</t>
  </si>
  <si>
    <t>tuyau souple diam. 40</t>
  </si>
  <si>
    <t>intérieur lisse</t>
  </si>
  <si>
    <t>9578</t>
  </si>
  <si>
    <t>raccord pour tuyau souple</t>
  </si>
  <si>
    <t>9574</t>
  </si>
  <si>
    <t>avec écrou 1 1/2 prisonnier</t>
  </si>
  <si>
    <t>54083</t>
  </si>
  <si>
    <t>Femelle diam. 40</t>
  </si>
  <si>
    <t>9576</t>
  </si>
  <si>
    <t>male diam. 40</t>
  </si>
  <si>
    <t>Tubclair</t>
  </si>
  <si>
    <t>diam. 6 x 9</t>
  </si>
  <si>
    <t>cristal</t>
  </si>
  <si>
    <t>Tubclair renforcé</t>
  </si>
  <si>
    <t>diam 6x10</t>
  </si>
  <si>
    <t>ASP-219</t>
  </si>
  <si>
    <t>Xtra</t>
  </si>
  <si>
    <t>Tricoclair</t>
  </si>
  <si>
    <t>diam. 9 x 15</t>
  </si>
  <si>
    <t>HI FLOW</t>
  </si>
  <si>
    <t>diam. 10 x 16</t>
  </si>
  <si>
    <t>55389</t>
  </si>
  <si>
    <t>VITECO, etc.</t>
  </si>
  <si>
    <t>diam. 15 x 23</t>
  </si>
  <si>
    <t>diam.19,4 x 26,8</t>
  </si>
  <si>
    <t>55392</t>
  </si>
  <si>
    <t>Collier Serflex</t>
  </si>
  <si>
    <t>diam. 9 x 18mm</t>
  </si>
  <si>
    <t>8 218 9</t>
  </si>
  <si>
    <t>diam. 32 x 52mm</t>
  </si>
  <si>
    <t>8 218 32</t>
  </si>
  <si>
    <t xml:space="preserve">Raccord reducteur </t>
  </si>
  <si>
    <t>de 25 à 40mm</t>
  </si>
  <si>
    <t>MTG</t>
  </si>
  <si>
    <t>15 - 1.2</t>
  </si>
  <si>
    <t>18 - 1.2</t>
  </si>
  <si>
    <t>22 - 1.5</t>
  </si>
  <si>
    <t>28 - 1.5</t>
  </si>
  <si>
    <t>35 - 1.5</t>
  </si>
  <si>
    <t>42 - 1.5</t>
  </si>
  <si>
    <t>54 - 1.5</t>
  </si>
  <si>
    <t>76 - 2</t>
  </si>
  <si>
    <t>Manchon F-F</t>
  </si>
  <si>
    <t>15</t>
  </si>
  <si>
    <t>18</t>
  </si>
  <si>
    <t>22</t>
  </si>
  <si>
    <t>28</t>
  </si>
  <si>
    <t>35</t>
  </si>
  <si>
    <t>42</t>
  </si>
  <si>
    <t>54</t>
  </si>
  <si>
    <t>76</t>
  </si>
  <si>
    <t>Manchon d'ajustage F-F</t>
  </si>
  <si>
    <t>Té Egal F-F-F</t>
  </si>
  <si>
    <t>Té Réduit F-F-F</t>
  </si>
  <si>
    <t>18 x 15 x 18</t>
  </si>
  <si>
    <t>22 x 15 x 22</t>
  </si>
  <si>
    <t>22 x 18 x 22</t>
  </si>
  <si>
    <t>28 x 15 x 28</t>
  </si>
  <si>
    <t>28 x 18 x 28</t>
  </si>
  <si>
    <t>28 x 22 x 28</t>
  </si>
  <si>
    <t>35 x 15 x 35</t>
  </si>
  <si>
    <t>35 x 18 x 35</t>
  </si>
  <si>
    <t>35 x 22 x 35</t>
  </si>
  <si>
    <t>35 x 28 x 35</t>
  </si>
  <si>
    <t>42 x 22 x 42</t>
  </si>
  <si>
    <t>42 x 28 x 42</t>
  </si>
  <si>
    <t>42 x 35 x 42</t>
  </si>
  <si>
    <t>54 x 22 x 54</t>
  </si>
  <si>
    <t>54 x 28 x 54</t>
  </si>
  <si>
    <t>54 x 35 x 54</t>
  </si>
  <si>
    <t>54 x 42 x 54</t>
  </si>
  <si>
    <t>76 x 54 x 76</t>
  </si>
  <si>
    <t>15 x 1/2" x 15</t>
  </si>
  <si>
    <t>18 x 1/2" x 18</t>
  </si>
  <si>
    <t>22 x 1/2" x 18</t>
  </si>
  <si>
    <t>22 x 3/4" x 22</t>
  </si>
  <si>
    <t>28 x 1/2" x 28</t>
  </si>
  <si>
    <t>28 x 3/4" x 28</t>
  </si>
  <si>
    <t>35 x 1/2" x 35</t>
  </si>
  <si>
    <t>35 x 3/4" x 35</t>
  </si>
  <si>
    <t>42 x 1/2" x 42</t>
  </si>
  <si>
    <t>42 x 3/4" x 42</t>
  </si>
  <si>
    <t>54 x 1/2" x 54</t>
  </si>
  <si>
    <t>54 x 3/4" x 54</t>
  </si>
  <si>
    <t>76 x 3/4" x 76</t>
  </si>
  <si>
    <t>Réduction M-F</t>
  </si>
  <si>
    <t>18 x 15</t>
  </si>
  <si>
    <t>22 x 15</t>
  </si>
  <si>
    <t>22 x 18</t>
  </si>
  <si>
    <t>28 x 15</t>
  </si>
  <si>
    <t>28 x 18</t>
  </si>
  <si>
    <t>28 x 22</t>
  </si>
  <si>
    <t>35 x 22</t>
  </si>
  <si>
    <t>35 x 28</t>
  </si>
  <si>
    <t>42 x 28</t>
  </si>
  <si>
    <t>42 x 35</t>
  </si>
  <si>
    <t>54 x 22</t>
  </si>
  <si>
    <t>54 x 28</t>
  </si>
  <si>
    <t>54 x 35</t>
  </si>
  <si>
    <t>54 x 42</t>
  </si>
  <si>
    <t>76 x 42</t>
  </si>
  <si>
    <t>76 x 54</t>
  </si>
  <si>
    <t>Raccord Mixte-M</t>
  </si>
  <si>
    <t>15 x 3/8"</t>
  </si>
  <si>
    <t>15 x 1/2"</t>
  </si>
  <si>
    <t>18 x 1/2"</t>
  </si>
  <si>
    <t>18 x 3/4"</t>
  </si>
  <si>
    <t>22 x 1/2"</t>
  </si>
  <si>
    <t>22 x 3/4"</t>
  </si>
  <si>
    <t>28 x 1"</t>
  </si>
  <si>
    <t>35 x 1"1/4</t>
  </si>
  <si>
    <t>42 x 1"1/2</t>
  </si>
  <si>
    <t>54 x 2"</t>
  </si>
  <si>
    <t>76 x 2"1/2</t>
  </si>
  <si>
    <t>Raccord Mixte-F</t>
  </si>
  <si>
    <t>28 x 1/2"</t>
  </si>
  <si>
    <t>22 x 24</t>
  </si>
  <si>
    <t>28 x 31</t>
  </si>
  <si>
    <t>35 x 38</t>
  </si>
  <si>
    <t>42 x 44.5</t>
  </si>
  <si>
    <t>54 x 57</t>
  </si>
  <si>
    <t>76 - DN65</t>
  </si>
  <si>
    <t>Bouchon F</t>
  </si>
  <si>
    <t>18 x 1/2'</t>
  </si>
  <si>
    <t>35 x 1'1/4</t>
  </si>
  <si>
    <t>42 x 1'1/2</t>
  </si>
  <si>
    <t>54 x 2'</t>
  </si>
  <si>
    <t>Tube cuivre</t>
  </si>
  <si>
    <t>LAXX1211A</t>
  </si>
  <si>
    <t>PS (bar) :</t>
  </si>
  <si>
    <t>LAXX1621A</t>
  </si>
  <si>
    <t>LAXX1821A</t>
  </si>
  <si>
    <t>LAXX2021A</t>
  </si>
  <si>
    <t>LAXX2421A</t>
  </si>
  <si>
    <t>LAXX2621A</t>
  </si>
  <si>
    <t>LAXX3221A</t>
  </si>
  <si>
    <t>LAXX3631A</t>
  </si>
  <si>
    <t>LAXX3831A</t>
  </si>
  <si>
    <t>LAXX4241A</t>
  </si>
  <si>
    <t>LAXX4651A</t>
  </si>
  <si>
    <t>LAXX5261A</t>
  </si>
  <si>
    <t>LAXX5661A</t>
  </si>
  <si>
    <t>LAXX6071A</t>
  </si>
  <si>
    <t>couronne cuivre</t>
  </si>
  <si>
    <t>LCXX1215A</t>
  </si>
  <si>
    <t>LCXX1615A</t>
  </si>
  <si>
    <t>LCXX1825A</t>
  </si>
  <si>
    <t>LCXX2025A</t>
  </si>
  <si>
    <t>LCXX2425A</t>
  </si>
  <si>
    <t>LCXX2625A</t>
  </si>
  <si>
    <t>LCXX1226A</t>
  </si>
  <si>
    <t>LCXX1626A</t>
  </si>
  <si>
    <t>LCXX1826A</t>
  </si>
  <si>
    <t>LCXX2026A</t>
  </si>
  <si>
    <t>LCXX2426A</t>
  </si>
  <si>
    <t>coude 45° F-F</t>
  </si>
  <si>
    <t>KDXX1010A</t>
  </si>
  <si>
    <t>KDXX1020A</t>
  </si>
  <si>
    <t>KDXX1030A</t>
  </si>
  <si>
    <t>KDXX1040A</t>
  </si>
  <si>
    <t>KDXX1050A</t>
  </si>
  <si>
    <t>KDXX1060A</t>
  </si>
  <si>
    <t>KDXX1080A</t>
  </si>
  <si>
    <t>KDXX1090A</t>
  </si>
  <si>
    <t>KDXX1100A</t>
  </si>
  <si>
    <t>KDXX1110A</t>
  </si>
  <si>
    <t>KDXX1120A</t>
  </si>
  <si>
    <t>KDXX1130A</t>
  </si>
  <si>
    <t>KDXX1140A</t>
  </si>
  <si>
    <t>KDXX1150A</t>
  </si>
  <si>
    <t>coude 45° M-F</t>
  </si>
  <si>
    <t>KDXX2020A</t>
  </si>
  <si>
    <t>KDXX2030A</t>
  </si>
  <si>
    <t>KDXX2040A</t>
  </si>
  <si>
    <t>KDXX2050A</t>
  </si>
  <si>
    <t>KDXX2060A</t>
  </si>
  <si>
    <t>KDXX2070A</t>
  </si>
  <si>
    <t>KDXX2080A</t>
  </si>
  <si>
    <t>KDXX2090A</t>
  </si>
  <si>
    <t>KDXX2100A</t>
  </si>
  <si>
    <t>KDXX2120A</t>
  </si>
  <si>
    <t>KDXX2130A</t>
  </si>
  <si>
    <t>coude 90° GR F-F</t>
  </si>
  <si>
    <t>KDXX5020A</t>
  </si>
  <si>
    <t>KDXX5030A</t>
  </si>
  <si>
    <t>KDXX5040A</t>
  </si>
  <si>
    <t>KDXX5050A</t>
  </si>
  <si>
    <t>KDXX5060A</t>
  </si>
  <si>
    <t>KDXX5070A</t>
  </si>
  <si>
    <t>KDXX5090A</t>
  </si>
  <si>
    <t>KDXX5100A</t>
  </si>
  <si>
    <t>KDXX5110A</t>
  </si>
  <si>
    <t>KDXX5120A</t>
  </si>
  <si>
    <t>KDXX5130A</t>
  </si>
  <si>
    <t>KDXX5140A</t>
  </si>
  <si>
    <t>KDXX5250A</t>
  </si>
  <si>
    <t>KDXX5260A</t>
  </si>
  <si>
    <t>coude 90° GR M-F</t>
  </si>
  <si>
    <t>KDXX6020A</t>
  </si>
  <si>
    <t>KDXX6030A</t>
  </si>
  <si>
    <t>KDXX6040A</t>
  </si>
  <si>
    <t>KDXX6050A</t>
  </si>
  <si>
    <t>KDXX6060A</t>
  </si>
  <si>
    <t>KDXX6070A</t>
  </si>
  <si>
    <t>KDXX6080A</t>
  </si>
  <si>
    <t>KDXX6090A</t>
  </si>
  <si>
    <t>KDXX6100A</t>
  </si>
  <si>
    <t>KDXX6110A</t>
  </si>
  <si>
    <t>KDXX6120A</t>
  </si>
  <si>
    <t>KDXX6130A</t>
  </si>
  <si>
    <t>KDXX4140A</t>
  </si>
  <si>
    <t>bouchon femelle</t>
  </si>
  <si>
    <t>KBXX6050A</t>
  </si>
  <si>
    <t>KBXX6060A</t>
  </si>
  <si>
    <t>KBXX6070A</t>
  </si>
  <si>
    <t>KBXX6080A</t>
  </si>
  <si>
    <t>KBXX6090A</t>
  </si>
  <si>
    <t>KBXX6100A</t>
  </si>
  <si>
    <t>KBXX6110A</t>
  </si>
  <si>
    <t>KBXX6120A</t>
  </si>
  <si>
    <t>KBXX6140A</t>
  </si>
  <si>
    <t>manchon réduit F-F</t>
  </si>
  <si>
    <t>3/8x1/4</t>
  </si>
  <si>
    <t>KBXX2030A</t>
  </si>
  <si>
    <t>1/2x1/4</t>
  </si>
  <si>
    <t>KBXX2040A</t>
  </si>
  <si>
    <t>1/2x3/8</t>
  </si>
  <si>
    <t>KBXX2060A</t>
  </si>
  <si>
    <t>5/8x1/4</t>
  </si>
  <si>
    <t>5/8x3/8</t>
  </si>
  <si>
    <t>KBXX2070A</t>
  </si>
  <si>
    <t>5/8x1/2</t>
  </si>
  <si>
    <t>KBXX2080A</t>
  </si>
  <si>
    <t>3/4x3/8</t>
  </si>
  <si>
    <t>KBXX2090A</t>
  </si>
  <si>
    <t>3/4x1/2</t>
  </si>
  <si>
    <t>KBXX2100A</t>
  </si>
  <si>
    <t>3/4x5/8</t>
  </si>
  <si>
    <t>KBXX2110A</t>
  </si>
  <si>
    <t>7/8x3/8</t>
  </si>
  <si>
    <t>KBXX2120A</t>
  </si>
  <si>
    <t>7/8x1/2</t>
  </si>
  <si>
    <t>KBXX2130A</t>
  </si>
  <si>
    <t>7/8x5/8</t>
  </si>
  <si>
    <t>KBXX2140A</t>
  </si>
  <si>
    <t>7/8x3/4</t>
  </si>
  <si>
    <t>KBXX2150A</t>
  </si>
  <si>
    <t>1"1/8x5/8</t>
  </si>
  <si>
    <t>KBXX2170A</t>
  </si>
  <si>
    <t>1"1/8x3/4</t>
  </si>
  <si>
    <t>KBXX2180A</t>
  </si>
  <si>
    <t>1"1/8x7/8</t>
  </si>
  <si>
    <t>KBXX2190A</t>
  </si>
  <si>
    <t>1"3/8x5/8</t>
  </si>
  <si>
    <t>KBXX2200A</t>
  </si>
  <si>
    <t>1"3/8x7/8</t>
  </si>
  <si>
    <t>KBXX2220A</t>
  </si>
  <si>
    <t>1"3/8x1"1/8</t>
  </si>
  <si>
    <t>KBXX2230A</t>
  </si>
  <si>
    <t>1"5/8x5/8</t>
  </si>
  <si>
    <t>KBXX2239A</t>
  </si>
  <si>
    <t>1"5/8x7/8</t>
  </si>
  <si>
    <t>1"5/8x1"1/8</t>
  </si>
  <si>
    <t>KBXX2240A</t>
  </si>
  <si>
    <t>1"5/8x1"3/8</t>
  </si>
  <si>
    <t>KBXX2250A</t>
  </si>
  <si>
    <t>2"1/8x7/8</t>
  </si>
  <si>
    <t>KBXX2260A</t>
  </si>
  <si>
    <t>2"1/8x1"1/8</t>
  </si>
  <si>
    <t>KBXX2270A</t>
  </si>
  <si>
    <t>2"1/8x1"3/8</t>
  </si>
  <si>
    <t>KBXX2280A</t>
  </si>
  <si>
    <t>2"1/8x1"5/8</t>
  </si>
  <si>
    <t>KBXX2290A</t>
  </si>
  <si>
    <t>2"5/8x1"1/8</t>
  </si>
  <si>
    <t>KBXX2300A</t>
  </si>
  <si>
    <t>2"5/8x1"3/8</t>
  </si>
  <si>
    <t>KBXX2310A</t>
  </si>
  <si>
    <t>2"5/8x1"5/8</t>
  </si>
  <si>
    <t>KBXX2320A</t>
  </si>
  <si>
    <t>2"5/8x2"1/8</t>
  </si>
  <si>
    <t>KBXX2330A</t>
  </si>
  <si>
    <t>3"1/8x1"3/8</t>
  </si>
  <si>
    <t>3"1/8x1"5/8</t>
  </si>
  <si>
    <t>KBXX2340A</t>
  </si>
  <si>
    <t>3"1/8x2"1/8</t>
  </si>
  <si>
    <t>KBXX2350A</t>
  </si>
  <si>
    <t>3"1/8x2"5/8</t>
  </si>
  <si>
    <t>KBXX2360A</t>
  </si>
  <si>
    <t>3"5/8x2"1/8</t>
  </si>
  <si>
    <t>3"5/8x2"5/8</t>
  </si>
  <si>
    <t>3"5/8x3"1/8</t>
  </si>
  <si>
    <t>KBXX2370A</t>
  </si>
  <si>
    <t>4"1/8x2"1/8</t>
  </si>
  <si>
    <t>4"1/8x2"5/8</t>
  </si>
  <si>
    <t>4"1/8x3"1/8</t>
  </si>
  <si>
    <t>4"1/8x3"5/8</t>
  </si>
  <si>
    <t>té égal</t>
  </si>
  <si>
    <t>KBXX4030A</t>
  </si>
  <si>
    <t>KBXX4040A</t>
  </si>
  <si>
    <t>KBXX4050A</t>
  </si>
  <si>
    <t>KBXX4060A</t>
  </si>
  <si>
    <t>KBXX4070A</t>
  </si>
  <si>
    <t>KBXX4080A</t>
  </si>
  <si>
    <t>KBXX4100A</t>
  </si>
  <si>
    <t>KBXX4110A</t>
  </si>
  <si>
    <t>KBXX4120A</t>
  </si>
  <si>
    <t>KBXX4130A</t>
  </si>
  <si>
    <t>KBXX4140A</t>
  </si>
  <si>
    <t>KBXX4150A</t>
  </si>
  <si>
    <t>KBXX4160A</t>
  </si>
  <si>
    <t>KBXX4170A</t>
  </si>
  <si>
    <t>manchon réduit M-F</t>
  </si>
  <si>
    <t>KBXX3010A</t>
  </si>
  <si>
    <t>KBXX3020A</t>
  </si>
  <si>
    <t>KBXX3030A</t>
  </si>
  <si>
    <t>KBXX3040A</t>
  </si>
  <si>
    <t>KBXX3050A</t>
  </si>
  <si>
    <t>KBXX3060A</t>
  </si>
  <si>
    <t>KBXX3070A</t>
  </si>
  <si>
    <t>KBXX3080A</t>
  </si>
  <si>
    <t>KBXX3100A</t>
  </si>
  <si>
    <t>KBXX3090A</t>
  </si>
  <si>
    <t>KBXX3110A</t>
  </si>
  <si>
    <t>KBXX3120A</t>
  </si>
  <si>
    <t>KBXX3140A</t>
  </si>
  <si>
    <t>KBXX3150A</t>
  </si>
  <si>
    <t>KBXX3160A</t>
  </si>
  <si>
    <t>KBXX3170A</t>
  </si>
  <si>
    <t>KBXX3180A</t>
  </si>
  <si>
    <t>KBXX3190A</t>
  </si>
  <si>
    <t>KBXX3200A</t>
  </si>
  <si>
    <t>KBXX3210A</t>
  </si>
  <si>
    <t>KBXX3220A</t>
  </si>
  <si>
    <t>KBXX3230A</t>
  </si>
  <si>
    <t>KBXX3240A</t>
  </si>
  <si>
    <t>KBXX3250A</t>
  </si>
  <si>
    <t>KBXX3260A</t>
  </si>
  <si>
    <t>KBXX3270A</t>
  </si>
  <si>
    <t>KBXX3280A</t>
  </si>
  <si>
    <t>KBXX3290A</t>
  </si>
  <si>
    <t>KBXX3300A</t>
  </si>
  <si>
    <t>KBXX3310A</t>
  </si>
  <si>
    <t>KBXX3320A</t>
  </si>
  <si>
    <t>KBXX3330A</t>
  </si>
  <si>
    <t>KBXX3340A</t>
  </si>
  <si>
    <t>KBXX3350A</t>
  </si>
  <si>
    <t>KBXX3360A</t>
  </si>
  <si>
    <t>KBXX3370A</t>
  </si>
  <si>
    <t>KBXX3400A</t>
  </si>
  <si>
    <t>KBXX3410A</t>
  </si>
  <si>
    <t>KBXX1020A</t>
  </si>
  <si>
    <t>KBXX1040A</t>
  </si>
  <si>
    <t>KBXX1050A</t>
  </si>
  <si>
    <t>KBXX1060A</t>
  </si>
  <si>
    <t>KBXX1070A</t>
  </si>
  <si>
    <t>KBXX1080A</t>
  </si>
  <si>
    <t>KBXX1100A</t>
  </si>
  <si>
    <t>KBXX1110A</t>
  </si>
  <si>
    <t>KBXX1120A</t>
  </si>
  <si>
    <t>KBXX1130A</t>
  </si>
  <si>
    <t>KBXX1140A</t>
  </si>
  <si>
    <t>KBXX1150A</t>
  </si>
  <si>
    <t>KBXX1160A</t>
  </si>
  <si>
    <t>KBXX1170A</t>
  </si>
  <si>
    <t>té réduit</t>
  </si>
  <si>
    <t>3/8x3/8x1/4</t>
  </si>
  <si>
    <t>KBXX5050A</t>
  </si>
  <si>
    <t>3/8x3/8x1/2</t>
  </si>
  <si>
    <t>KBXX5040A</t>
  </si>
  <si>
    <t>3/8x3/8x5/8</t>
  </si>
  <si>
    <t>KBXX5030A</t>
  </si>
  <si>
    <t>1/2x1/2x3/8</t>
  </si>
  <si>
    <t>KBXX5090A</t>
  </si>
  <si>
    <t>1/2x1/2x5/8</t>
  </si>
  <si>
    <t>KBXX5080A</t>
  </si>
  <si>
    <t>5/8x5/8x3/8</t>
  </si>
  <si>
    <t>KBXX5170A</t>
  </si>
  <si>
    <t>5/8x5/8x1/2</t>
  </si>
  <si>
    <t>KBXX5160A</t>
  </si>
  <si>
    <t>5/8x5/8x3/4</t>
  </si>
  <si>
    <t>KBXX5150A</t>
  </si>
  <si>
    <t>5/8x5/8x7/8</t>
  </si>
  <si>
    <t>KBXX5140A</t>
  </si>
  <si>
    <t>3/4x3/4x3/8</t>
  </si>
  <si>
    <t>3/4x3/4x1/2</t>
  </si>
  <si>
    <t>KBXX5250A</t>
  </si>
  <si>
    <t>3/4x3/4x5/8</t>
  </si>
  <si>
    <t>KBXX5240A</t>
  </si>
  <si>
    <t>3/4x3/4x7/8</t>
  </si>
  <si>
    <t>KBXX5230A</t>
  </si>
  <si>
    <t>7/8x7/8x3/8</t>
  </si>
  <si>
    <t>KBXX5350A</t>
  </si>
  <si>
    <t>7/8x7/8x1/2</t>
  </si>
  <si>
    <t>KBXX5340A</t>
  </si>
  <si>
    <t>7/8x7/8x5/8</t>
  </si>
  <si>
    <t>KBXX5330A</t>
  </si>
  <si>
    <t>7/8x7/8x3/4</t>
  </si>
  <si>
    <t>KBXX5320A</t>
  </si>
  <si>
    <t>7/8x7/8x1"1/8</t>
  </si>
  <si>
    <t>KBXX5310A</t>
  </si>
  <si>
    <t>1"1/8x1"1/8x1/2</t>
  </si>
  <si>
    <t>KBXX5480A</t>
  </si>
  <si>
    <t>1"1/8x1"1/8x5/8</t>
  </si>
  <si>
    <t>KBXX5470A</t>
  </si>
  <si>
    <t>1"1/8x1"1/8x3/4</t>
  </si>
  <si>
    <t>KBXX5460A</t>
  </si>
  <si>
    <t>1"1/8x1"1/8x7/8</t>
  </si>
  <si>
    <t>KBXX5450A</t>
  </si>
  <si>
    <t>1"1/8x1"1/8x1"3/8</t>
  </si>
  <si>
    <t>KBXX5440A</t>
  </si>
  <si>
    <t>1"3/8x1"3/8x5/8</t>
  </si>
  <si>
    <t>KBXX5600A</t>
  </si>
  <si>
    <t>1"3/8x1"3/8x7/8</t>
  </si>
  <si>
    <t>KBXX5590A</t>
  </si>
  <si>
    <t>1"3/8x1"3/8x1"1/8</t>
  </si>
  <si>
    <t>KBXX5580A</t>
  </si>
  <si>
    <t>1"5/8x1"5/8x7/8</t>
  </si>
  <si>
    <t>KBXX5680A</t>
  </si>
  <si>
    <t>1"5/8x1"5/8x1"1/8</t>
  </si>
  <si>
    <t>KBXX5670A</t>
  </si>
  <si>
    <t>1"5/8x1"5/8x1"3/8</t>
  </si>
  <si>
    <t>KBXX5660A</t>
  </si>
  <si>
    <t>2"1/8x2"1/8x1"1/8</t>
  </si>
  <si>
    <t>KBXX5800A</t>
  </si>
  <si>
    <t>2"1/8x2"1/8x1"3/8</t>
  </si>
  <si>
    <t>KBXX5790A</t>
  </si>
  <si>
    <t>2"1/8x2"1/8x1"5/8</t>
  </si>
  <si>
    <t>KBXX5780A</t>
  </si>
  <si>
    <t>2"5/8x2"5/8x1"1/8</t>
  </si>
  <si>
    <t>KBXX5880A</t>
  </si>
  <si>
    <t>2"5/8x2"5/8x1"3/8</t>
  </si>
  <si>
    <t>KBXX5870A</t>
  </si>
  <si>
    <t>2"5/8x2"5/8x1"5/8</t>
  </si>
  <si>
    <t>KBXX5860A</t>
  </si>
  <si>
    <t>2"5/8x2"5/8x2"1/8</t>
  </si>
  <si>
    <t>KBXX5850A</t>
  </si>
  <si>
    <t>3"1/8x3"1/8x2"1/8</t>
  </si>
  <si>
    <t>3"1/8x3"1/8x2"5/8</t>
  </si>
  <si>
    <t>+ patte à vis 7 x 150</t>
  </si>
  <si>
    <t>24200</t>
  </si>
  <si>
    <t>DIS10BIP</t>
  </si>
  <si>
    <t>24202</t>
  </si>
  <si>
    <t>24203</t>
  </si>
  <si>
    <t>24204</t>
  </si>
  <si>
    <t>DIS10TET</t>
  </si>
  <si>
    <t>24228</t>
  </si>
  <si>
    <t>24229</t>
  </si>
  <si>
    <t>24230</t>
  </si>
  <si>
    <t>24231</t>
  </si>
  <si>
    <t>24586</t>
  </si>
  <si>
    <t>24587</t>
  </si>
  <si>
    <t>24616</t>
  </si>
  <si>
    <t>VIGI2P2530</t>
  </si>
  <si>
    <t>VIGI2P25300</t>
  </si>
  <si>
    <t>26924</t>
  </si>
  <si>
    <t>23166</t>
  </si>
  <si>
    <t>23164</t>
  </si>
  <si>
    <t>23194</t>
  </si>
  <si>
    <t>23192</t>
  </si>
  <si>
    <t>C100m</t>
  </si>
  <si>
    <t>Blindé</t>
  </si>
  <si>
    <t>diam. 6.3mm</t>
  </si>
  <si>
    <t>diam. 7.6mm</t>
  </si>
  <si>
    <t>diam. 8.8mm</t>
  </si>
  <si>
    <t>SAV</t>
  </si>
  <si>
    <t>100MV8404</t>
  </si>
  <si>
    <t>5kg</t>
  </si>
  <si>
    <t>1 bag.</t>
  </si>
  <si>
    <t>2.5kg</t>
  </si>
  <si>
    <t>4,2m3</t>
  </si>
  <si>
    <t>10,6m3</t>
  </si>
  <si>
    <t>3m3</t>
  </si>
  <si>
    <t>7,2m3</t>
  </si>
  <si>
    <t>3,7m3</t>
  </si>
  <si>
    <t>9,4m3</t>
  </si>
  <si>
    <t>25m</t>
  </si>
  <si>
    <t>500ml</t>
  </si>
  <si>
    <t>40m</t>
  </si>
  <si>
    <t>18x33ml</t>
  </si>
  <si>
    <t>8m</t>
  </si>
  <si>
    <t>6m</t>
  </si>
  <si>
    <t>14kg</t>
  </si>
  <si>
    <t>50kg</t>
  </si>
  <si>
    <t>49kg</t>
  </si>
  <si>
    <t>62kg</t>
  </si>
  <si>
    <t>56kg</t>
  </si>
  <si>
    <t>17kg</t>
  </si>
  <si>
    <t>39kg</t>
  </si>
  <si>
    <t>4x5L</t>
  </si>
  <si>
    <t>C25/50</t>
  </si>
  <si>
    <t>C100</t>
  </si>
  <si>
    <t>75m</t>
  </si>
  <si>
    <t>51m</t>
  </si>
  <si>
    <t>60</t>
  </si>
  <si>
    <t>40</t>
  </si>
  <si>
    <t>30</t>
  </si>
  <si>
    <t>480</t>
  </si>
  <si>
    <t>1200</t>
  </si>
  <si>
    <t>2500</t>
  </si>
  <si>
    <t>300</t>
  </si>
  <si>
    <t>1 litre</t>
  </si>
  <si>
    <t>2x305m</t>
  </si>
  <si>
    <t>305m</t>
  </si>
  <si>
    <t>20m</t>
  </si>
  <si>
    <t>la paire</t>
  </si>
  <si>
    <t>C10</t>
  </si>
  <si>
    <t>C50</t>
  </si>
  <si>
    <t>C25</t>
  </si>
  <si>
    <t>15m</t>
  </si>
  <si>
    <t>30m</t>
  </si>
  <si>
    <t>28m</t>
  </si>
  <si>
    <t>120m</t>
  </si>
  <si>
    <t>66m</t>
  </si>
  <si>
    <t>26m</t>
  </si>
  <si>
    <t>400m</t>
  </si>
  <si>
    <t>600m</t>
  </si>
  <si>
    <t>300m</t>
  </si>
  <si>
    <t>500m</t>
  </si>
  <si>
    <t>200m</t>
  </si>
  <si>
    <t>700m</t>
  </si>
  <si>
    <t>32m</t>
  </si>
  <si>
    <t>BRA0503BKG</t>
  </si>
  <si>
    <t>BRA0503B</t>
  </si>
  <si>
    <t>BRA40EKG</t>
  </si>
  <si>
    <t xml:space="preserve">BRA40EB </t>
  </si>
  <si>
    <t>OXYBT</t>
  </si>
  <si>
    <t>ACEBT</t>
  </si>
  <si>
    <t>AZOBT</t>
  </si>
  <si>
    <t>BOM-PO</t>
  </si>
  <si>
    <t>BOM-PCF</t>
  </si>
  <si>
    <t>SILI-TR</t>
  </si>
  <si>
    <t>SILI-BL</t>
  </si>
  <si>
    <t>DET-FUI</t>
  </si>
  <si>
    <t>BOM-GAL</t>
  </si>
  <si>
    <t>PEIN-BOM</t>
  </si>
  <si>
    <t>PVC EVACUATION</t>
  </si>
  <si>
    <t>TUB160G</t>
  </si>
  <si>
    <t>TUB140G</t>
  </si>
  <si>
    <t>TUB125G</t>
  </si>
  <si>
    <t>TUB100G</t>
  </si>
  <si>
    <t>TUB80G</t>
  </si>
  <si>
    <t>TUB63G</t>
  </si>
  <si>
    <t>TUB50G</t>
  </si>
  <si>
    <t>TUB40G</t>
  </si>
  <si>
    <t>TUB40B</t>
  </si>
  <si>
    <t>TUB32G</t>
  </si>
  <si>
    <t>COL-PVC</t>
  </si>
  <si>
    <t>COL40G</t>
  </si>
  <si>
    <t>COL MT SIZE 40</t>
  </si>
  <si>
    <t>TE40G</t>
  </si>
  <si>
    <t>COU90FF40G</t>
  </si>
  <si>
    <t>COU90MF40G</t>
  </si>
  <si>
    <t>COU45FF40G</t>
  </si>
  <si>
    <t>COU45MF40G</t>
  </si>
  <si>
    <t>RED4032G</t>
  </si>
  <si>
    <t>RED934040G</t>
  </si>
  <si>
    <t>RED9340G</t>
  </si>
  <si>
    <t>BOU40G</t>
  </si>
  <si>
    <t>MAN40G</t>
  </si>
  <si>
    <t>CLA40</t>
  </si>
  <si>
    <t>SIPD40G</t>
  </si>
  <si>
    <t>SIPMAL</t>
  </si>
  <si>
    <t>RED40</t>
  </si>
  <si>
    <t xml:space="preserve">COL40B </t>
  </si>
  <si>
    <t>TE40B</t>
  </si>
  <si>
    <t>COU90FF40B</t>
  </si>
  <si>
    <t>COU90MF40B</t>
  </si>
  <si>
    <t>COU45FF40B</t>
  </si>
  <si>
    <t>COU45MF40B</t>
  </si>
  <si>
    <t>BOU40B</t>
  </si>
  <si>
    <t>MAN40B</t>
  </si>
  <si>
    <t>COL32G</t>
  </si>
  <si>
    <t>COL MT SIZE 32</t>
  </si>
  <si>
    <t>TE32G</t>
  </si>
  <si>
    <t>COU90FF32G</t>
  </si>
  <si>
    <t>COU90MF32G</t>
  </si>
  <si>
    <t>COU45FF32G</t>
  </si>
  <si>
    <t>COU45MF32G</t>
  </si>
  <si>
    <t>BOU32G</t>
  </si>
  <si>
    <t>MAN32G</t>
  </si>
  <si>
    <t>CLA32</t>
  </si>
  <si>
    <t>RED32</t>
  </si>
  <si>
    <t>SIPD32G</t>
  </si>
  <si>
    <t>PVC PRESSION</t>
  </si>
  <si>
    <t>SCO-ARMA</t>
  </si>
  <si>
    <t>RUBATEX</t>
  </si>
  <si>
    <t>COL-ARM</t>
  </si>
  <si>
    <t>ARM136</t>
  </si>
  <si>
    <t>ARM1310</t>
  </si>
  <si>
    <t>ARM1312</t>
  </si>
  <si>
    <t>ARM1315</t>
  </si>
  <si>
    <t>ARM1318</t>
  </si>
  <si>
    <t>ARM1322</t>
  </si>
  <si>
    <t>ARM1328</t>
  </si>
  <si>
    <t>ARM1335</t>
  </si>
  <si>
    <t>ARM1342</t>
  </si>
  <si>
    <t>ARM1354</t>
  </si>
  <si>
    <t>ARM1912</t>
  </si>
  <si>
    <t>ARM1915</t>
  </si>
  <si>
    <t>ARM1918</t>
  </si>
  <si>
    <t>ARM1922</t>
  </si>
  <si>
    <t>ARM1928</t>
  </si>
  <si>
    <t>ARM1935</t>
  </si>
  <si>
    <t>ARM1942</t>
  </si>
  <si>
    <t>ARM1954</t>
  </si>
  <si>
    <t>ARM1967</t>
  </si>
  <si>
    <t>ARM1980</t>
  </si>
  <si>
    <t>ARM19102</t>
  </si>
  <si>
    <t>ARM1948</t>
  </si>
  <si>
    <t>ARM1960</t>
  </si>
  <si>
    <t>ARM1970</t>
  </si>
  <si>
    <t>ARM1976</t>
  </si>
  <si>
    <t>ARM1989</t>
  </si>
  <si>
    <t>ARM3218</t>
  </si>
  <si>
    <t>ARM3222</t>
  </si>
  <si>
    <t>ARM3228</t>
  </si>
  <si>
    <t>ARM3235</t>
  </si>
  <si>
    <t>ARM3242</t>
  </si>
  <si>
    <t>ARM3254</t>
  </si>
  <si>
    <t>ARM3267</t>
  </si>
  <si>
    <t>ARM3280</t>
  </si>
  <si>
    <t>ARM3260</t>
  </si>
  <si>
    <t>ARM3270</t>
  </si>
  <si>
    <t>ARM3289</t>
  </si>
  <si>
    <t>ARMP13</t>
  </si>
  <si>
    <t>ISOLATION : COLLIERS COQUILLE</t>
  </si>
  <si>
    <t>COL18EP13</t>
  </si>
  <si>
    <t>COL22EP13</t>
  </si>
  <si>
    <t>COL28EP13</t>
  </si>
  <si>
    <t>COL35EP13</t>
  </si>
  <si>
    <t>COL42EP13</t>
  </si>
  <si>
    <t>COL54EP13</t>
  </si>
  <si>
    <t>COL18EP19</t>
  </si>
  <si>
    <t>COL22EP19</t>
  </si>
  <si>
    <t>COL28EP19</t>
  </si>
  <si>
    <t>COL35EP19</t>
  </si>
  <si>
    <t>COL42EP19</t>
  </si>
  <si>
    <t>COL54EP19</t>
  </si>
  <si>
    <t>COL42EP32</t>
  </si>
  <si>
    <t>COL70EP32</t>
  </si>
  <si>
    <t>FRE404A</t>
  </si>
  <si>
    <t>FRE410A</t>
  </si>
  <si>
    <t>FRE134A</t>
  </si>
  <si>
    <t>FRE448A</t>
  </si>
  <si>
    <t>FRE449A</t>
  </si>
  <si>
    <t>FRE029</t>
  </si>
  <si>
    <t>CO2R744</t>
  </si>
  <si>
    <t>HUIART22CC</t>
  </si>
  <si>
    <t>HUIBSE170</t>
  </si>
  <si>
    <t>ELECTRICITE - Appareils</t>
  </si>
  <si>
    <t>P1-25-12SVB</t>
  </si>
  <si>
    <t>P1-32-12SVB</t>
  </si>
  <si>
    <t>NP1Z</t>
  </si>
  <si>
    <t>NOUVEAU</t>
  </si>
  <si>
    <t>DIS06BIP</t>
  </si>
  <si>
    <t>DIS16BIP</t>
  </si>
  <si>
    <t>DIS20BIP</t>
  </si>
  <si>
    <t>DIS25BIP</t>
  </si>
  <si>
    <t>DIS16TET</t>
  </si>
  <si>
    <t>DIS20TET</t>
  </si>
  <si>
    <t>DIS25TET</t>
  </si>
  <si>
    <t>DIS32TET</t>
  </si>
  <si>
    <t>VIGI4P2530</t>
  </si>
  <si>
    <t>LC1D09P7</t>
  </si>
  <si>
    <t>LC1D18P7</t>
  </si>
  <si>
    <t>LADN11</t>
  </si>
  <si>
    <t>LADN20</t>
  </si>
  <si>
    <t>LADN02</t>
  </si>
  <si>
    <t>LADT4</t>
  </si>
  <si>
    <t>LADR4</t>
  </si>
  <si>
    <t>REL-SCHRACK</t>
  </si>
  <si>
    <t>SUP-RELAIS</t>
  </si>
  <si>
    <t>TEM-TAR1</t>
  </si>
  <si>
    <t>TEM-TCR1</t>
  </si>
  <si>
    <t>TEM-TLR1</t>
  </si>
  <si>
    <t>TEM-TRH1</t>
  </si>
  <si>
    <t>TEM-MUR1</t>
  </si>
  <si>
    <t>FUS1451</t>
  </si>
  <si>
    <t>CHE050</t>
  </si>
  <si>
    <t>CHE075</t>
  </si>
  <si>
    <t>CHE100</t>
  </si>
  <si>
    <t>CHE150</t>
  </si>
  <si>
    <t>CHE200</t>
  </si>
  <si>
    <t>ECL001</t>
  </si>
  <si>
    <t>CHE630</t>
  </si>
  <si>
    <t>CHE620</t>
  </si>
  <si>
    <t>CHE615</t>
  </si>
  <si>
    <t>CHE610</t>
  </si>
  <si>
    <t>CHE605</t>
  </si>
  <si>
    <t>RAI-EDF</t>
  </si>
  <si>
    <t>BOULDALLE</t>
  </si>
  <si>
    <t>TUBIRO16</t>
  </si>
  <si>
    <t>TUBIRO20</t>
  </si>
  <si>
    <t>TUBIRO25</t>
  </si>
  <si>
    <t>TUBIRO32</t>
  </si>
  <si>
    <t>COLL-IRO</t>
  </si>
  <si>
    <t>GOU2212</t>
  </si>
  <si>
    <t>GOU4040</t>
  </si>
  <si>
    <t>EMB4040</t>
  </si>
  <si>
    <t>GOU6040</t>
  </si>
  <si>
    <t>EMB6040</t>
  </si>
  <si>
    <t>GOU10060</t>
  </si>
  <si>
    <t>EMB10060</t>
  </si>
  <si>
    <t>goulotte clim</t>
  </si>
  <si>
    <t>COLL-42</t>
  </si>
  <si>
    <t>COLL-62</t>
  </si>
  <si>
    <t>COLL-92</t>
  </si>
  <si>
    <t>EMB-VIS</t>
  </si>
  <si>
    <t>EMB-CHE</t>
  </si>
  <si>
    <t>COLL-PT</t>
  </si>
  <si>
    <t>COLL-GR</t>
  </si>
  <si>
    <t>COLL-ETI</t>
  </si>
  <si>
    <t>EMB-ADH</t>
  </si>
  <si>
    <t>BOI001</t>
  </si>
  <si>
    <t>BOI002</t>
  </si>
  <si>
    <t>BOI003</t>
  </si>
  <si>
    <t>BOI004</t>
  </si>
  <si>
    <t>BOI005</t>
  </si>
  <si>
    <t>SCO-ELEC</t>
  </si>
  <si>
    <t>BAR006</t>
  </si>
  <si>
    <t>BAR010</t>
  </si>
  <si>
    <t>BAR016</t>
  </si>
  <si>
    <t>BAR025</t>
  </si>
  <si>
    <t>BOR2G</t>
  </si>
  <si>
    <t>BOR4G</t>
  </si>
  <si>
    <t>BOR6G</t>
  </si>
  <si>
    <t>BOR10G</t>
  </si>
  <si>
    <t>BOR16G</t>
  </si>
  <si>
    <t>BOR4V</t>
  </si>
  <si>
    <t>BOR6V</t>
  </si>
  <si>
    <t>BOR10V</t>
  </si>
  <si>
    <t>PE09</t>
  </si>
  <si>
    <t>PE13</t>
  </si>
  <si>
    <t>PE21</t>
  </si>
  <si>
    <t>PE29</t>
  </si>
  <si>
    <t>PE36</t>
  </si>
  <si>
    <t>ELECTRICITE - Câbles</t>
  </si>
  <si>
    <t>CAB315R</t>
  </si>
  <si>
    <t>CAB415R</t>
  </si>
  <si>
    <t>CAB515R</t>
  </si>
  <si>
    <t>CAB715R</t>
  </si>
  <si>
    <t>CAB1215R</t>
  </si>
  <si>
    <t>CAB325R</t>
  </si>
  <si>
    <t>CAB425R</t>
  </si>
  <si>
    <t>CAB525R</t>
  </si>
  <si>
    <t>CAB725R</t>
  </si>
  <si>
    <t>CAB34R</t>
  </si>
  <si>
    <t>CAB54R</t>
  </si>
  <si>
    <t>CAB36R</t>
  </si>
  <si>
    <t>CAB46R</t>
  </si>
  <si>
    <t>CAB56R</t>
  </si>
  <si>
    <t>CAB510R</t>
  </si>
  <si>
    <t>CABSYT2</t>
  </si>
  <si>
    <t>CABSYT5</t>
  </si>
  <si>
    <t>CABSYT10</t>
  </si>
  <si>
    <t>CAB3075S</t>
  </si>
  <si>
    <t>CAB075S</t>
  </si>
  <si>
    <t>CAB15S</t>
  </si>
  <si>
    <t>CAB25S</t>
  </si>
  <si>
    <t>CAB4S</t>
  </si>
  <si>
    <t>CAB6S</t>
  </si>
  <si>
    <t>CAB10S</t>
  </si>
  <si>
    <t>CAB16S</t>
  </si>
  <si>
    <t>CABBELDEN</t>
  </si>
  <si>
    <t>CVC</t>
  </si>
  <si>
    <t>TUB14I</t>
  </si>
  <si>
    <t>TUB38I</t>
  </si>
  <si>
    <t>TUB12I</t>
  </si>
  <si>
    <t>TUB58I</t>
  </si>
  <si>
    <t>TUB1438I</t>
  </si>
  <si>
    <t>TUB1412I</t>
  </si>
  <si>
    <t>SCO-ALU</t>
  </si>
  <si>
    <t xml:space="preserve">COL MT SIZE 3 </t>
  </si>
  <si>
    <t>COL MT SIZE 4</t>
  </si>
  <si>
    <t>PRO-MONT</t>
  </si>
  <si>
    <t>JOI-DALLE</t>
  </si>
  <si>
    <t>SUP-SPLIT</t>
  </si>
  <si>
    <t>032F1201</t>
  </si>
  <si>
    <t>032F1204</t>
  </si>
  <si>
    <t>032F1212</t>
  </si>
  <si>
    <t>032F1209</t>
  </si>
  <si>
    <t>032F1214</t>
  </si>
  <si>
    <t>032F1228</t>
  </si>
  <si>
    <t>032F1225</t>
  </si>
  <si>
    <t>018F6802</t>
  </si>
  <si>
    <t>112-2-ALSP</t>
  </si>
  <si>
    <t>112-2-BLSP</t>
  </si>
  <si>
    <t>115-2-ILSP</t>
  </si>
  <si>
    <t>145-6-ARSP</t>
  </si>
  <si>
    <t>145-6-BRSP</t>
  </si>
  <si>
    <t>RT-14-230/50</t>
  </si>
  <si>
    <t>D032</t>
  </si>
  <si>
    <t>ECR14</t>
  </si>
  <si>
    <t>D053</t>
  </si>
  <si>
    <t>D053S</t>
  </si>
  <si>
    <t>ECR38</t>
  </si>
  <si>
    <t>D084</t>
  </si>
  <si>
    <t>D084S</t>
  </si>
  <si>
    <t>ECR12</t>
  </si>
  <si>
    <t>D165</t>
  </si>
  <si>
    <t>D165S</t>
  </si>
  <si>
    <t>D305</t>
  </si>
  <si>
    <t>D305S</t>
  </si>
  <si>
    <t>ECR58</t>
  </si>
  <si>
    <t>D307S</t>
  </si>
  <si>
    <t>068-2089</t>
  </si>
  <si>
    <t>068-2090</t>
  </si>
  <si>
    <t>068-2091</t>
  </si>
  <si>
    <t>068-2092</t>
  </si>
  <si>
    <t>068-2093</t>
  </si>
  <si>
    <t>068-2094</t>
  </si>
  <si>
    <t>068-2095</t>
  </si>
  <si>
    <t>068-2096</t>
  </si>
  <si>
    <t>068-206066</t>
  </si>
  <si>
    <t>068-2002</t>
  </si>
  <si>
    <t>068-2003</t>
  </si>
  <si>
    <t>068-2010</t>
  </si>
  <si>
    <t>068-2015</t>
  </si>
  <si>
    <t>068-2006</t>
  </si>
  <si>
    <t>068-2007</t>
  </si>
  <si>
    <t>068-2008</t>
  </si>
  <si>
    <t>068-2009</t>
  </si>
  <si>
    <t>VOY38S</t>
  </si>
  <si>
    <t>VOY12S</t>
  </si>
  <si>
    <t>VOY58S</t>
  </si>
  <si>
    <t>VOY38MF</t>
  </si>
  <si>
    <t>VOY12MF</t>
  </si>
  <si>
    <t>VOY58MF</t>
  </si>
  <si>
    <t>VAM14</t>
  </si>
  <si>
    <t>VAM38</t>
  </si>
  <si>
    <t>VAM1217</t>
  </si>
  <si>
    <t>VAM58</t>
  </si>
  <si>
    <t>VAM34</t>
  </si>
  <si>
    <t>VAM78</t>
  </si>
  <si>
    <t>VAM118</t>
  </si>
  <si>
    <t>VAM138</t>
  </si>
  <si>
    <t>VAM158</t>
  </si>
  <si>
    <t>VAM218</t>
  </si>
  <si>
    <t>VAM258</t>
  </si>
  <si>
    <t>VAM318</t>
  </si>
  <si>
    <t>FROID - Régulation mécanique</t>
  </si>
  <si>
    <t>F2000</t>
  </si>
  <si>
    <t>SUP-PRE</t>
  </si>
  <si>
    <t>BOU14FL</t>
  </si>
  <si>
    <t>BOU38FL</t>
  </si>
  <si>
    <t>JOIN14INT</t>
  </si>
  <si>
    <t>FLE051</t>
  </si>
  <si>
    <t>FLE081</t>
  </si>
  <si>
    <t>FLE100</t>
  </si>
  <si>
    <t>FLE120</t>
  </si>
  <si>
    <t>084N0005</t>
  </si>
  <si>
    <t>084N0036</t>
  </si>
  <si>
    <t>CAR48CM</t>
  </si>
  <si>
    <t>CAR48GOLD</t>
  </si>
  <si>
    <t>CAR48CF</t>
  </si>
  <si>
    <t>CAR100CF</t>
  </si>
  <si>
    <t>CAR48F</t>
  </si>
  <si>
    <t>CAR100F</t>
  </si>
  <si>
    <t>VAN9272</t>
  </si>
  <si>
    <t>VAL14T</t>
  </si>
  <si>
    <t>COR100</t>
  </si>
  <si>
    <t>COR200</t>
  </si>
  <si>
    <t>COR300</t>
  </si>
  <si>
    <t>COR400</t>
  </si>
  <si>
    <t>COR5</t>
  </si>
  <si>
    <t>COR6</t>
  </si>
  <si>
    <t>POM-VITECO</t>
  </si>
  <si>
    <t>POM-LIME</t>
  </si>
  <si>
    <t>TUBVIN46</t>
  </si>
  <si>
    <t>TUY1016</t>
  </si>
  <si>
    <t>TUY1523</t>
  </si>
  <si>
    <t>TUY2028</t>
  </si>
  <si>
    <t>TUYAUTERIES - ACIER ELECTROZINGUE</t>
  </si>
  <si>
    <t>TUB14</t>
  </si>
  <si>
    <t>TUB38</t>
  </si>
  <si>
    <t>TUB12</t>
  </si>
  <si>
    <t>TUB58</t>
  </si>
  <si>
    <t>TUB34</t>
  </si>
  <si>
    <t>TUB78</t>
  </si>
  <si>
    <t>TUB118</t>
  </si>
  <si>
    <t>TUB138</t>
  </si>
  <si>
    <t>TUB158</t>
  </si>
  <si>
    <t>TUB218</t>
  </si>
  <si>
    <t>TUB258</t>
  </si>
  <si>
    <t>TUB318</t>
  </si>
  <si>
    <t>TUB358</t>
  </si>
  <si>
    <t>TUB418</t>
  </si>
  <si>
    <t>TUB14C</t>
  </si>
  <si>
    <t>TUB38C</t>
  </si>
  <si>
    <t>TUB12C</t>
  </si>
  <si>
    <t>TUB58C</t>
  </si>
  <si>
    <t>TUB34C</t>
  </si>
  <si>
    <t>COU45FF38</t>
  </si>
  <si>
    <t>COU45FF12</t>
  </si>
  <si>
    <t>COU45FF58</t>
  </si>
  <si>
    <t>COU45FF34</t>
  </si>
  <si>
    <t>COU45FF78</t>
  </si>
  <si>
    <t>COU45FF118</t>
  </si>
  <si>
    <t>COU45FF138</t>
  </si>
  <si>
    <t>COU45FF158</t>
  </si>
  <si>
    <t>COU45FF218</t>
  </si>
  <si>
    <t>COU45FF258</t>
  </si>
  <si>
    <t>COU45FF318</t>
  </si>
  <si>
    <t>COU45FF358</t>
  </si>
  <si>
    <t>COU45FF418</t>
  </si>
  <si>
    <t>COU45MF12</t>
  </si>
  <si>
    <t>COU45MF58</t>
  </si>
  <si>
    <t>COU45MF34</t>
  </si>
  <si>
    <t>COU45MF78</t>
  </si>
  <si>
    <t>COU45MF118</t>
  </si>
  <si>
    <t>COU45MF138</t>
  </si>
  <si>
    <t>COU45MF158</t>
  </si>
  <si>
    <t>COU45MF218</t>
  </si>
  <si>
    <t>COU45MF258</t>
  </si>
  <si>
    <t>COU45MF318</t>
  </si>
  <si>
    <t>COU45MF358</t>
  </si>
  <si>
    <t>COU45MF418</t>
  </si>
  <si>
    <t>COU90FF14</t>
  </si>
  <si>
    <t>COU90FF38</t>
  </si>
  <si>
    <t>COU90FF12</t>
  </si>
  <si>
    <t>COU90FF58</t>
  </si>
  <si>
    <t>COU90FF34</t>
  </si>
  <si>
    <t>COU90FF78</t>
  </si>
  <si>
    <t>COU90FF118</t>
  </si>
  <si>
    <t>COU90FF138</t>
  </si>
  <si>
    <t>COU90FF158</t>
  </si>
  <si>
    <t>COU90FF218</t>
  </si>
  <si>
    <t>COU90FF258</t>
  </si>
  <si>
    <t>COU90FF318</t>
  </si>
  <si>
    <t>COU90FF358</t>
  </si>
  <si>
    <t>COU90FF418</t>
  </si>
  <si>
    <t>COU90MF38</t>
  </si>
  <si>
    <t>COU90MF12</t>
  </si>
  <si>
    <t>COU90MF58</t>
  </si>
  <si>
    <t>COU90MF34</t>
  </si>
  <si>
    <t>COU90MF78</t>
  </si>
  <si>
    <t>COU90MF118</t>
  </si>
  <si>
    <t>COU90MF138</t>
  </si>
  <si>
    <t>COU90MF158</t>
  </si>
  <si>
    <t>COU90MF218</t>
  </si>
  <si>
    <t>COU90MF258</t>
  </si>
  <si>
    <t>COU90MF318</t>
  </si>
  <si>
    <t>COU90MF358</t>
  </si>
  <si>
    <t>COU90MF418</t>
  </si>
  <si>
    <t>BOU34</t>
  </si>
  <si>
    <t>BOU78</t>
  </si>
  <si>
    <t>BOU118</t>
  </si>
  <si>
    <t>BOU138</t>
  </si>
  <si>
    <t>BOU158</t>
  </si>
  <si>
    <t>BOU218</t>
  </si>
  <si>
    <t>BOU258</t>
  </si>
  <si>
    <t>BOU318</t>
  </si>
  <si>
    <t>BOU358</t>
  </si>
  <si>
    <t>RED1214FF</t>
  </si>
  <si>
    <t>RED1238FF</t>
  </si>
  <si>
    <t>RED5838FF</t>
  </si>
  <si>
    <t>RED5812FF</t>
  </si>
  <si>
    <t>RED3438FF</t>
  </si>
  <si>
    <t>RED3412FF</t>
  </si>
  <si>
    <t>RED3458FF</t>
  </si>
  <si>
    <t>RED7838FF</t>
  </si>
  <si>
    <t>RED7812FF</t>
  </si>
  <si>
    <t>RED7858FF</t>
  </si>
  <si>
    <t>RED7834FF</t>
  </si>
  <si>
    <t>RED11858FF</t>
  </si>
  <si>
    <t>RED11834FF</t>
  </si>
  <si>
    <t>RED11878FF</t>
  </si>
  <si>
    <t>RED13858FF</t>
  </si>
  <si>
    <t>RED13878FF</t>
  </si>
  <si>
    <t>RED138118FF</t>
  </si>
  <si>
    <t>RED15858FF</t>
  </si>
  <si>
    <t>RED15878FF</t>
  </si>
  <si>
    <t>RED158118FF</t>
  </si>
  <si>
    <t>RED158138FF</t>
  </si>
  <si>
    <t>RED21878FF</t>
  </si>
  <si>
    <t>RED218118FF</t>
  </si>
  <si>
    <t>RED218138FF</t>
  </si>
  <si>
    <t>RED218158FF</t>
  </si>
  <si>
    <t>RED258118FF</t>
  </si>
  <si>
    <t>RED258138FF</t>
  </si>
  <si>
    <t>RED258158FF</t>
  </si>
  <si>
    <t>RED258218FF</t>
  </si>
  <si>
    <t>RED318138FF</t>
  </si>
  <si>
    <t>RED318158FF</t>
  </si>
  <si>
    <t>RED318218FF</t>
  </si>
  <si>
    <t>RED318258FF</t>
  </si>
  <si>
    <t>RED358318FF</t>
  </si>
  <si>
    <t>RED418318FF</t>
  </si>
  <si>
    <t>RED418358FF</t>
  </si>
  <si>
    <t>TE14</t>
  </si>
  <si>
    <t>TE38</t>
  </si>
  <si>
    <t>TE12</t>
  </si>
  <si>
    <t>TE58</t>
  </si>
  <si>
    <t>TE34</t>
  </si>
  <si>
    <t>TE78</t>
  </si>
  <si>
    <t>TE118</t>
  </si>
  <si>
    <t>TE138</t>
  </si>
  <si>
    <t>TE158</t>
  </si>
  <si>
    <t>TE218</t>
  </si>
  <si>
    <t>TE258</t>
  </si>
  <si>
    <t>TE318</t>
  </si>
  <si>
    <t>TE358</t>
  </si>
  <si>
    <t>TE418</t>
  </si>
  <si>
    <t>RED1238MF</t>
  </si>
  <si>
    <t>RED5814MF</t>
  </si>
  <si>
    <t>RED5838MF</t>
  </si>
  <si>
    <t>RED5812MF</t>
  </si>
  <si>
    <t>RED3438MF</t>
  </si>
  <si>
    <t>RED3412MF</t>
  </si>
  <si>
    <t>RED3458MF</t>
  </si>
  <si>
    <t>RED7838MF</t>
  </si>
  <si>
    <t>RED7812MF</t>
  </si>
  <si>
    <t>RED7858MF</t>
  </si>
  <si>
    <t>RED7834MF</t>
  </si>
  <si>
    <t>RED11858MF</t>
  </si>
  <si>
    <t>RED11834MF</t>
  </si>
  <si>
    <t>RED11878MF</t>
  </si>
  <si>
    <t>RED13858MF</t>
  </si>
  <si>
    <t>RED13878MF</t>
  </si>
  <si>
    <t>RED138118MF</t>
  </si>
  <si>
    <t>RED15858MF</t>
  </si>
  <si>
    <t>RED15878MF</t>
  </si>
  <si>
    <t>RED158118MF</t>
  </si>
  <si>
    <t>RED158138MF</t>
  </si>
  <si>
    <t>RED21878MF</t>
  </si>
  <si>
    <t>RED218118MF</t>
  </si>
  <si>
    <t>RED218138MF</t>
  </si>
  <si>
    <t>RED218158MF</t>
  </si>
  <si>
    <t>RED258118MF</t>
  </si>
  <si>
    <t>RED258138MF</t>
  </si>
  <si>
    <t>RED258158MF</t>
  </si>
  <si>
    <t>RED258218MF</t>
  </si>
  <si>
    <t>RED318138MF</t>
  </si>
  <si>
    <t>RED318158MF</t>
  </si>
  <si>
    <t>RED318218MF</t>
  </si>
  <si>
    <t>RED318258MF</t>
  </si>
  <si>
    <t>RED358218MF</t>
  </si>
  <si>
    <t>RED358258MF</t>
  </si>
  <si>
    <t>RED358318MF</t>
  </si>
  <si>
    <t>RED418318MF</t>
  </si>
  <si>
    <t>MAN14</t>
  </si>
  <si>
    <t>MAN38</t>
  </si>
  <si>
    <t>MAN12</t>
  </si>
  <si>
    <t>MAN58</t>
  </si>
  <si>
    <t>MAN34</t>
  </si>
  <si>
    <t>MAN78</t>
  </si>
  <si>
    <t>MAN118</t>
  </si>
  <si>
    <t>MAN138</t>
  </si>
  <si>
    <t>MAN158</t>
  </si>
  <si>
    <t>MAN218</t>
  </si>
  <si>
    <t>MAN258</t>
  </si>
  <si>
    <t>MAN318</t>
  </si>
  <si>
    <t>MAN358</t>
  </si>
  <si>
    <t>MAN418</t>
  </si>
  <si>
    <t>TE383814</t>
  </si>
  <si>
    <t>TE383812</t>
  </si>
  <si>
    <t>TE383858</t>
  </si>
  <si>
    <t>TE121238</t>
  </si>
  <si>
    <t>TE121258</t>
  </si>
  <si>
    <t>TE585838</t>
  </si>
  <si>
    <t>TE585812</t>
  </si>
  <si>
    <t>TE585834</t>
  </si>
  <si>
    <t>TE585878</t>
  </si>
  <si>
    <t>TE343438</t>
  </si>
  <si>
    <t>TE343412</t>
  </si>
  <si>
    <t>TE343458</t>
  </si>
  <si>
    <t>TE343478</t>
  </si>
  <si>
    <t>TE787838</t>
  </si>
  <si>
    <t>TE787812</t>
  </si>
  <si>
    <t>TE787858</t>
  </si>
  <si>
    <t>TE787834</t>
  </si>
  <si>
    <t>TE7878118</t>
  </si>
  <si>
    <t>TE11811812</t>
  </si>
  <si>
    <t>TE11811858</t>
  </si>
  <si>
    <t>TE11811834</t>
  </si>
  <si>
    <t>TE11811878</t>
  </si>
  <si>
    <t>TE118118138</t>
  </si>
  <si>
    <t>TE13813858</t>
  </si>
  <si>
    <t>TE13813878</t>
  </si>
  <si>
    <t>TE138138118</t>
  </si>
  <si>
    <t>TE15815878</t>
  </si>
  <si>
    <t>TE158158118</t>
  </si>
  <si>
    <t>TE158158138</t>
  </si>
  <si>
    <t>TE218218118</t>
  </si>
  <si>
    <t>TE218218138</t>
  </si>
  <si>
    <t>TE218218158</t>
  </si>
  <si>
    <t>TE258258118</t>
  </si>
  <si>
    <t>TE258258138</t>
  </si>
  <si>
    <t>TE258258158</t>
  </si>
  <si>
    <t>TE258258218</t>
  </si>
  <si>
    <t>TE318318218</t>
  </si>
  <si>
    <t>1 o² pour 2 acéthylène</t>
  </si>
  <si>
    <t>Fluide</t>
  </si>
  <si>
    <t>Huile</t>
  </si>
  <si>
    <t>ép. 4à12mm L150mm</t>
  </si>
  <si>
    <t>ép. 4à12mm L225mm</t>
  </si>
  <si>
    <t>FRE32</t>
  </si>
  <si>
    <t>R32</t>
  </si>
  <si>
    <t>largeur 38mm grain 100</t>
  </si>
  <si>
    <t>feutre noir indélébile</t>
  </si>
  <si>
    <t>pour repérage</t>
  </si>
  <si>
    <t>polyane david</t>
  </si>
  <si>
    <t>GRIS ( Té 45° )</t>
  </si>
  <si>
    <t>Ø 40mm Blanc</t>
  </si>
  <si>
    <t>Ø 40mm gris</t>
  </si>
  <si>
    <t>BLANC + patte à vis 7x150</t>
  </si>
  <si>
    <t>GRIS + patte à vis 7x150</t>
  </si>
  <si>
    <t>Ø 32mm</t>
  </si>
  <si>
    <t>Autre Ø</t>
  </si>
  <si>
    <t>Générique</t>
  </si>
  <si>
    <t>Froid - couronne</t>
  </si>
  <si>
    <t>Calorifuge</t>
  </si>
  <si>
    <t>Colle</t>
  </si>
  <si>
    <t>G:\GMS\MAGASIN\MAGASIN GLISY\COMMANDE FOURNISSEUR</t>
  </si>
  <si>
    <t>codes :</t>
  </si>
  <si>
    <t>Collier coquille</t>
  </si>
  <si>
    <t>Isolant</t>
  </si>
  <si>
    <t>manchon 19 mm</t>
  </si>
  <si>
    <t>manchon 32 mm</t>
  </si>
  <si>
    <t>manchon 13 mm</t>
  </si>
  <si>
    <t>Electricité - Matériel</t>
  </si>
  <si>
    <t>Consommable</t>
  </si>
  <si>
    <t>Relais / contact</t>
  </si>
  <si>
    <t>contact bouton tournant</t>
  </si>
  <si>
    <t>Temporisation</t>
  </si>
  <si>
    <t>Tempo tension</t>
  </si>
  <si>
    <t>Retard tension</t>
  </si>
  <si>
    <t>Chambre froide</t>
  </si>
  <si>
    <t>Disjoncteur / Fusible / Différentiel</t>
  </si>
  <si>
    <t>bloc auxiliaire tempo.</t>
  </si>
  <si>
    <t>Interrupteur</t>
  </si>
  <si>
    <t>Kit boitier de commande machine à glace type Saint Quentin :</t>
  </si>
  <si>
    <t>KIt coffret d'alimentation cordons chauffants / soupapes 30mA :</t>
  </si>
  <si>
    <t>Kit boite 1 bouton tournant + voyant vert :</t>
  </si>
  <si>
    <t>métallique 0+F 3 entrées (porte pivotante)</t>
  </si>
  <si>
    <t>métallique 0+F 3 entrées (porte couli.)</t>
  </si>
  <si>
    <t>Fonction A (standard)</t>
  </si>
  <si>
    <t>Fonction C (alarme T°)</t>
  </si>
  <si>
    <t>Fonction L (tempo ret. Huile)</t>
  </si>
  <si>
    <t>Fonction H (anti-court cycle)</t>
  </si>
  <si>
    <t>VIGI AC (26531)</t>
  </si>
  <si>
    <t>VIGI AC (26533)</t>
  </si>
  <si>
    <t>VIGI AC (26545)</t>
  </si>
  <si>
    <t>Electricité - Consommable</t>
  </si>
  <si>
    <t>Autre / Kit</t>
  </si>
  <si>
    <t>Boulon / Goujon</t>
  </si>
  <si>
    <t>éclisse auto dalle</t>
  </si>
  <si>
    <t>Chemin de câble</t>
  </si>
  <si>
    <t>PE+ écrou</t>
  </si>
  <si>
    <t>6 - 12 mm / IP68</t>
  </si>
  <si>
    <t>4 - 8 mm / IP68</t>
  </si>
  <si>
    <t>3 - 6.5 mm / IP68</t>
  </si>
  <si>
    <t>12 - 18 mm / IP68</t>
  </si>
  <si>
    <t>18 -25 mm / IP68</t>
  </si>
  <si>
    <t>22 - 32 mm / IP68</t>
  </si>
  <si>
    <t>30 - 38 mm / IP68</t>
  </si>
  <si>
    <t>34 /-44 mm / IP68</t>
  </si>
  <si>
    <t>pour barre ép. 5mm / 553405</t>
  </si>
  <si>
    <t>pour barre ép. 5mm / 553400</t>
  </si>
  <si>
    <t>pour barre ép. 5mm / 553410</t>
  </si>
  <si>
    <t>CAB 3 0,5 à 1,5mm² / Noir</t>
  </si>
  <si>
    <t>CAB 3 0,5 à 1,5mm² / Brun</t>
  </si>
  <si>
    <t>CAB 3 0,5 à 1,5mm² / Rouge</t>
  </si>
  <si>
    <t>CAB 3 0,5 à 1,5mm² / Orange</t>
  </si>
  <si>
    <t>CAB 3 0,5 à 1,5mm² / Jaune</t>
  </si>
  <si>
    <t>CAB 3 0,5 à 1,5mm² / Vert</t>
  </si>
  <si>
    <t>CAB 3 0,5 à 1,5mm² / Bleu</t>
  </si>
  <si>
    <t>CAB 3 0,5 à 1,5mm² / Violet</t>
  </si>
  <si>
    <t>CAB 3 0,5 à 1,5mm² / Gris</t>
  </si>
  <si>
    <t>CAB 3 0,5 à 1,5mm² / Blanc</t>
  </si>
  <si>
    <t>3 - 6.5 mm / IP68 (Ancienne norme)</t>
  </si>
  <si>
    <t>4 - 8 mm / IP68 (Ancienne norme)</t>
  </si>
  <si>
    <t>6 - 12 mm / IP68 (Ancienne norme)</t>
  </si>
  <si>
    <t>12 - 18 mm / IP68 (Ancienne norme)</t>
  </si>
  <si>
    <t>18 -25 mm / IP68 (Ancienne norme)</t>
  </si>
  <si>
    <t>22 - 32 mm / IP68 (Ancienne norme)</t>
  </si>
  <si>
    <t>30 - 38 mm / IP68 (Ancienne norme)</t>
  </si>
  <si>
    <t>34 /-44 mm / IP68 (Ancienne norme)</t>
  </si>
  <si>
    <t>50mm / SZ</t>
  </si>
  <si>
    <t>75mm / SZ</t>
  </si>
  <si>
    <t>100mm / SZ</t>
  </si>
  <si>
    <t>147mm / SZ</t>
  </si>
  <si>
    <t>195mm / SZ</t>
  </si>
  <si>
    <t>316mm / SZ</t>
  </si>
  <si>
    <t>412mm / SZ</t>
  </si>
  <si>
    <t>507mm / SZ</t>
  </si>
  <si>
    <t>604mm / SZ</t>
  </si>
  <si>
    <t>8 clips / 3m / SZ</t>
  </si>
  <si>
    <t>rapide RAPIDTOL / SZ</t>
  </si>
  <si>
    <t>54/500 / EZ</t>
  </si>
  <si>
    <t>54/400 / EZ</t>
  </si>
  <si>
    <t>54/300 / EZ</t>
  </si>
  <si>
    <t>54/200 / EZ</t>
  </si>
  <si>
    <t>54/150 / EZ</t>
  </si>
  <si>
    <t>54/100 / EZ</t>
  </si>
  <si>
    <t>54/50 / EZ</t>
  </si>
  <si>
    <t>L50 x H48 mm / SZ</t>
  </si>
  <si>
    <t>L75 x H48 mm / SZ</t>
  </si>
  <si>
    <t>L100 x H48 mm / SZ</t>
  </si>
  <si>
    <t>L147 x 48 mm / SZ</t>
  </si>
  <si>
    <t>L195 x H48 mm / SZ</t>
  </si>
  <si>
    <t>L316 x H48 mm / SZ</t>
  </si>
  <si>
    <t>L412 x 48 mm / SZ</t>
  </si>
  <si>
    <t>L507 x H48 mm / SZ</t>
  </si>
  <si>
    <t>L604 x H48 mm / SZ</t>
  </si>
  <si>
    <t>boite / 31913 Legrand</t>
  </si>
  <si>
    <t>boite / 31919 Legrand</t>
  </si>
  <si>
    <t>boite / 31916 Legrand</t>
  </si>
  <si>
    <t>boite / 31950 Legrand</t>
  </si>
  <si>
    <t>boite / 31955 Legrand</t>
  </si>
  <si>
    <t>Couronne 25 ou 50m</t>
  </si>
  <si>
    <t>Couronne 100m</t>
  </si>
  <si>
    <t>16 - 32 mm / 31900 Legrand</t>
  </si>
  <si>
    <t>embase adhésive</t>
  </si>
  <si>
    <t>ronde / 920 02 Legrand</t>
  </si>
  <si>
    <t>carrée / 920 05 Legrand</t>
  </si>
  <si>
    <t>carrée / 920 12 Legrand</t>
  </si>
  <si>
    <t>1/4 tour carrée / 920 22 Legrand</t>
  </si>
  <si>
    <t>1/4 tour carrée / 920 42 Legrand</t>
  </si>
  <si>
    <t>1/4 tour carrée / 920 52 Legrand</t>
  </si>
  <si>
    <t>1/4 tour carrée / 920 62 Legrand</t>
  </si>
  <si>
    <t>Colson / Colring</t>
  </si>
  <si>
    <t>Electricité - Câble</t>
  </si>
  <si>
    <t>LIYCI</t>
  </si>
  <si>
    <t>PE PG13/ISO20 / 5 x 100m / Blindé</t>
  </si>
  <si>
    <t>PE PG13/ISO20 / Blindé</t>
  </si>
  <si>
    <t>PE PG21/ISO25 / Blindé</t>
  </si>
  <si>
    <t>diam. 7.1mm</t>
  </si>
  <si>
    <t>H07 RNF</t>
  </si>
  <si>
    <t>Câble 2YSL CY-J/k / Alim variateur</t>
  </si>
  <si>
    <t xml:space="preserve"> 10 x 50m</t>
  </si>
  <si>
    <t xml:space="preserve"> 5 x 100m</t>
  </si>
  <si>
    <t>3 x 100m</t>
  </si>
  <si>
    <t xml:space="preserve"> 6 x 50m</t>
  </si>
  <si>
    <t>5x100m / Souple</t>
  </si>
  <si>
    <t>gaine grise / Souple</t>
  </si>
  <si>
    <t>Capteurs pression / Souple</t>
  </si>
  <si>
    <t>commande / Souple</t>
  </si>
  <si>
    <t>bus LON / 1P</t>
  </si>
  <si>
    <t>bus N2 open MFOOD / 2P</t>
  </si>
  <si>
    <t>bus MDM / 1P</t>
  </si>
  <si>
    <t>bus TPI / Danbuss / 2P</t>
  </si>
  <si>
    <t>TPI, danbuss, LON / Pour tresse</t>
  </si>
  <si>
    <t>LON / Pour 2 câbles</t>
  </si>
  <si>
    <t>Support sol / Mural</t>
  </si>
  <si>
    <t>Cuivre</t>
  </si>
  <si>
    <t>Couronne Cu isolé M1</t>
  </si>
  <si>
    <t>collier poire SIZE-3</t>
  </si>
  <si>
    <t>collier poire SIZE-4</t>
  </si>
  <si>
    <t>Collier poire clip</t>
  </si>
  <si>
    <t>PVC / Condensat</t>
  </si>
  <si>
    <t>Bac condensat pr chaise</t>
  </si>
  <si>
    <t>Froid - Couronne</t>
  </si>
  <si>
    <t>Clim - Couronne</t>
  </si>
  <si>
    <t>Electrovanne</t>
  </si>
  <si>
    <t>Ecrou flare</t>
  </si>
  <si>
    <t>Voyant liquide</t>
  </si>
  <si>
    <t>Corps de vanne</t>
  </si>
  <si>
    <t xml:space="preserve">Vanne de barrage </t>
  </si>
  <si>
    <t>Vanne de dégazage</t>
  </si>
  <si>
    <t>Vanne à pression constante</t>
  </si>
  <si>
    <t>Shrader</t>
  </si>
  <si>
    <t>(EVR2 1/4) 112-2-ALSP / bobine incluse</t>
  </si>
  <si>
    <t>(EVR3 3/8) 112-2-BLSP / bobine incluse</t>
  </si>
  <si>
    <t>(EVR6 3/8) 115-2-ILSP / bobine incluse</t>
  </si>
  <si>
    <t>(EVR6 1/2) / bobine incluse</t>
  </si>
  <si>
    <t>(EVR10 5/8) 145-6-ARSP / bobine incluse</t>
  </si>
  <si>
    <t>(EVR15 7/8) 145-6-BRSP / bobine incluse</t>
  </si>
  <si>
    <t xml:space="preserve"> 5/8" - 1" 1/8"</t>
  </si>
  <si>
    <t>38 - 54mm</t>
  </si>
  <si>
    <t>Vanne Co2 pr Prise pression</t>
  </si>
  <si>
    <t>n° 01 / 3/8 x 1/2</t>
  </si>
  <si>
    <t>n° 02 / 3/8 x 1/2</t>
  </si>
  <si>
    <t>n° 03 / 3/8 x 1/2</t>
  </si>
  <si>
    <t>n° 04 / 3/8 x 1/2</t>
  </si>
  <si>
    <t>n° 05 / 3/8 x 1/2</t>
  </si>
  <si>
    <t>n° 06 / 3/8 x 1/2</t>
  </si>
  <si>
    <t>n° 07 / 1/2 x 5/8</t>
  </si>
  <si>
    <t>acier / Kv = 270</t>
  </si>
  <si>
    <t>3/8 dP 0,30bar / R744</t>
  </si>
  <si>
    <t>1/4 M x 1/4 M x 1/4 - avec shrader</t>
  </si>
  <si>
    <t>avec écrou au centre - avec shrader</t>
  </si>
  <si>
    <t>avec écrou à une extrémité - avec shrader</t>
  </si>
  <si>
    <t>té mano. 1/4  flare</t>
  </si>
  <si>
    <t>pressostat HP/BP DESP</t>
  </si>
  <si>
    <t>surveillance - 1,5 m</t>
  </si>
  <si>
    <t>régulation - 3,5 m</t>
  </si>
  <si>
    <t>alarme p. enfermée</t>
  </si>
  <si>
    <t>-1 / 12b 1/4Fl mâle - HFC</t>
  </si>
  <si>
    <t>-1/34b 1/4Fl mâle - R744 neg</t>
  </si>
  <si>
    <t>-1/59b 1/4Fl mâle - R744 pos</t>
  </si>
  <si>
    <t>0/25b 1/4Fl femelle - JOE CO²</t>
  </si>
  <si>
    <t>-1/10b 1/4Fl femelle - JOE HFC</t>
  </si>
  <si>
    <t>FROID - Chambre froide</t>
  </si>
  <si>
    <t>Déshydrateur / Filtre</t>
  </si>
  <si>
    <t>226l/h linéaire 11,25m - 9x15mm</t>
  </si>
  <si>
    <t>190l/h linéaire 4,0m - 9x15mm</t>
  </si>
  <si>
    <t>12l/h - 8kW clim - 6x9mm</t>
  </si>
  <si>
    <t>12l/h - +8kW clim - 6x9mm</t>
  </si>
  <si>
    <t>300l/h - 6x9mm</t>
  </si>
  <si>
    <t>200L/H - 6x9mm</t>
  </si>
  <si>
    <t>1"1/8</t>
  </si>
  <si>
    <t>1"3/8</t>
  </si>
  <si>
    <t>1"5/8</t>
  </si>
  <si>
    <t>2"1/8</t>
  </si>
  <si>
    <t>2"5/8</t>
  </si>
  <si>
    <t>3"1/8</t>
  </si>
  <si>
    <t>3"5/8</t>
  </si>
  <si>
    <t>4"1/8</t>
  </si>
  <si>
    <t xml:space="preserve">Coude 90° </t>
  </si>
  <si>
    <t xml:space="preserve">Coude 45° </t>
  </si>
  <si>
    <t>Manchon réduit</t>
  </si>
  <si>
    <t>Té standard</t>
  </si>
  <si>
    <t>Tuyauterie Electrozingué</t>
  </si>
  <si>
    <t>à sertir - électrozingué</t>
  </si>
  <si>
    <t>Tube acier</t>
  </si>
  <si>
    <t>Raccord union</t>
  </si>
  <si>
    <t xml:space="preserve">Raccord Mixte </t>
  </si>
  <si>
    <t>à souder acier/sertir - électrozingué</t>
  </si>
  <si>
    <t>à bride - électrozingué</t>
  </si>
  <si>
    <t>Raccord mixte PN10/16</t>
  </si>
  <si>
    <t>M à visser / F à sertir - électrozingué</t>
  </si>
  <si>
    <t>F à visser / F à sertir - électrozingué</t>
  </si>
  <si>
    <t>Taraudage F - à sertir - électrozingué</t>
  </si>
  <si>
    <t>Té mixte</t>
  </si>
  <si>
    <t>Tés</t>
  </si>
  <si>
    <t>Réduction</t>
  </si>
  <si>
    <t>Gaine galvanisé</t>
  </si>
  <si>
    <t>GAINE GALVA</t>
  </si>
  <si>
    <t>D80</t>
  </si>
  <si>
    <t>D125</t>
  </si>
  <si>
    <t>D160</t>
  </si>
  <si>
    <t>D200</t>
  </si>
  <si>
    <t>D250</t>
  </si>
  <si>
    <t>D315</t>
  </si>
  <si>
    <t>D355</t>
  </si>
  <si>
    <t>D400</t>
  </si>
  <si>
    <t>D450</t>
  </si>
  <si>
    <t>GAINE FLEXIBLE</t>
  </si>
  <si>
    <t>D100</t>
  </si>
  <si>
    <t>GAINE FLEXIBLE ISOPHONIQUE</t>
  </si>
  <si>
    <t>Coude</t>
  </si>
  <si>
    <t>COUDE 90° JOINT</t>
  </si>
  <si>
    <t>COUDE 45° JOINT</t>
  </si>
  <si>
    <t>COUDE 30° JOINT</t>
  </si>
  <si>
    <t>Réduction M-M</t>
  </si>
  <si>
    <t>125/80</t>
  </si>
  <si>
    <t>125/100</t>
  </si>
  <si>
    <t>160/125</t>
  </si>
  <si>
    <t>200/125</t>
  </si>
  <si>
    <t>200/160</t>
  </si>
  <si>
    <t>250/125</t>
  </si>
  <si>
    <t>250/160</t>
  </si>
  <si>
    <t>250/200</t>
  </si>
  <si>
    <t>315/125</t>
  </si>
  <si>
    <t>315/160</t>
  </si>
  <si>
    <t>315/200</t>
  </si>
  <si>
    <t>315/250</t>
  </si>
  <si>
    <t>355/200</t>
  </si>
  <si>
    <t>355/250</t>
  </si>
  <si>
    <t>355/315</t>
  </si>
  <si>
    <t>400/200</t>
  </si>
  <si>
    <t>400/250</t>
  </si>
  <si>
    <t>400/315</t>
  </si>
  <si>
    <t>400/355</t>
  </si>
  <si>
    <t>REDUCTION M-M</t>
  </si>
  <si>
    <t>Té</t>
  </si>
  <si>
    <t>TE EGAUX</t>
  </si>
  <si>
    <t>TE REDUIT</t>
  </si>
  <si>
    <t>355/125</t>
  </si>
  <si>
    <t>355/160</t>
  </si>
  <si>
    <t>400/125</t>
  </si>
  <si>
    <t>400/160</t>
  </si>
  <si>
    <t>125/125</t>
  </si>
  <si>
    <t>125/160</t>
  </si>
  <si>
    <t>125/200</t>
  </si>
  <si>
    <t>125/250</t>
  </si>
  <si>
    <t>125/315</t>
  </si>
  <si>
    <t>160/160</t>
  </si>
  <si>
    <t>160/200</t>
  </si>
  <si>
    <t>160/250</t>
  </si>
  <si>
    <t>160/315</t>
  </si>
  <si>
    <t>200/200</t>
  </si>
  <si>
    <t>200/250</t>
  </si>
  <si>
    <t>200/315</t>
  </si>
  <si>
    <t>250/250</t>
  </si>
  <si>
    <t>250/315</t>
  </si>
  <si>
    <t>315/315</t>
  </si>
  <si>
    <t>PIQUAGE EXPRESS</t>
  </si>
  <si>
    <t>MANCHON M</t>
  </si>
  <si>
    <t>MANCHON F</t>
  </si>
  <si>
    <t>Piquage</t>
  </si>
  <si>
    <t>PIQUAGE PLAT</t>
  </si>
  <si>
    <t>COLLIER ISOLE</t>
  </si>
  <si>
    <t>VIS AUTOPERF</t>
  </si>
  <si>
    <t>4.2/13</t>
  </si>
  <si>
    <t>SCOTCH ALU</t>
  </si>
  <si>
    <t>SCOTCH BUTYLE</t>
  </si>
  <si>
    <t>ISOLANT 25mm</t>
  </si>
  <si>
    <t>A1 - 25mm</t>
  </si>
  <si>
    <t>ISOLANT 50mm</t>
  </si>
  <si>
    <t>A1 - 50mm</t>
  </si>
  <si>
    <t>A2 - 25mm</t>
  </si>
  <si>
    <t>A2 - 50mm</t>
  </si>
  <si>
    <t>M0 - 11,5m²</t>
  </si>
  <si>
    <t>M0 - 5,75m²</t>
  </si>
  <si>
    <t>M1 - 14,4m²</t>
  </si>
  <si>
    <t>M1 - 9m²</t>
  </si>
  <si>
    <t>AERAULIQUE</t>
  </si>
  <si>
    <t>Terminaux</t>
  </si>
  <si>
    <t>autoréglable</t>
  </si>
  <si>
    <t>15 m3/h</t>
  </si>
  <si>
    <t>30 m3/h</t>
  </si>
  <si>
    <t>45 m3/h</t>
  </si>
  <si>
    <t>60 m3/h</t>
  </si>
  <si>
    <t>75 m3/h</t>
  </si>
  <si>
    <t>90 m3/h</t>
  </si>
  <si>
    <t>120 m3/h</t>
  </si>
  <si>
    <t>VIM</t>
  </si>
  <si>
    <t>France Air</t>
  </si>
  <si>
    <t>Ø 160</t>
  </si>
  <si>
    <t>Ø 125</t>
  </si>
  <si>
    <t>Ø 200</t>
  </si>
  <si>
    <t>BDOP</t>
  </si>
  <si>
    <t>BOREA ou ONDEA</t>
  </si>
  <si>
    <t>Alizé</t>
  </si>
  <si>
    <t>AERYS C</t>
  </si>
  <si>
    <t>Manchon placo AERYS</t>
  </si>
  <si>
    <t>Manchon placo Alizé</t>
  </si>
  <si>
    <t>Manchon placo BDOP</t>
  </si>
  <si>
    <t>AUSTRALE</t>
  </si>
  <si>
    <t>Manchon placo AUSTRALE</t>
  </si>
  <si>
    <t>B-PR</t>
  </si>
  <si>
    <t>Manchon placo B-PR</t>
  </si>
  <si>
    <t>Terminal simple circulaire réglable S/R</t>
  </si>
  <si>
    <t xml:space="preserve">VIM </t>
  </si>
  <si>
    <t>BEIP</t>
  </si>
  <si>
    <t>Manchon placo BEIP</t>
  </si>
  <si>
    <t>ATLANTIC</t>
  </si>
  <si>
    <t>Terminal design circulaire réglable S/R</t>
  </si>
  <si>
    <t xml:space="preserve">Carré </t>
  </si>
  <si>
    <t>Carré - livré avec manchon</t>
  </si>
  <si>
    <t>Terminal  circulaire réglable S/R</t>
  </si>
  <si>
    <t>RAD</t>
  </si>
  <si>
    <t>15-50 m3/h</t>
  </si>
  <si>
    <t>50-100 m3/h</t>
  </si>
  <si>
    <t>100-180 m3/h</t>
  </si>
  <si>
    <t>Ø125</t>
  </si>
  <si>
    <t>180-300 m3/h</t>
  </si>
  <si>
    <t>Ø160</t>
  </si>
  <si>
    <t>300-500 m3/h</t>
  </si>
  <si>
    <t>Ø200</t>
  </si>
  <si>
    <t>Ø250</t>
  </si>
  <si>
    <t>500-850 m3/h</t>
  </si>
  <si>
    <t>REGISTRE</t>
  </si>
  <si>
    <t>Ø 250</t>
  </si>
  <si>
    <t>Ø 315</t>
  </si>
  <si>
    <t>Ø 355</t>
  </si>
  <si>
    <t>Ø 400</t>
  </si>
  <si>
    <t>Ø 450</t>
  </si>
  <si>
    <t>Ø 80</t>
  </si>
  <si>
    <t>Avec manette de réglage</t>
  </si>
  <si>
    <t>111984JE</t>
  </si>
  <si>
    <t>111985JE</t>
  </si>
  <si>
    <t>111986JE</t>
  </si>
  <si>
    <t>111987JE</t>
  </si>
  <si>
    <t>111988JE</t>
  </si>
  <si>
    <t>111989JE</t>
  </si>
  <si>
    <t>111990JE</t>
  </si>
  <si>
    <t>CCF simple</t>
  </si>
  <si>
    <t>CCF simple FDCU</t>
  </si>
  <si>
    <t>CCF evo</t>
  </si>
  <si>
    <t>CCF evo FDCU</t>
  </si>
  <si>
    <t>Evolution possible</t>
  </si>
  <si>
    <t>Pas d'évolution possible</t>
  </si>
  <si>
    <t>Contact début / fin de course uniquement</t>
  </si>
  <si>
    <t>Evolution possible + contact début / fin de course</t>
  </si>
  <si>
    <t>A</t>
  </si>
  <si>
    <t>B</t>
  </si>
  <si>
    <t>lettre ?</t>
  </si>
  <si>
    <t>oui</t>
  </si>
  <si>
    <t>MO/M1</t>
  </si>
  <si>
    <t>43753JE</t>
  </si>
  <si>
    <t>43779JE</t>
  </si>
  <si>
    <t>43787JE</t>
  </si>
  <si>
    <t>43795JE</t>
  </si>
  <si>
    <t>43802JE</t>
  </si>
  <si>
    <t>43810JE</t>
  </si>
  <si>
    <t>43828JE</t>
  </si>
  <si>
    <t>43836JE</t>
  </si>
  <si>
    <t>43844JE</t>
  </si>
  <si>
    <t>66441JE</t>
  </si>
  <si>
    <t>43183JE</t>
  </si>
  <si>
    <t>43191JE</t>
  </si>
  <si>
    <t>43208JE</t>
  </si>
  <si>
    <t>43216JE</t>
  </si>
  <si>
    <t>43224JE</t>
  </si>
  <si>
    <t>43232JE</t>
  </si>
  <si>
    <t>43240JE</t>
  </si>
  <si>
    <t>43258JE</t>
  </si>
  <si>
    <t>44157JE</t>
  </si>
  <si>
    <t>44165JE</t>
  </si>
  <si>
    <t>44181JE</t>
  </si>
  <si>
    <t>44199JE</t>
  </si>
  <si>
    <t>44206JE</t>
  </si>
  <si>
    <t>44214JE</t>
  </si>
  <si>
    <t>44222JE</t>
  </si>
  <si>
    <t>44230JE</t>
  </si>
  <si>
    <t>44248JE</t>
  </si>
  <si>
    <t>44256JE</t>
  </si>
  <si>
    <t>44264JE</t>
  </si>
  <si>
    <t>44722JE</t>
  </si>
  <si>
    <t>44280JE</t>
  </si>
  <si>
    <t>44305JE</t>
  </si>
  <si>
    <t>65179JE</t>
  </si>
  <si>
    <t>44298JE</t>
  </si>
  <si>
    <t>44313JE</t>
  </si>
  <si>
    <t>44321JE</t>
  </si>
  <si>
    <t>066416JE</t>
  </si>
  <si>
    <t>44454JE</t>
  </si>
  <si>
    <t>44462JE</t>
  </si>
  <si>
    <t>44470JE</t>
  </si>
  <si>
    <t>44488JE</t>
  </si>
  <si>
    <t>44496JE</t>
  </si>
  <si>
    <t>44503JE</t>
  </si>
  <si>
    <t>44511JE</t>
  </si>
  <si>
    <t>065234JE</t>
  </si>
  <si>
    <t>65235JE</t>
  </si>
  <si>
    <t>65239JE</t>
  </si>
  <si>
    <t>65238JE</t>
  </si>
  <si>
    <t>65244JE</t>
  </si>
  <si>
    <t>65243JE</t>
  </si>
  <si>
    <t>65242JE</t>
  </si>
  <si>
    <t>65248JE</t>
  </si>
  <si>
    <t>65247JE</t>
  </si>
  <si>
    <t>65246JE</t>
  </si>
  <si>
    <t>65245JE</t>
  </si>
  <si>
    <t>65253JE</t>
  </si>
  <si>
    <t>65252JE</t>
  </si>
  <si>
    <t>65251JE</t>
  </si>
  <si>
    <t>65250JE</t>
  </si>
  <si>
    <t>65249JE</t>
  </si>
  <si>
    <t>65259JE</t>
  </si>
  <si>
    <t>65258JE</t>
  </si>
  <si>
    <t>65257JE</t>
  </si>
  <si>
    <t>65256JE</t>
  </si>
  <si>
    <t>65255JE</t>
  </si>
  <si>
    <t>65254JE</t>
  </si>
  <si>
    <t>44727JE</t>
  </si>
  <si>
    <t>44735JE</t>
  </si>
  <si>
    <t>44743JE</t>
  </si>
  <si>
    <t>45189JE</t>
  </si>
  <si>
    <t>45197JE</t>
  </si>
  <si>
    <t>45220JE</t>
  </si>
  <si>
    <t>44751JE</t>
  </si>
  <si>
    <t>44769JE</t>
  </si>
  <si>
    <t>45238JE</t>
  </si>
  <si>
    <t>45270JE</t>
  </si>
  <si>
    <t>44777JE</t>
  </si>
  <si>
    <t>44785JE</t>
  </si>
  <si>
    <t>44793JE</t>
  </si>
  <si>
    <t>45296JE</t>
  </si>
  <si>
    <t>44800JE</t>
  </si>
  <si>
    <t>043034JE</t>
  </si>
  <si>
    <t>43042JE</t>
  </si>
  <si>
    <t>43050JE</t>
  </si>
  <si>
    <t>43068JE</t>
  </si>
  <si>
    <t>43076JE</t>
  </si>
  <si>
    <t>41278JE</t>
  </si>
  <si>
    <t>41294JE</t>
  </si>
  <si>
    <t>41319JE</t>
  </si>
  <si>
    <t>41327JE</t>
  </si>
  <si>
    <t>41343JE</t>
  </si>
  <si>
    <t>41351JE</t>
  </si>
  <si>
    <t>41369JE</t>
  </si>
  <si>
    <t>Manchon placo BOREA/ONDEA</t>
  </si>
  <si>
    <t>CC125M</t>
  </si>
  <si>
    <t>CC160M</t>
  </si>
  <si>
    <t>CC200M</t>
  </si>
  <si>
    <t>CC250M</t>
  </si>
  <si>
    <t>CC315M</t>
  </si>
  <si>
    <t>CC125MFDCU</t>
  </si>
  <si>
    <t>CC160MFDCU</t>
  </si>
  <si>
    <t>CC200MFDCU</t>
  </si>
  <si>
    <t>CC250MFDCU</t>
  </si>
  <si>
    <t>CC315MFDCU</t>
  </si>
  <si>
    <t>CC125E</t>
  </si>
  <si>
    <t>CC160E</t>
  </si>
  <si>
    <t>CC200E</t>
  </si>
  <si>
    <t>CC250E</t>
  </si>
  <si>
    <t>CC315E</t>
  </si>
  <si>
    <t>CC355E</t>
  </si>
  <si>
    <t>CC400E</t>
  </si>
  <si>
    <t>CC125EFDCU</t>
  </si>
  <si>
    <t>CC160EFDCU</t>
  </si>
  <si>
    <t>CC200EFDCU</t>
  </si>
  <si>
    <t>CC250EFDCU</t>
  </si>
  <si>
    <t>CC315EFDCU</t>
  </si>
  <si>
    <t>CC355EFDCU</t>
  </si>
  <si>
    <t>CC400EFDCU</t>
  </si>
  <si>
    <t>lubrifiant passage câble</t>
  </si>
  <si>
    <t>Froid - Régulation</t>
  </si>
  <si>
    <t>Froid - Composant</t>
  </si>
  <si>
    <t>Divers / consommable</t>
  </si>
  <si>
    <t>majo Cu</t>
  </si>
  <si>
    <t>majo isol</t>
  </si>
  <si>
    <t>bar</t>
  </si>
  <si>
    <t>Aspiration +</t>
  </si>
  <si>
    <t>Case unifier PS pour limiter erreur chantier</t>
  </si>
  <si>
    <t>PS :</t>
  </si>
  <si>
    <t>Métré</t>
  </si>
  <si>
    <t>Coude 90° FF</t>
  </si>
  <si>
    <t>Coude 90° MF</t>
  </si>
  <si>
    <t>Coude 45° FF</t>
  </si>
  <si>
    <t>Coude 45° MF</t>
  </si>
  <si>
    <t>Couronne 30m</t>
  </si>
  <si>
    <t>Couronne 15m</t>
  </si>
  <si>
    <t>Isolation</t>
  </si>
  <si>
    <t>max 60b</t>
  </si>
  <si>
    <t>SUIVANT FICHE METHODE N° FM 03.07.02 du 20/06/16</t>
  </si>
  <si>
    <t>Pour des pressions de service inférieure à 45 bar : Cintrage autorisé sur 3/8, 1/2, 5/8 &amp; 3/4, au dela utilisation de raccord standards</t>
  </si>
  <si>
    <t>Pour des pressions de service égale à 45 bar : Cintrage autorisé sur 3/8 &amp; 1/2 uniquement, au dela, utilisation de raccords standards jusqu'au 1"5/8 compris.</t>
  </si>
  <si>
    <t>Pour des pressions de service supérieure à 45 bar : Aucun cintrage autorisé, utilisation de raccords type K65.</t>
  </si>
  <si>
    <t>Les raccords standards ont une pression de service de : 45 bar jusqu'au 1"5/8 compris, 33 bar jusqu'au 4"1/8.</t>
  </si>
  <si>
    <t>Le logiciel est réalisé de la lanière suivante :</t>
  </si>
  <si>
    <t xml:space="preserve"> - Utilisation autant que possible de cuivre stantard suivant les PS renseignée (GFF)</t>
  </si>
  <si>
    <t xml:space="preserve"> - Pour des PS supérieure à 45 bar, il est possible d'utiliser du cuivre de qualité stantard, avec l'utilisation de raccord K65.</t>
  </si>
  <si>
    <t xml:space="preserve"> - Compatibilité entre raccord K65 et longueur standard possible, car les diamètres extérieurs entre cuivre standard &amp; K65 identiques.</t>
  </si>
  <si>
    <t>bag</t>
  </si>
  <si>
    <t>kg</t>
  </si>
  <si>
    <t>13 mm</t>
  </si>
  <si>
    <t>couleur</t>
  </si>
  <si>
    <t>ARM1910</t>
  </si>
  <si>
    <t>19 x 10</t>
  </si>
  <si>
    <t>Aspiration -</t>
  </si>
  <si>
    <t>Liquide</t>
  </si>
  <si>
    <t xml:space="preserve">soit </t>
  </si>
  <si>
    <t>Brasure 105%</t>
  </si>
  <si>
    <t>Brasure 115%</t>
  </si>
  <si>
    <t>proriser texte renseigné manuellement par rapport à VBA</t>
  </si>
  <si>
    <t>19 mm</t>
  </si>
  <si>
    <t xml:space="preserve"> Bouton calcul </t>
  </si>
  <si>
    <t>attention efface renseignement manuel</t>
  </si>
  <si>
    <t>Préconisation</t>
  </si>
  <si>
    <t>code HEX</t>
  </si>
  <si>
    <t>Robinetterie</t>
  </si>
  <si>
    <t>Vanne d'arrêt</t>
  </si>
  <si>
    <t>Filtre à tamis</t>
  </si>
  <si>
    <t>Vanne de régulation</t>
  </si>
  <si>
    <t>Instrumentation</t>
  </si>
  <si>
    <t>Tuyauterie inox 304L soudé</t>
  </si>
  <si>
    <t>soudé bout à bout - inox 304L</t>
  </si>
  <si>
    <t>TE4S15</t>
  </si>
  <si>
    <t>TE4S20</t>
  </si>
  <si>
    <t>TE4S25</t>
  </si>
  <si>
    <t>TE4S32</t>
  </si>
  <si>
    <t>TE4S40</t>
  </si>
  <si>
    <t>TE4S50</t>
  </si>
  <si>
    <t>TE4S65</t>
  </si>
  <si>
    <t>TE4S80</t>
  </si>
  <si>
    <t>Ma4S15</t>
  </si>
  <si>
    <t>Ma4S20</t>
  </si>
  <si>
    <t>Ma4S25</t>
  </si>
  <si>
    <t>Ma4S32</t>
  </si>
  <si>
    <t>Ma4S40</t>
  </si>
  <si>
    <t>Ma4S50</t>
  </si>
  <si>
    <t>Ma4S65</t>
  </si>
  <si>
    <t>Ma4S80</t>
  </si>
  <si>
    <t>Bo4S15</t>
  </si>
  <si>
    <t>Bo4S20</t>
  </si>
  <si>
    <t>Bo4S25</t>
  </si>
  <si>
    <t>Bo4S32</t>
  </si>
  <si>
    <t>Bo4S40</t>
  </si>
  <si>
    <t>Bo4S50</t>
  </si>
  <si>
    <t>Bo4S65</t>
  </si>
  <si>
    <t>Bo4S80</t>
  </si>
  <si>
    <t>Tu4S15</t>
  </si>
  <si>
    <t>Tu4S20</t>
  </si>
  <si>
    <t>Tu4S25</t>
  </si>
  <si>
    <t>Tu4S32</t>
  </si>
  <si>
    <t>Tu4S40</t>
  </si>
  <si>
    <t>Tu4S50</t>
  </si>
  <si>
    <t>Tu4S65</t>
  </si>
  <si>
    <t>Tu4S80</t>
  </si>
  <si>
    <t>Tu4S100</t>
  </si>
  <si>
    <t>Tu4S125</t>
  </si>
  <si>
    <t>Tu4S150</t>
  </si>
  <si>
    <t>Tu4S200</t>
  </si>
  <si>
    <t>Tu4S250</t>
  </si>
  <si>
    <t>Tu4S300</t>
  </si>
  <si>
    <t>Tu4S350</t>
  </si>
  <si>
    <t>Tu4S400</t>
  </si>
  <si>
    <t>Tu4S450</t>
  </si>
  <si>
    <t>Tu4S500</t>
  </si>
  <si>
    <t>Aj4S15</t>
  </si>
  <si>
    <t>Aj4S20</t>
  </si>
  <si>
    <t>Aj4S25</t>
  </si>
  <si>
    <t>Aj4S32</t>
  </si>
  <si>
    <t>Aj4S40</t>
  </si>
  <si>
    <t>Aj4S50</t>
  </si>
  <si>
    <t>Aj4S65</t>
  </si>
  <si>
    <t>Aj4S80</t>
  </si>
  <si>
    <t>RX4S25x24</t>
  </si>
  <si>
    <t>RX4S32x31</t>
  </si>
  <si>
    <t>RX4S40x38</t>
  </si>
  <si>
    <t>RX4S50x44.5</t>
  </si>
  <si>
    <t>RX4S65x57</t>
  </si>
  <si>
    <t>RX4S76-DN65</t>
  </si>
  <si>
    <t>RF4S15x1/2</t>
  </si>
  <si>
    <t>RF4S20x1/2</t>
  </si>
  <si>
    <t>RF4S20x3/4</t>
  </si>
  <si>
    <t>RF4S25x3/4</t>
  </si>
  <si>
    <t>RF4S32x1/2</t>
  </si>
  <si>
    <t>RF4S32x1</t>
  </si>
  <si>
    <t>Re4S20x15</t>
  </si>
  <si>
    <t>Re4S25x15</t>
  </si>
  <si>
    <t>Re4S25x20</t>
  </si>
  <si>
    <t>Re4S32x15</t>
  </si>
  <si>
    <t>Re4S32x20</t>
  </si>
  <si>
    <t>Re4S32x25</t>
  </si>
  <si>
    <t>Re4S40x25</t>
  </si>
  <si>
    <t>Re4S40x32</t>
  </si>
  <si>
    <t>Re4S50x32</t>
  </si>
  <si>
    <t>Re4S50x40</t>
  </si>
  <si>
    <t>Re4S65x25</t>
  </si>
  <si>
    <t>Re4S65x32</t>
  </si>
  <si>
    <t>Re4S65x40</t>
  </si>
  <si>
    <t>Re4S65x50</t>
  </si>
  <si>
    <t>Re4S80x50</t>
  </si>
  <si>
    <t>Re4S80x65</t>
  </si>
  <si>
    <t>RM4S15x3/8</t>
  </si>
  <si>
    <t>RM4S15x1/2</t>
  </si>
  <si>
    <t>RM4S20x1/2</t>
  </si>
  <si>
    <t>RM4S20x3/4</t>
  </si>
  <si>
    <t>RM4S25x1/2</t>
  </si>
  <si>
    <t>RM4S25x3/4</t>
  </si>
  <si>
    <t>RM4S32x1</t>
  </si>
  <si>
    <t>RM4S40x11/4</t>
  </si>
  <si>
    <t>RM4S50x11/2</t>
  </si>
  <si>
    <t>RM4S65x2</t>
  </si>
  <si>
    <t>RM4S80x21/2</t>
  </si>
  <si>
    <t>C454S20</t>
  </si>
  <si>
    <t>C904S40</t>
  </si>
  <si>
    <t>RU4S50x11/2</t>
  </si>
  <si>
    <t>RU4S32x1</t>
  </si>
  <si>
    <t>C454S50</t>
  </si>
  <si>
    <t>RU4S25x3/4</t>
  </si>
  <si>
    <t>C454S32</t>
  </si>
  <si>
    <t>C454S25</t>
  </si>
  <si>
    <t>C904S32</t>
  </si>
  <si>
    <t>RU4S20x1/2</t>
  </si>
  <si>
    <t>C454S80</t>
  </si>
  <si>
    <t>C454S15</t>
  </si>
  <si>
    <t>C454S65</t>
  </si>
  <si>
    <t>RU4S15x1/2</t>
  </si>
  <si>
    <t>C904S25</t>
  </si>
  <si>
    <t>C904S15</t>
  </si>
  <si>
    <t>C904S80</t>
  </si>
  <si>
    <t>RU4S65x2</t>
  </si>
  <si>
    <t>RU4S40x11/4</t>
  </si>
  <si>
    <t>C904S50</t>
  </si>
  <si>
    <t>C904S20</t>
  </si>
  <si>
    <t>C454S40</t>
  </si>
  <si>
    <t>C904S65</t>
  </si>
  <si>
    <t>Tube inox 304L DN100</t>
  </si>
  <si>
    <t>Ø114,3x2</t>
  </si>
  <si>
    <t>Tube inox 304L DN450</t>
  </si>
  <si>
    <t>Ø457,2x2</t>
  </si>
  <si>
    <t>Tube inox 304L DN50</t>
  </si>
  <si>
    <t>Ø60,3x2</t>
  </si>
  <si>
    <t>Tube inox 304L DN350</t>
  </si>
  <si>
    <t>Ø355,6x2</t>
  </si>
  <si>
    <t>Tube inox 304L DN20</t>
  </si>
  <si>
    <t>Ø26,9x1,6</t>
  </si>
  <si>
    <t>Tube inox 304L DN40</t>
  </si>
  <si>
    <t>Ø48,3x1,6</t>
  </si>
  <si>
    <t>Tube inox 304L DN300</t>
  </si>
  <si>
    <t>Ø323,9x2</t>
  </si>
  <si>
    <t>Tube inox 304L DN400</t>
  </si>
  <si>
    <t>Ø406,4x2</t>
  </si>
  <si>
    <t>Tube inox 304L DN250</t>
  </si>
  <si>
    <t>Ø273,0x2</t>
  </si>
  <si>
    <t>Tube inox 304L DN125</t>
  </si>
  <si>
    <t>Ø139,7x2</t>
  </si>
  <si>
    <t>Tube inox 304L DN200</t>
  </si>
  <si>
    <t>Ø219,1x2</t>
  </si>
  <si>
    <t>Coude 90° inox 304L DN20</t>
  </si>
  <si>
    <t>Tube inox 304L DN500</t>
  </si>
  <si>
    <t>Ø508,0x2</t>
  </si>
  <si>
    <t>Tube inox 304L DN150</t>
  </si>
  <si>
    <t>Ø168,3x2</t>
  </si>
  <si>
    <t>Tube inox 304L DN80</t>
  </si>
  <si>
    <t>Ø88,9x2</t>
  </si>
  <si>
    <t>Tube inox 304L DN65</t>
  </si>
  <si>
    <t>Ø76,1x2</t>
  </si>
  <si>
    <t>Tube inox 304L DN25</t>
  </si>
  <si>
    <t>Ø33,7x1,6</t>
  </si>
  <si>
    <t>Tube inox 304L DN32</t>
  </si>
  <si>
    <t>Ø42,4x1,6</t>
  </si>
  <si>
    <t>Tube inox 304L DN15</t>
  </si>
  <si>
    <t>Ø18x1</t>
  </si>
  <si>
    <t>Coude 90° inox 304L DN15</t>
  </si>
  <si>
    <t>Coude 90° inox 304L DN25</t>
  </si>
  <si>
    <t>Coude 45° inox 304L DN50</t>
  </si>
  <si>
    <t>Coude 45° inox 304L DN25</t>
  </si>
  <si>
    <t>Coude 45° inox 304L DN80</t>
  </si>
  <si>
    <t>Bouchon inox 304L DN50</t>
  </si>
  <si>
    <t>Bouchon inox 304L DN32</t>
  </si>
  <si>
    <t>Coude 90° inox 304L DN40</t>
  </si>
  <si>
    <t>Bouchon inox 304L DN20</t>
  </si>
  <si>
    <t>Coude 90° inox 304L DN65</t>
  </si>
  <si>
    <t>Coude 45° inox 304L DN20</t>
  </si>
  <si>
    <t>Coude 45° inox 304L DN40</t>
  </si>
  <si>
    <t>Coude 90° inox 304L DN50</t>
  </si>
  <si>
    <t>Bouchon inox 304L DN15</t>
  </si>
  <si>
    <t>Bouchon inox 304L DN40</t>
  </si>
  <si>
    <t>Coude 45° inox 304L DN65</t>
  </si>
  <si>
    <t>Coude 90° inox 304L DN32</t>
  </si>
  <si>
    <t>Coude 90° inox 304L DN80</t>
  </si>
  <si>
    <t>Bouchon inox 304L DN25</t>
  </si>
  <si>
    <t>Coude 45° inox 304L DN15</t>
  </si>
  <si>
    <t>Coude 45° inox 304L DN32</t>
  </si>
  <si>
    <t>Manchon inox 304L DN25</t>
  </si>
  <si>
    <t>Manchon inox 304L DN20</t>
  </si>
  <si>
    <t>Manchon d'ajustage inox 304L DN50</t>
  </si>
  <si>
    <t>Bouchon inox 304L DN65</t>
  </si>
  <si>
    <t>Manchon d'ajustage inox 304L DN40</t>
  </si>
  <si>
    <t>Té Egal inox 304L DN20</t>
  </si>
  <si>
    <t>Manchon inox 304L DN32</t>
  </si>
  <si>
    <t>Manchon d'ajustage inox 304L DN32</t>
  </si>
  <si>
    <t>Manchon d'ajustage inox 304L DN15</t>
  </si>
  <si>
    <t>Té Egal inox 304L DN15</t>
  </si>
  <si>
    <t>Manchon inox 304L DN40</t>
  </si>
  <si>
    <t>Manchon d'ajustage inox 304L DN80</t>
  </si>
  <si>
    <t>Manchon inox 304L DN80</t>
  </si>
  <si>
    <t>Manchon inox 304L DN15</t>
  </si>
  <si>
    <t>Manchon d'ajustage inox 304L DN65</t>
  </si>
  <si>
    <t>Manchon inox 304L DN65</t>
  </si>
  <si>
    <t>Manchon d'ajustage inox 304L DN25</t>
  </si>
  <si>
    <t>Manchon inox 304L DN50</t>
  </si>
  <si>
    <t>Manchon d'ajustage inox 304L DN20</t>
  </si>
  <si>
    <t>Té Egal inox 304L DN80</t>
  </si>
  <si>
    <t>Té Egal inox 304L DN50</t>
  </si>
  <si>
    <t>Té Egal inox 304L DN32</t>
  </si>
  <si>
    <t>Té Egal inox 304L DN25</t>
  </si>
  <si>
    <t>Té Egal inox 304L DN40</t>
  </si>
  <si>
    <t>Té Egal inox 304L DN65</t>
  </si>
  <si>
    <t>Raccord Mixte-M inox 304L DN32x1"</t>
  </si>
  <si>
    <t>Raccord Mixte-M inox 304L DN15x1/2"</t>
  </si>
  <si>
    <t>Raccord Mixte-M inox 304L DN25x3/4"</t>
  </si>
  <si>
    <t>Raccord Mixte-M inox 304L DN20x3/4"</t>
  </si>
  <si>
    <t>Raccord Mixte-M inox 304L DN20x1/2"</t>
  </si>
  <si>
    <t>Raccord Mixte-M inox 304L DN25x1/2"</t>
  </si>
  <si>
    <t>Raccord Mixte-M inox 304L DN15x3/8"</t>
  </si>
  <si>
    <t>Raccord Mixte-M inox 304L DN80x2"1/2</t>
  </si>
  <si>
    <t>Raccord Mixte inox 304L DN40x38</t>
  </si>
  <si>
    <t>Raccord Mixte-F inox 304L DN20x3/4"</t>
  </si>
  <si>
    <t>Raccord Mixte-M inox 304L DN40x1"1/4</t>
  </si>
  <si>
    <t>Raccord Mixte inox 304L DN25x24</t>
  </si>
  <si>
    <t>Raccord union inox 304L DN25x3/4"</t>
  </si>
  <si>
    <t>Raccord union inox 304L DN20x1/2'</t>
  </si>
  <si>
    <t>Raccord union inox 304L DN32x1"</t>
  </si>
  <si>
    <t>Raccord Mixte-M inox 304L DN65x2"</t>
  </si>
  <si>
    <t>Raccord Mixte-F inox 304L DN15x1/2"</t>
  </si>
  <si>
    <t>Raccord Mixte inox 304L DN65x57</t>
  </si>
  <si>
    <t>Raccord Mixte-M inox 304L DN50x1"1/2</t>
  </si>
  <si>
    <t>Raccord Mixte inox 304L DN32x31</t>
  </si>
  <si>
    <t>Raccord Mixte-F inox 304L DN32x1"</t>
  </si>
  <si>
    <t>Raccord mixte inox 304L 76 - DN65</t>
  </si>
  <si>
    <t>Raccord Mixte-F inox 304L DN25x3/4"</t>
  </si>
  <si>
    <t>Raccord union inox 304L DN15x1/2"</t>
  </si>
  <si>
    <t>Raccord Mixte-F inox 304L DN20x1/2"</t>
  </si>
  <si>
    <t>Raccord Mixte inox 304L DN50x44.5</t>
  </si>
  <si>
    <t>Raccord Mixte-F inox 304L DN32x1/2"</t>
  </si>
  <si>
    <t>Raccord union inox 304L DN65x2'</t>
  </si>
  <si>
    <t>Raccord union inox 304L DN50x1'1/2</t>
  </si>
  <si>
    <t>Raccord union inox 304L DN40x1'1/4</t>
  </si>
  <si>
    <t>Té Réduit inox 304L DN25&gt;15</t>
  </si>
  <si>
    <t>Té Réduit inox 304L DN32&gt;15</t>
  </si>
  <si>
    <t>Té Réduit inox 304L DN40&gt;25</t>
  </si>
  <si>
    <t>Té Réduit inox 304L DN25&gt;20</t>
  </si>
  <si>
    <t>Té Réduit inox 304L DN65&gt;25</t>
  </si>
  <si>
    <t>Té Réduit inox 304L DN40&gt;15</t>
  </si>
  <si>
    <t>Té Réduit inox 304L DN80&gt;65</t>
  </si>
  <si>
    <t>Té Réduit inox 304L DN50&gt;40</t>
  </si>
  <si>
    <t>Té Réduit inox 304L DN50&gt;32</t>
  </si>
  <si>
    <t>Té Réduit inox 304L DN50&gt;25</t>
  </si>
  <si>
    <t>Té Réduit inox 304L DN65&gt;32</t>
  </si>
  <si>
    <t>Té Réduit inox 304L DN65&gt;40</t>
  </si>
  <si>
    <t>Té Réduit inox 304L DN32&gt;25</t>
  </si>
  <si>
    <t>Té Réduit inox 304L DN65&gt;50</t>
  </si>
  <si>
    <t>Té Réduit inox 304L DN40&gt;32</t>
  </si>
  <si>
    <t>Té Réduit inox 304L DN40&gt;20</t>
  </si>
  <si>
    <t>Té mixte inox 304L DN20x1/2"</t>
  </si>
  <si>
    <t>Té Réduit inox 304L DN20&gt;15</t>
  </si>
  <si>
    <t>Té Réduit inox 304L DN32&gt;20</t>
  </si>
  <si>
    <t>Réduction inox 304L DN32&gt;20</t>
  </si>
  <si>
    <t>Réduction inox 304L DN25&gt;20</t>
  </si>
  <si>
    <t>Té mixte inox 304L DN50x1/2"</t>
  </si>
  <si>
    <t>Té mixte inox 304L DN65x1/2"</t>
  </si>
  <si>
    <t>Té mixte inox 304L DN40x3/4"</t>
  </si>
  <si>
    <t>Té mixte inox 304L DN80x3/4"</t>
  </si>
  <si>
    <t>Té mixte inox 304L DN32x1/2"</t>
  </si>
  <si>
    <t>Réduction inox 304L DN20&gt;15</t>
  </si>
  <si>
    <t>Té mixte inox 304L DN50x3/4"</t>
  </si>
  <si>
    <t>Té mixte inox 304L DN65x3/4"</t>
  </si>
  <si>
    <t>Réduction inox 304L DN40&gt;25</t>
  </si>
  <si>
    <t>Réduction inox 304L DN32&gt;15</t>
  </si>
  <si>
    <t>Réduction inox 304L DN25&gt;15</t>
  </si>
  <si>
    <t>Réduction inox 304L DN40&gt;32</t>
  </si>
  <si>
    <t>Té mixte inox 304L DN25x1/2"</t>
  </si>
  <si>
    <t>Té mixte inox 304L DN40x1/2"</t>
  </si>
  <si>
    <t>Té mixte inox 304L DN32x3/4"</t>
  </si>
  <si>
    <t>Té mixte inox 304L DN25x3/4"</t>
  </si>
  <si>
    <t>Réduction inox 304L DN32&gt;25</t>
  </si>
  <si>
    <t>Réduction inox 304L DN50&gt;32</t>
  </si>
  <si>
    <t>Réduction inox 304L DN50&gt;40</t>
  </si>
  <si>
    <t>Réduction inox 304L DN80&gt;50</t>
  </si>
  <si>
    <t>Réduction inox 304L DN65&gt;25</t>
  </si>
  <si>
    <t>Réduction inox 304L DN80&gt;65</t>
  </si>
  <si>
    <t>Réduction inox 304L DN65&gt;50</t>
  </si>
  <si>
    <t>Réduction inox 304L DN65&gt;32</t>
  </si>
  <si>
    <t>Réduction inox 304L DN65&gt;40</t>
  </si>
  <si>
    <t>TR4S50x25</t>
  </si>
  <si>
    <t>TR4S80x65</t>
  </si>
  <si>
    <t>TR4S32x15</t>
  </si>
  <si>
    <t>TM4S20x1/2</t>
  </si>
  <si>
    <t>TM4S50x1/2</t>
  </si>
  <si>
    <t>TM4S65x3/4</t>
  </si>
  <si>
    <t>TR4S25x15</t>
  </si>
  <si>
    <t>TR4S50x40</t>
  </si>
  <si>
    <t>TR4S50x32</t>
  </si>
  <si>
    <t>TM4S65x1/2</t>
  </si>
  <si>
    <t>TR4S65x40</t>
  </si>
  <si>
    <t>TR4S40x25</t>
  </si>
  <si>
    <t>TM4S40x3/4</t>
  </si>
  <si>
    <t>TR4S40x20</t>
  </si>
  <si>
    <t>TR4S65x50</t>
  </si>
  <si>
    <t>TR4S65x25</t>
  </si>
  <si>
    <t>TM4S50x3/4</t>
  </si>
  <si>
    <t>TR4S32x25</t>
  </si>
  <si>
    <t>TR4S40x32</t>
  </si>
  <si>
    <t>TR4S32x20</t>
  </si>
  <si>
    <t>TM4S32x1/2</t>
  </si>
  <si>
    <t>TM4S25x1/2</t>
  </si>
  <si>
    <t>TM4S40x1/2</t>
  </si>
  <si>
    <t>TM4S80x3/4</t>
  </si>
  <si>
    <t>TR4S40x15</t>
  </si>
  <si>
    <t>TM4S25x3/4</t>
  </si>
  <si>
    <t>TR4S65x32</t>
  </si>
  <si>
    <t>TM4S32x3/4</t>
  </si>
  <si>
    <t>TR4S20x15</t>
  </si>
  <si>
    <t>TR4S25x20</t>
  </si>
  <si>
    <t>Ø26,9x1,6 &gt; Ø18x1</t>
  </si>
  <si>
    <t>Ø48,3x1,6 &gt; Ø26,9x1,6</t>
  </si>
  <si>
    <t>Ø42,4x1,6 &gt; Ø26,9x1,6</t>
  </si>
  <si>
    <t>Ø42,4x1,6 &gt; Ø18x1</t>
  </si>
  <si>
    <t>Ø60,3x2 &gt; Ø42,4x1,6</t>
  </si>
  <si>
    <t>Ø33,7x1,6 &gt; Ø18x1</t>
  </si>
  <si>
    <t>Ø48,3x1,6 &gt; Ø42,4x1,6</t>
  </si>
  <si>
    <t>Ø60,3x2 &gt; Ø33,7x1,6</t>
  </si>
  <si>
    <t>Ø48,3x1,6 &gt; Ø33,7x1,6</t>
  </si>
  <si>
    <t>Ø42,4x1,6 &gt; Ø33,7x1,6</t>
  </si>
  <si>
    <t>Ø33,7x1,6 &gt; Ø26,9x1,6</t>
  </si>
  <si>
    <t>Ø48,3x1,6 &gt; Ø18x1</t>
  </si>
  <si>
    <t>Ø76,1x2 &gt; Ø33,7x1,6</t>
  </si>
  <si>
    <t>Ø76,1x2 &gt; Ø42,4x1,6</t>
  </si>
  <si>
    <t>Ø76,1x2 &gt; Ø60,3x2</t>
  </si>
  <si>
    <t>Ø76,1x2 &gt; Ø48,3x1,6</t>
  </si>
  <si>
    <t>Ø60,3x2 &gt; Ø48,3x1,6</t>
  </si>
  <si>
    <t>Ø88,9x2 &gt; Ø76,1x2</t>
  </si>
  <si>
    <t>Ø88,9x2 &gt; Ø60,3x2</t>
  </si>
  <si>
    <t>Té mixte inox 304L DN15xF1/2"</t>
  </si>
  <si>
    <t>TM4S15xF15</t>
  </si>
  <si>
    <t>Ø18x1 &gt; F1/2"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</si>
</sst>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&quot; bar&quot;"/>
    <numFmt numFmtId="165" formatCode="General&quot; kg&quot;"/>
    <numFmt numFmtId="166" formatCode="General&quot; bag.&quot;"/>
    <numFmt numFmtId="167" formatCode="0;\-0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 Narrow"/>
      <family val="2"/>
    </font>
    <font>
      <b/>
      <sz val="9"/>
      <color rgb="FF008BCF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9"/>
      <color rgb="FF008BCF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3"/>
      <color theme="1"/>
      <name val="Arial"/>
      <family val="2"/>
    </font>
    <font>
      <sz val="13"/>
      <name val="Arial"/>
      <family val="2"/>
    </font>
    <font>
      <u/>
      <sz val="11"/>
      <color theme="1"/>
      <name val="Arial"/>
      <family val="2"/>
    </font>
    <font>
      <b/>
      <sz val="10"/>
      <name val="Arial"/>
      <family val="2"/>
    </font>
    <font>
      <b/>
      <sz val="13"/>
      <color theme="0"/>
      <name val="Arial"/>
      <family val="2"/>
    </font>
    <font>
      <b/>
      <sz val="11"/>
      <color rgb="FF00B050"/>
      <name val="Arial"/>
      <family val="2"/>
    </font>
    <font>
      <b/>
      <i/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color theme="0"/>
      <name val="Calibri"/>
      <family val="2"/>
      <scheme val="minor"/>
    </font>
    <font>
      <b/>
      <sz val="13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rgb="FFFF0000"/>
      <name val="Arial Black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b/>
      <sz val="13"/>
      <color rgb="FFFFFFFF"/>
      <name val="Arial"/>
      <family val="2"/>
    </font>
    <font>
      <b/>
      <sz val="11"/>
      <color rgb="FFFFFFFF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8F12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Trellis">
        <fgColor theme="0" tint="-0.2499465926084170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591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23" fillId="0" borderId="0" applyNumberFormat="0" applyFill="0" applyBorder="0" applyAlignment="0" applyProtection="0"/>
  </cellStyleXfs>
  <cellXfs count="20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3" borderId="0" xfId="0" applyFill="1"/>
    <xf numFmtId="0" fontId="0" fillId="3" borderId="1" xfId="0" applyFill="1" applyBorder="1" applyAlignment="1">
      <alignment horizontal="center" vertical="center"/>
    </xf>
    <xf numFmtId="0" fontId="2" fillId="3" borderId="0" xfId="0" applyFont="1" applyFill="1"/>
    <xf numFmtId="0" fontId="2" fillId="0" borderId="0" xfId="0" applyFont="1"/>
    <xf numFmtId="0" fontId="6" fillId="0" borderId="0" xfId="2" applyFont="1" applyAlignment="1">
      <alignment vertical="center"/>
    </xf>
    <xf numFmtId="0" fontId="6" fillId="0" borderId="0" xfId="2" applyFont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49" fontId="5" fillId="0" borderId="1" xfId="2" applyNumberFormat="1" applyBorder="1" applyAlignment="1">
      <alignment horizontal="center" vertical="center" shrinkToFit="1"/>
    </xf>
    <xf numFmtId="0" fontId="5" fillId="0" borderId="4" xfId="2" applyBorder="1" applyAlignment="1">
      <alignment vertical="center" shrinkToFit="1"/>
    </xf>
    <xf numFmtId="0" fontId="4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6" fillId="0" borderId="0" xfId="2" applyFont="1" applyAlignment="1">
      <alignment horizontal="right" vertical="center"/>
    </xf>
    <xf numFmtId="0" fontId="11" fillId="0" borderId="0" xfId="2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5" fillId="0" borderId="1" xfId="2" applyBorder="1" applyAlignment="1">
      <alignment horizontal="center" vertical="center" shrinkToFit="1"/>
    </xf>
    <xf numFmtId="0" fontId="5" fillId="0" borderId="1" xfId="2" applyBorder="1" applyAlignment="1">
      <alignment vertical="center" shrinkToFit="1"/>
    </xf>
    <xf numFmtId="0" fontId="10" fillId="0" borderId="0" xfId="0" applyFont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49" fontId="13" fillId="7" borderId="1" xfId="2" applyNumberFormat="1" applyFont="1" applyFill="1" applyBorder="1" applyAlignment="1">
      <alignment horizontal="center" vertical="center" shrinkToFit="1"/>
    </xf>
    <xf numFmtId="0" fontId="8" fillId="0" borderId="1" xfId="0" applyFont="1" applyBorder="1" applyAlignment="1">
      <alignment horizontal="center"/>
    </xf>
    <xf numFmtId="49" fontId="13" fillId="9" borderId="1" xfId="2" applyNumberFormat="1" applyFont="1" applyFill="1" applyBorder="1" applyAlignment="1">
      <alignment horizontal="center" vertical="center" shrinkToFit="1"/>
    </xf>
    <xf numFmtId="49" fontId="13" fillId="10" borderId="1" xfId="2" applyNumberFormat="1" applyFont="1" applyFill="1" applyBorder="1" applyAlignment="1">
      <alignment horizontal="center" vertical="center" shrinkToFit="1"/>
    </xf>
    <xf numFmtId="0" fontId="8" fillId="0" borderId="0" xfId="0" applyFont="1" applyAlignment="1">
      <alignment horizontal="center"/>
    </xf>
    <xf numFmtId="0" fontId="5" fillId="0" borderId="0" xfId="2" applyAlignment="1">
      <alignment horizontal="center" vertical="center"/>
    </xf>
    <xf numFmtId="49" fontId="5" fillId="0" borderId="4" xfId="2" applyNumberFormat="1" applyBorder="1" applyAlignment="1">
      <alignment vertical="center" shrinkToFit="1"/>
    </xf>
    <xf numFmtId="0" fontId="8" fillId="0" borderId="7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6" fillId="0" borderId="0" xfId="2" applyNumberFormat="1" applyFont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3" fillId="3" borderId="3" xfId="2" applyFont="1" applyFill="1" applyBorder="1" applyAlignment="1">
      <alignment horizontal="center" vertical="center" shrinkToFit="1"/>
    </xf>
    <xf numFmtId="49" fontId="13" fillId="0" borderId="1" xfId="2" applyNumberFormat="1" applyFont="1" applyBorder="1" applyAlignment="1">
      <alignment horizontal="center" vertical="center" shrinkToFit="1"/>
    </xf>
    <xf numFmtId="1" fontId="20" fillId="0" borderId="3" xfId="2" applyNumberFormat="1" applyFont="1" applyBorder="1" applyAlignment="1">
      <alignment horizontal="center" vertical="center" shrinkToFit="1"/>
    </xf>
    <xf numFmtId="0" fontId="19" fillId="0" borderId="7" xfId="0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 shrinkToFit="1"/>
    </xf>
    <xf numFmtId="49" fontId="13" fillId="0" borderId="3" xfId="2" applyNumberFormat="1" applyFont="1" applyBorder="1" applyAlignment="1">
      <alignment horizontal="center" vertical="center" shrinkToFit="1"/>
    </xf>
    <xf numFmtId="0" fontId="13" fillId="3" borderId="1" xfId="2" applyFont="1" applyFill="1" applyBorder="1" applyAlignment="1">
      <alignment horizontal="center" vertical="center" shrinkToFit="1"/>
    </xf>
    <xf numFmtId="1" fontId="20" fillId="0" borderId="1" xfId="2" applyNumberFormat="1" applyFont="1" applyBorder="1" applyAlignment="1">
      <alignment horizontal="center" vertical="center" shrinkToFit="1"/>
    </xf>
    <xf numFmtId="0" fontId="13" fillId="0" borderId="8" xfId="2" applyFont="1" applyBorder="1" applyAlignment="1">
      <alignment horizontal="center" vertical="center" shrinkToFit="1"/>
    </xf>
    <xf numFmtId="0" fontId="13" fillId="0" borderId="1" xfId="2" applyFont="1" applyBorder="1" applyAlignment="1">
      <alignment horizontal="left" vertical="center" shrinkToFit="1"/>
    </xf>
    <xf numFmtId="0" fontId="13" fillId="3" borderId="1" xfId="2" applyFont="1" applyFill="1" applyBorder="1" applyAlignment="1">
      <alignment horizontal="left" vertical="center" shrinkToFit="1"/>
    </xf>
    <xf numFmtId="1" fontId="20" fillId="0" borderId="1" xfId="2" applyNumberFormat="1" applyFont="1" applyBorder="1" applyAlignment="1">
      <alignment horizontal="center" vertical="center" wrapText="1" shrinkToFit="1"/>
    </xf>
    <xf numFmtId="0" fontId="18" fillId="0" borderId="1" xfId="0" applyFont="1" applyBorder="1" applyAlignment="1">
      <alignment horizontal="center"/>
    </xf>
    <xf numFmtId="49" fontId="13" fillId="0" borderId="4" xfId="2" applyNumberFormat="1" applyFont="1" applyBorder="1" applyAlignment="1">
      <alignment horizontal="center" vertical="center" shrinkToFit="1"/>
    </xf>
    <xf numFmtId="0" fontId="13" fillId="0" borderId="4" xfId="2" applyFont="1" applyBorder="1" applyAlignment="1">
      <alignment horizontal="center" vertical="center" shrinkToFit="1"/>
    </xf>
    <xf numFmtId="1" fontId="18" fillId="0" borderId="1" xfId="0" applyNumberFormat="1" applyFont="1" applyBorder="1" applyAlignment="1">
      <alignment horizontal="center" vertical="center"/>
    </xf>
    <xf numFmtId="0" fontId="13" fillId="8" borderId="1" xfId="2" applyFont="1" applyFill="1" applyBorder="1" applyAlignment="1">
      <alignment horizontal="left" vertical="center" shrinkToFit="1"/>
    </xf>
    <xf numFmtId="0" fontId="19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" fontId="18" fillId="0" borderId="8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/>
    </xf>
    <xf numFmtId="0" fontId="6" fillId="0" borderId="1" xfId="2" applyFont="1" applyBorder="1" applyAlignment="1">
      <alignment horizontal="center" vertical="center" shrinkToFit="1"/>
    </xf>
    <xf numFmtId="0" fontId="18" fillId="0" borderId="4" xfId="0" applyFont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" fontId="8" fillId="0" borderId="8" xfId="0" applyNumberFormat="1" applyFont="1" applyBorder="1" applyAlignment="1">
      <alignment horizontal="center" vertical="center"/>
    </xf>
    <xf numFmtId="0" fontId="5" fillId="0" borderId="0" xfId="2" applyAlignment="1">
      <alignment vertical="center" shrinkToFit="1"/>
    </xf>
    <xf numFmtId="0" fontId="8" fillId="5" borderId="0" xfId="0" applyFont="1" applyFill="1"/>
    <xf numFmtId="0" fontId="8" fillId="0" borderId="1" xfId="0" quotePrefix="1" applyFont="1" applyBorder="1" applyAlignment="1">
      <alignment horizontal="center"/>
    </xf>
    <xf numFmtId="49" fontId="5" fillId="0" borderId="3" xfId="2" applyNumberFormat="1" applyBorder="1" applyAlignment="1">
      <alignment horizontal="center" vertical="center" shrinkToFit="1"/>
    </xf>
    <xf numFmtId="0" fontId="5" fillId="0" borderId="1" xfId="2" applyBorder="1" applyAlignment="1">
      <alignment horizontal="left" vertical="center" shrinkToFit="1"/>
    </xf>
    <xf numFmtId="0" fontId="5" fillId="0" borderId="3" xfId="2" applyBorder="1" applyAlignment="1">
      <alignment horizontal="center" vertical="center" shrinkToFit="1"/>
    </xf>
    <xf numFmtId="0" fontId="23" fillId="0" borderId="0" xfId="6"/>
    <xf numFmtId="0" fontId="21" fillId="5" borderId="0" xfId="0" applyFont="1" applyFill="1"/>
    <xf numFmtId="0" fontId="0" fillId="2" borderId="0" xfId="0" applyFill="1"/>
    <xf numFmtId="0" fontId="8" fillId="0" borderId="0" xfId="0" quotePrefix="1" applyFont="1"/>
    <xf numFmtId="0" fontId="24" fillId="0" borderId="1" xfId="0" applyFont="1" applyBorder="1" applyAlignment="1">
      <alignment horizontal="center"/>
    </xf>
    <xf numFmtId="0" fontId="25" fillId="0" borderId="0" xfId="0" applyFont="1" applyAlignment="1">
      <alignment horizontal="center" vertical="center"/>
    </xf>
    <xf numFmtId="12" fontId="0" fillId="0" borderId="1" xfId="0" applyNumberFormat="1" applyBorder="1" applyAlignment="1">
      <alignment horizontal="center" vertical="center"/>
    </xf>
    <xf numFmtId="12" fontId="25" fillId="2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/>
    </xf>
    <xf numFmtId="0" fontId="26" fillId="16" borderId="1" xfId="0" applyFont="1" applyFill="1" applyBorder="1" applyAlignment="1">
      <alignment horizontal="center" vertical="center"/>
    </xf>
    <xf numFmtId="0" fontId="0" fillId="21" borderId="7" xfId="0" applyFill="1" applyBorder="1" applyAlignment="1">
      <alignment horizontal="center" vertical="center"/>
    </xf>
    <xf numFmtId="12" fontId="8" fillId="0" borderId="1" xfId="0" applyNumberFormat="1" applyFont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/>
    </xf>
    <xf numFmtId="0" fontId="26" fillId="22" borderId="1" xfId="0" applyFont="1" applyFill="1" applyBorder="1" applyAlignment="1">
      <alignment horizontal="center" vertical="center"/>
    </xf>
    <xf numFmtId="0" fontId="25" fillId="22" borderId="1" xfId="0" applyFont="1" applyFill="1" applyBorder="1" applyAlignment="1">
      <alignment horizontal="center" vertical="center"/>
    </xf>
    <xf numFmtId="0" fontId="25" fillId="22" borderId="1" xfId="0" applyFont="1" applyFill="1" applyBorder="1" applyAlignment="1">
      <alignment horizont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2" fontId="0" fillId="0" borderId="0" xfId="0" applyNumberFormat="1"/>
    <xf numFmtId="0" fontId="5" fillId="23" borderId="1" xfId="2" applyFill="1" applyBorder="1" applyAlignment="1">
      <alignment horizontal="center" vertical="center" shrinkToFit="1"/>
    </xf>
    <xf numFmtId="9" fontId="0" fillId="0" borderId="0" xfId="0" applyNumberFormat="1"/>
    <xf numFmtId="0" fontId="4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29" fillId="23" borderId="10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9" fillId="23" borderId="11" xfId="0" applyFont="1" applyFill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29" fillId="23" borderId="13" xfId="0" applyFont="1" applyFill="1" applyBorder="1" applyAlignment="1">
      <alignment horizontal="center"/>
    </xf>
    <xf numFmtId="0" fontId="8" fillId="0" borderId="13" xfId="0" applyFont="1" applyBorder="1"/>
    <xf numFmtId="0" fontId="14" fillId="18" borderId="7" xfId="0" applyFont="1" applyFill="1" applyBorder="1" applyAlignment="1">
      <alignment horizontal="center" vertical="center"/>
    </xf>
    <xf numFmtId="0" fontId="14" fillId="18" borderId="8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0" fontId="17" fillId="4" borderId="8" xfId="0" applyFont="1" applyFill="1" applyBorder="1" applyAlignment="1">
      <alignment horizontal="center" vertical="center"/>
    </xf>
    <xf numFmtId="0" fontId="30" fillId="24" borderId="10" xfId="0" applyFont="1" applyFill="1" applyBorder="1" applyAlignment="1">
      <alignment horizontal="center" vertical="center"/>
    </xf>
    <xf numFmtId="0" fontId="30" fillId="24" borderId="14" xfId="0" applyFont="1" applyFill="1" applyBorder="1" applyAlignment="1">
      <alignment horizontal="center" vertical="center"/>
    </xf>
    <xf numFmtId="0" fontId="31" fillId="4" borderId="10" xfId="0" applyFont="1" applyFill="1" applyBorder="1" applyAlignment="1">
      <alignment horizontal="center" vertical="center"/>
    </xf>
    <xf numFmtId="0" fontId="31" fillId="4" borderId="14" xfId="0" applyFont="1" applyFill="1" applyBorder="1" applyAlignment="1">
      <alignment horizontal="center" vertical="center"/>
    </xf>
    <xf numFmtId="0" fontId="22" fillId="19" borderId="7" xfId="0" applyFont="1" applyFill="1" applyBorder="1" applyAlignment="1">
      <alignment horizontal="center" vertical="center"/>
    </xf>
    <xf numFmtId="0" fontId="22" fillId="19" borderId="8" xfId="0" applyFont="1" applyFill="1" applyBorder="1" applyAlignment="1">
      <alignment horizontal="center" vertical="center"/>
    </xf>
    <xf numFmtId="0" fontId="14" fillId="13" borderId="7" xfId="0" applyFont="1" applyFill="1" applyBorder="1" applyAlignment="1">
      <alignment horizontal="center" vertical="center"/>
    </xf>
    <xf numFmtId="0" fontId="14" fillId="13" borderId="8" xfId="0" applyFont="1" applyFill="1" applyBorder="1" applyAlignment="1">
      <alignment horizontal="center" vertical="center"/>
    </xf>
    <xf numFmtId="0" fontId="14" fillId="17" borderId="7" xfId="0" applyFont="1" applyFill="1" applyBorder="1" applyAlignment="1">
      <alignment horizontal="center" vertical="center"/>
    </xf>
    <xf numFmtId="0" fontId="14" fillId="17" borderId="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0" fontId="14" fillId="12" borderId="8" xfId="0" applyFont="1" applyFill="1" applyBorder="1" applyAlignment="1">
      <alignment horizontal="center"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0" fillId="14" borderId="7" xfId="0" applyFont="1" applyFill="1" applyBorder="1" applyAlignment="1">
      <alignment horizontal="center" vertical="center"/>
    </xf>
    <xf numFmtId="0" fontId="10" fillId="14" borderId="8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10" fillId="9" borderId="8" xfId="0" applyFont="1" applyFill="1" applyBorder="1" applyAlignment="1">
      <alignment horizontal="center" vertical="center"/>
    </xf>
    <xf numFmtId="0" fontId="10" fillId="15" borderId="7" xfId="0" applyFont="1" applyFill="1" applyBorder="1" applyAlignment="1">
      <alignment horizontal="center" vertical="center"/>
    </xf>
    <xf numFmtId="0" fontId="10" fillId="15" borderId="8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 wrapText="1"/>
    </xf>
    <xf numFmtId="1" fontId="8" fillId="16" borderId="2" xfId="0" applyNumberFormat="1" applyFont="1" applyFill="1" applyBorder="1" applyAlignment="1">
      <alignment horizontal="center" vertical="center" wrapText="1"/>
    </xf>
    <xf numFmtId="1" fontId="8" fillId="16" borderId="3" xfId="0" applyNumberFormat="1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center" vertical="center" wrapText="1"/>
    </xf>
    <xf numFmtId="0" fontId="8" fillId="11" borderId="3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8" fillId="16" borderId="2" xfId="0" applyFont="1" applyFill="1" applyBorder="1" applyAlignment="1">
      <alignment horizontal="center" vertical="center" wrapText="1"/>
    </xf>
    <xf numFmtId="0" fontId="8" fillId="16" borderId="3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/>
    </xf>
    <xf numFmtId="0" fontId="14" fillId="13" borderId="4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0" fillId="14" borderId="4" xfId="0" applyFont="1" applyFill="1" applyBorder="1" applyAlignment="1">
      <alignment horizontal="center" vertical="center"/>
    </xf>
    <xf numFmtId="0" fontId="14" fillId="12" borderId="4" xfId="0" applyFont="1" applyFill="1" applyBorder="1" applyAlignment="1">
      <alignment horizontal="center" vertical="center"/>
    </xf>
    <xf numFmtId="0" fontId="10" fillId="15" borderId="4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16" borderId="5" xfId="0" applyFont="1" applyFill="1" applyBorder="1" applyAlignment="1">
      <alignment horizontal="center" vertical="center" wrapText="1"/>
    </xf>
    <xf numFmtId="0" fontId="8" fillId="16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14" fillId="17" borderId="4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22" fillId="19" borderId="4" xfId="0" applyFont="1" applyFill="1" applyBorder="1" applyAlignment="1">
      <alignment horizontal="center" vertical="center"/>
    </xf>
    <xf numFmtId="0" fontId="0" fillId="21" borderId="7" xfId="0" applyFill="1" applyBorder="1" applyAlignment="1">
      <alignment horizontal="center" vertical="center"/>
    </xf>
    <xf numFmtId="0" fontId="0" fillId="21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5" fillId="22" borderId="1" xfId="0" applyFon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2" fontId="25" fillId="22" borderId="1" xfId="0" applyNumberFormat="1" applyFont="1" applyFill="1" applyBorder="1" applyAlignment="1">
      <alignment horizontal="center" vertical="center"/>
    </xf>
    <xf numFmtId="12" fontId="25" fillId="22" borderId="7" xfId="0" applyNumberFormat="1" applyFont="1" applyFill="1" applyBorder="1" applyAlignment="1">
      <alignment horizontal="center" vertical="center"/>
    </xf>
    <xf numFmtId="12" fontId="25" fillId="22" borderId="4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/>
    </xf>
    <xf numFmtId="12" fontId="25" fillId="4" borderId="7" xfId="0" applyNumberFormat="1" applyFont="1" applyFill="1" applyBorder="1" applyAlignment="1">
      <alignment horizontal="center" vertical="center"/>
    </xf>
    <xf numFmtId="12" fontId="25" fillId="4" borderId="4" xfId="0" applyNumberFormat="1" applyFont="1" applyFill="1" applyBorder="1" applyAlignment="1">
      <alignment horizontal="center" vertical="center"/>
    </xf>
    <xf numFmtId="12" fontId="25" fillId="4" borderId="1" xfId="0" applyNumberFormat="1" applyFont="1" applyFill="1" applyBorder="1" applyAlignment="1">
      <alignment horizontal="center" vertical="center"/>
    </xf>
    <xf numFmtId="12" fontId="25" fillId="16" borderId="1" xfId="0" applyNumberFormat="1" applyFont="1" applyFill="1" applyBorder="1" applyAlignment="1">
      <alignment horizontal="center" vertical="center"/>
    </xf>
    <xf numFmtId="12" fontId="25" fillId="16" borderId="7" xfId="0" applyNumberFormat="1" applyFont="1" applyFill="1" applyBorder="1" applyAlignment="1">
      <alignment horizontal="center" vertical="center"/>
    </xf>
    <xf numFmtId="12" fontId="25" fillId="16" borderId="4" xfId="0" applyNumberFormat="1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</cellXfs>
  <cellStyles count="7">
    <cellStyle name="Lien hypertexte" xfId="6" builtinId="8"/>
    <cellStyle name="Normal" xfId="0" builtinId="0"/>
    <cellStyle name="Normal 2" xfId="3" xr:uid="{CB2B636B-358F-43DF-958F-67A2C04C43F2}"/>
    <cellStyle name="Normal 2 2" xfId="5" xr:uid="{D8F36368-6DC6-44A8-B7B8-46046F8A4713}"/>
    <cellStyle name="Normal 3" xfId="4" xr:uid="{EBF24595-AF1C-4B3D-961B-BD45E1D86E3E}"/>
    <cellStyle name="Normal 4" xfId="1" xr:uid="{D29DCFD7-0911-473F-A294-626954F49A75}"/>
    <cellStyle name="Normal_sortie_materiel" xfId="2" xr:uid="{243B539C-D23E-4272-84A4-4A24563FAE3D}"/>
  </cellStyles>
  <dxfs count="0"/>
  <tableStyles count="0" defaultTableStyle="TableStyleMedium2" defaultPivotStyle="PivotStyleLight16"/>
  <colors>
    <mruColors>
      <color rgb="FF38F12F"/>
      <color rgb="FFCC99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41</xdr:row>
          <xdr:rowOff>152400</xdr:rowOff>
        </xdr:from>
        <xdr:to>
          <xdr:col>9</xdr:col>
          <xdr:colOff>742950</xdr:colOff>
          <xdr:row>43</xdr:row>
          <xdr:rowOff>95250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60</xdr:row>
          <xdr:rowOff>161925</xdr:rowOff>
        </xdr:from>
        <xdr:to>
          <xdr:col>10</xdr:col>
          <xdr:colOff>733425</xdr:colOff>
          <xdr:row>64</xdr:row>
          <xdr:rowOff>161925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85725</xdr:rowOff>
    </xdr:from>
    <xdr:to>
      <xdr:col>3</xdr:col>
      <xdr:colOff>1128938</xdr:colOff>
      <xdr:row>3</xdr:row>
      <xdr:rowOff>85311</xdr:rowOff>
    </xdr:to>
    <xdr:pic>
      <xdr:nvPicPr>
        <xdr:cNvPr id="2" name="Image 1" descr="MCI-couleur-petit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85725"/>
          <a:ext cx="2433863" cy="5710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85725</xdr:rowOff>
    </xdr:from>
    <xdr:to>
      <xdr:col>1</xdr:col>
      <xdr:colOff>1128938</xdr:colOff>
      <xdr:row>3</xdr:row>
      <xdr:rowOff>85311</xdr:rowOff>
    </xdr:to>
    <xdr:pic>
      <xdr:nvPicPr>
        <xdr:cNvPr id="2" name="Image 1" descr="MCI-couleur-petit.jpg">
          <a:extLst>
            <a:ext uri="{FF2B5EF4-FFF2-40B4-BE49-F238E27FC236}">
              <a16:creationId xmlns:a16="http://schemas.microsoft.com/office/drawing/2014/main" id="{6BA30F39-EC9E-4A61-A0D5-9D671B794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85725"/>
          <a:ext cx="2433863" cy="6853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3063551-D68D-4D1D-9334-D3E477A0E934}">
  <we:reference id="wa200009404" version="1.0.0.5" store="fr-FR" storeType="OMEX"/>
  <we:alternateReferences>
    <we:reference id="WA200009404" version="1.0.0.5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EE75-CE37-4265-894B-10DDB5B96334}">
  <sheetPr codeName="Feuil1"/>
  <dimension ref="A1:O73"/>
  <sheetViews>
    <sheetView workbookViewId="0">
      <selection activeCell="C16" sqref="C16"/>
    </sheetView>
  </sheetViews>
  <sheetFormatPr baseColWidth="10" defaultRowHeight="15" outlineLevelRow="2" x14ac:dyDescent="0.25"/>
  <cols>
    <col min="6" max="6" width="11.7109375" bestFit="1" customWidth="1"/>
    <col min="13" max="16" width="11.42578125" customWidth="1"/>
  </cols>
  <sheetData>
    <row r="1" spans="1:2" outlineLevel="1" x14ac:dyDescent="0.25">
      <c r="A1" t="s">
        <v>47</v>
      </c>
    </row>
    <row r="2" spans="1:2" outlineLevel="2" x14ac:dyDescent="0.25">
      <c r="A2" t="s">
        <v>51</v>
      </c>
    </row>
    <row r="3" spans="1:2" outlineLevel="2" x14ac:dyDescent="0.25">
      <c r="A3" t="s">
        <v>53</v>
      </c>
    </row>
    <row r="4" spans="1:2" outlineLevel="2" x14ac:dyDescent="0.25">
      <c r="A4" t="s">
        <v>54</v>
      </c>
    </row>
    <row r="5" spans="1:2" outlineLevel="2" x14ac:dyDescent="0.25">
      <c r="A5" t="s">
        <v>55</v>
      </c>
    </row>
    <row r="6" spans="1:2" outlineLevel="2" x14ac:dyDescent="0.25"/>
    <row r="7" spans="1:2" outlineLevel="2" x14ac:dyDescent="0.25">
      <c r="A7" t="s">
        <v>52</v>
      </c>
    </row>
    <row r="8" spans="1:2" outlineLevel="2" x14ac:dyDescent="0.25">
      <c r="A8" t="s">
        <v>56</v>
      </c>
    </row>
    <row r="9" spans="1:2" outlineLevel="2" x14ac:dyDescent="0.25">
      <c r="A9" t="s">
        <v>57</v>
      </c>
    </row>
    <row r="10" spans="1:2" outlineLevel="1" x14ac:dyDescent="0.25"/>
    <row r="13" spans="1:2" x14ac:dyDescent="0.25">
      <c r="B13" s="106">
        <v>0.6</v>
      </c>
    </row>
    <row r="14" spans="1:2" x14ac:dyDescent="0.25">
      <c r="B14" s="106">
        <v>0.5</v>
      </c>
    </row>
    <row r="15" spans="1:2" x14ac:dyDescent="0.25">
      <c r="B15" s="106">
        <v>0.03</v>
      </c>
    </row>
    <row r="24" spans="2:13" x14ac:dyDescent="0.25">
      <c r="F24" s="2">
        <v>44700</v>
      </c>
    </row>
    <row r="26" spans="2:13" x14ac:dyDescent="0.25">
      <c r="K26" t="s">
        <v>4080</v>
      </c>
      <c r="L26" t="s">
        <v>4080</v>
      </c>
      <c r="M26" t="s">
        <v>4080</v>
      </c>
    </row>
    <row r="29" spans="2:13" outlineLevel="1" x14ac:dyDescent="0.25">
      <c r="B29" s="3" t="s">
        <v>47</v>
      </c>
    </row>
    <row r="30" spans="2:13" outlineLevel="2" x14ac:dyDescent="0.25">
      <c r="B30" t="s">
        <v>25</v>
      </c>
    </row>
    <row r="31" spans="2:13" outlineLevel="2" x14ac:dyDescent="0.25">
      <c r="B31" t="s">
        <v>66</v>
      </c>
    </row>
    <row r="32" spans="2:13" outlineLevel="2" x14ac:dyDescent="0.25">
      <c r="B32" t="s">
        <v>67</v>
      </c>
      <c r="H32" t="s">
        <v>4079</v>
      </c>
      <c r="K32">
        <v>1</v>
      </c>
      <c r="L32">
        <v>2</v>
      </c>
      <c r="M32">
        <v>3</v>
      </c>
    </row>
    <row r="33" spans="2:15" outlineLevel="1" x14ac:dyDescent="0.25">
      <c r="B33" t="s">
        <v>26</v>
      </c>
      <c r="H33" s="3" t="str">
        <f>IF(K26="oui",K33,IF(L26="oui",L33))</f>
        <v>A</v>
      </c>
      <c r="K33" t="s">
        <v>4077</v>
      </c>
      <c r="L33" t="s">
        <v>4078</v>
      </c>
      <c r="M33" t="s">
        <v>1883</v>
      </c>
    </row>
    <row r="34" spans="2:15" outlineLevel="1" x14ac:dyDescent="0.25">
      <c r="B34" t="s">
        <v>27</v>
      </c>
    </row>
    <row r="35" spans="2:15" outlineLevel="1" x14ac:dyDescent="0.25">
      <c r="B35" t="s">
        <v>28</v>
      </c>
    </row>
    <row r="36" spans="2:15" outlineLevel="1" x14ac:dyDescent="0.25">
      <c r="B36" t="s">
        <v>29</v>
      </c>
    </row>
    <row r="37" spans="2:15" outlineLevel="1" x14ac:dyDescent="0.25">
      <c r="B37" t="s">
        <v>30</v>
      </c>
      <c r="H37" s="82" t="s">
        <v>4018</v>
      </c>
    </row>
    <row r="38" spans="2:15" outlineLevel="1" x14ac:dyDescent="0.25">
      <c r="B38" t="s">
        <v>0</v>
      </c>
    </row>
    <row r="39" spans="2:15" outlineLevel="1" x14ac:dyDescent="0.25">
      <c r="B39" t="s">
        <v>31</v>
      </c>
      <c r="O39" s="81"/>
    </row>
    <row r="40" spans="2:15" outlineLevel="1" x14ac:dyDescent="0.25">
      <c r="B40" t="s">
        <v>32</v>
      </c>
    </row>
    <row r="41" spans="2:15" outlineLevel="1" x14ac:dyDescent="0.25">
      <c r="B41" t="s">
        <v>37</v>
      </c>
    </row>
    <row r="42" spans="2:15" outlineLevel="1" x14ac:dyDescent="0.25">
      <c r="B42" t="s">
        <v>38</v>
      </c>
    </row>
    <row r="43" spans="2:15" outlineLevel="1" x14ac:dyDescent="0.25">
      <c r="B43" t="s">
        <v>39</v>
      </c>
    </row>
    <row r="44" spans="2:15" outlineLevel="1" x14ac:dyDescent="0.25">
      <c r="B44" t="s">
        <v>40</v>
      </c>
    </row>
    <row r="45" spans="2:15" outlineLevel="1" x14ac:dyDescent="0.25">
      <c r="B45" t="s">
        <v>46</v>
      </c>
      <c r="I45" s="10" t="s">
        <v>4038</v>
      </c>
      <c r="J45" s="10" t="s">
        <v>4019</v>
      </c>
      <c r="K45" s="10" t="s">
        <v>4018</v>
      </c>
    </row>
    <row r="46" spans="2:15" x14ac:dyDescent="0.25">
      <c r="I46" s="9"/>
      <c r="J46" s="9"/>
      <c r="K46" s="9"/>
    </row>
    <row r="47" spans="2:15" x14ac:dyDescent="0.25">
      <c r="B47" s="3" t="s">
        <v>62</v>
      </c>
      <c r="E47" s="25" t="s">
        <v>3928</v>
      </c>
      <c r="F47" s="25" t="s">
        <v>4060</v>
      </c>
      <c r="G47" cm="1">
        <f t="array" ref="G47:G55">J47:J55</f>
        <v>45353</v>
      </c>
      <c r="H47">
        <f>IF($H$37=$I$45,I47,IF($H$37=$J$45,J47,IF($H$37=$K$45,K47)))</f>
        <v>904497</v>
      </c>
      <c r="I47" s="10">
        <v>523218</v>
      </c>
      <c r="J47" s="10">
        <v>45353</v>
      </c>
      <c r="K47" s="1">
        <v>904497</v>
      </c>
    </row>
    <row r="48" spans="2:15" x14ac:dyDescent="0.25">
      <c r="B48" t="s">
        <v>48</v>
      </c>
      <c r="E48" s="25" t="s">
        <v>3928</v>
      </c>
      <c r="F48" s="25" t="s">
        <v>4021</v>
      </c>
      <c r="G48">
        <v>45379</v>
      </c>
      <c r="H48">
        <f>IF($H$37=$I$45,I48,IF($H$37=$J$45,J48,IF($H$37=$K$45,K48)))</f>
        <v>904328</v>
      </c>
      <c r="I48" s="10">
        <v>523774</v>
      </c>
      <c r="J48" s="10">
        <v>45379</v>
      </c>
      <c r="K48" s="1">
        <v>904328</v>
      </c>
    </row>
    <row r="49" spans="2:14" x14ac:dyDescent="0.25">
      <c r="B49" t="s">
        <v>50</v>
      </c>
      <c r="E49" s="25" t="s">
        <v>3928</v>
      </c>
      <c r="F49" s="25" t="s">
        <v>4020</v>
      </c>
      <c r="G49">
        <v>45387</v>
      </c>
      <c r="H49">
        <f t="shared" ref="H49:H55" si="0">IF($H$37=$I$45,I49,IF($H$37=$J$45,J49,IF($H$37=$K$45,K49)))</f>
        <v>904264</v>
      </c>
      <c r="I49" s="10">
        <v>523775</v>
      </c>
      <c r="J49" s="10">
        <v>45387</v>
      </c>
      <c r="K49" s="1">
        <v>904264</v>
      </c>
    </row>
    <row r="50" spans="2:14" x14ac:dyDescent="0.25">
      <c r="B50" t="s">
        <v>49</v>
      </c>
      <c r="E50" s="25" t="s">
        <v>3928</v>
      </c>
      <c r="F50" s="25" t="s">
        <v>4022</v>
      </c>
      <c r="G50">
        <v>45395</v>
      </c>
      <c r="H50">
        <f t="shared" si="0"/>
        <v>904284</v>
      </c>
      <c r="I50" s="10">
        <v>523776</v>
      </c>
      <c r="J50" s="10">
        <v>45395</v>
      </c>
      <c r="K50" s="10">
        <v>904284</v>
      </c>
    </row>
    <row r="51" spans="2:14" x14ac:dyDescent="0.25">
      <c r="B51" t="s">
        <v>46</v>
      </c>
      <c r="E51" s="25" t="s">
        <v>3928</v>
      </c>
      <c r="F51" s="25" t="s">
        <v>4055</v>
      </c>
      <c r="G51">
        <v>45402</v>
      </c>
      <c r="H51">
        <f t="shared" si="0"/>
        <v>904271</v>
      </c>
      <c r="I51" s="10">
        <v>523777</v>
      </c>
      <c r="J51" s="10">
        <v>45402</v>
      </c>
      <c r="K51" s="10">
        <v>904271</v>
      </c>
    </row>
    <row r="52" spans="2:14" x14ac:dyDescent="0.25">
      <c r="E52" s="25" t="s">
        <v>3928</v>
      </c>
      <c r="F52" s="25" t="s">
        <v>4056</v>
      </c>
      <c r="G52">
        <v>45410</v>
      </c>
      <c r="H52">
        <f t="shared" si="0"/>
        <v>904265</v>
      </c>
      <c r="I52" s="10">
        <v>523778</v>
      </c>
      <c r="J52" s="10">
        <v>45410</v>
      </c>
      <c r="K52" s="10">
        <v>904265</v>
      </c>
    </row>
    <row r="53" spans="2:14" x14ac:dyDescent="0.25">
      <c r="E53" s="25" t="s">
        <v>3928</v>
      </c>
      <c r="F53" s="25" t="s">
        <v>4057</v>
      </c>
      <c r="G53">
        <v>45428</v>
      </c>
      <c r="H53">
        <f t="shared" si="0"/>
        <v>904266</v>
      </c>
      <c r="I53" s="10">
        <v>523782</v>
      </c>
      <c r="J53" s="10">
        <v>45428</v>
      </c>
      <c r="K53" s="10">
        <v>904266</v>
      </c>
      <c r="N53" t="s">
        <v>4231</v>
      </c>
    </row>
    <row r="54" spans="2:14" x14ac:dyDescent="0.25">
      <c r="E54" s="25" t="s">
        <v>3928</v>
      </c>
      <c r="F54" s="25" t="s">
        <v>4058</v>
      </c>
      <c r="G54">
        <v>45436</v>
      </c>
      <c r="H54">
        <f t="shared" si="0"/>
        <v>904267</v>
      </c>
      <c r="I54" s="10">
        <v>523779</v>
      </c>
      <c r="J54" s="10">
        <v>45436</v>
      </c>
      <c r="K54" s="10">
        <v>904267</v>
      </c>
      <c r="N54" s="10">
        <v>1</v>
      </c>
    </row>
    <row r="55" spans="2:14" x14ac:dyDescent="0.25">
      <c r="E55" s="25" t="s">
        <v>3928</v>
      </c>
      <c r="F55" s="25" t="s">
        <v>4059</v>
      </c>
      <c r="G55">
        <v>45444</v>
      </c>
      <c r="H55">
        <f t="shared" si="0"/>
        <v>904268</v>
      </c>
      <c r="I55" s="10">
        <v>523783</v>
      </c>
      <c r="J55" s="10">
        <v>45444</v>
      </c>
      <c r="K55" s="10">
        <v>904268</v>
      </c>
      <c r="N55" s="10">
        <v>2</v>
      </c>
    </row>
    <row r="56" spans="2:14" x14ac:dyDescent="0.25">
      <c r="N56">
        <v>3</v>
      </c>
    </row>
    <row r="57" spans="2:14" x14ac:dyDescent="0.25">
      <c r="J57" s="10">
        <v>504</v>
      </c>
    </row>
    <row r="58" spans="2:14" x14ac:dyDescent="0.25">
      <c r="J58" s="10"/>
    </row>
    <row r="59" spans="2:14" x14ac:dyDescent="0.25">
      <c r="J59" s="10"/>
    </row>
    <row r="62" spans="2:14" x14ac:dyDescent="0.25">
      <c r="D62">
        <v>0</v>
      </c>
      <c r="E62" s="101">
        <v>2</v>
      </c>
      <c r="F62" t="s">
        <v>4206</v>
      </c>
    </row>
    <row r="64" spans="2:14" x14ac:dyDescent="0.25">
      <c r="F64" s="101"/>
    </row>
    <row r="65" spans="6:6" x14ac:dyDescent="0.25">
      <c r="F65" s="101"/>
    </row>
    <row r="66" spans="6:6" x14ac:dyDescent="0.25">
      <c r="F66" s="101"/>
    </row>
    <row r="67" spans="6:6" x14ac:dyDescent="0.25">
      <c r="F67" s="101"/>
    </row>
    <row r="68" spans="6:6" x14ac:dyDescent="0.25">
      <c r="F68" s="101"/>
    </row>
    <row r="69" spans="6:6" x14ac:dyDescent="0.25">
      <c r="F69" s="101"/>
    </row>
    <row r="70" spans="6:6" x14ac:dyDescent="0.25">
      <c r="F70" s="101"/>
    </row>
    <row r="71" spans="6:6" x14ac:dyDescent="0.25">
      <c r="F71" s="101"/>
    </row>
    <row r="72" spans="6:6" x14ac:dyDescent="0.25">
      <c r="F72" s="101"/>
    </row>
    <row r="73" spans="6:6" x14ac:dyDescent="0.25">
      <c r="F73" s="101"/>
    </row>
  </sheetData>
  <phoneticPr fontId="1" type="noConversion"/>
  <conditionalFormatting sqref="B13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{0D9E5287-C2CD-423B-AEBA-A9266714292E}</x14:id>
        </ext>
      </extLst>
    </cfRule>
    <cfRule type="colorScale" priority="15">
      <colorScale>
        <cfvo type="percent" val="0"/>
        <cfvo type="percent" val="100"/>
        <color rgb="FFFF7128"/>
        <color rgb="FFFFEF9C"/>
      </colorScale>
    </cfRule>
    <cfRule type="colorScale" priority="16">
      <colorScale>
        <cfvo type="min"/>
        <cfvo type="max"/>
        <color rgb="FF63BE7B"/>
        <color rgb="FFFFEF9C"/>
      </colorScale>
    </cfRule>
  </conditionalFormatting>
  <conditionalFormatting sqref="B15">
    <cfRule type="dataBar" priority="6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{6E182A35-008E-45D5-9623-B7EE67553561}</x14:id>
        </ext>
      </extLst>
    </cfRule>
    <cfRule type="dataBar" priority="7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{2ED06340-D6C3-4BA5-A28E-E241355F6CD8}</x14:id>
        </ext>
      </extLst>
    </cfRule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{9B4B67AD-5312-490D-9EA1-84DDA64901DC}</x14:id>
        </ext>
      </extLst>
    </cfRule>
  </conditionalFormatting>
  <conditionalFormatting sqref="B1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{3FC30C97-31D6-4114-8E04-DD5F2D84B0DE}</x14:id>
        </ext>
      </extLst>
    </cfRule>
    <cfRule type="dataBar" priority="2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{B214B28D-1837-42AC-B955-329175967734}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{7E01CD0C-0437-4244-B139-A3AA5F9D9AFA}</x14:id>
        </ext>
      </extLst>
    </cfRule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{DB477D71-A8DA-4355-B4E9-B77766657025}</x14:id>
        </ext>
      </extLst>
    </cfRule>
  </conditionalFormatting>
  <dataValidations disablePrompts="1" count="2">
    <dataValidation type="list" allowBlank="1" showInputMessage="1" showErrorMessage="1" promptTitle="SELECTION" sqref="H37" xr:uid="{A4A17272-A96D-438C-806F-C25CF3307E0D}">
      <formula1>$I$45:$K$45</formula1>
    </dataValidation>
    <dataValidation type="list" allowBlank="1" showInputMessage="1" showErrorMessage="1" sqref="N53:N56" xr:uid="{ABD4A796-EEDA-4F60-AFCD-7458B4AA1DBD}">
      <formula1>$N$53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Macro10">
                <anchor moveWithCells="1" sizeWithCells="1">
                  <from>
                    <xdr:col>9</xdr:col>
                    <xdr:colOff>57150</xdr:colOff>
                    <xdr:row>41</xdr:row>
                    <xdr:rowOff>152400</xdr:rowOff>
                  </from>
                  <to>
                    <xdr:col>9</xdr:col>
                    <xdr:colOff>742950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essai_affichage_permannent_mot_dans_cellule">
                <anchor moveWithCells="1" sizeWithCells="1">
                  <from>
                    <xdr:col>8</xdr:col>
                    <xdr:colOff>85725</xdr:colOff>
                    <xdr:row>60</xdr:row>
                    <xdr:rowOff>161925</xdr:rowOff>
                  </from>
                  <to>
                    <xdr:col>10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9E5287-C2CD-423B-AEBA-A926671429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B13</xm:sqref>
        </x14:conditionalFormatting>
        <x14:conditionalFormatting xmlns:xm="http://schemas.microsoft.com/office/excel/2006/main">
          <x14:cfRule type="dataBar" id="{6E182A35-008E-45D5-9623-B7EE67553561}">
            <x14:dataBar minLength="0" maxLength="100" gradient="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14:cfRule type="dataBar" id="{2ED06340-D6C3-4BA5-A28E-E241355F6CD8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14:cfRule type="dataBar" id="{9B4B67AD-5312-490D-9EA1-84DDA64901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B15</xm:sqref>
        </x14:conditionalFormatting>
        <x14:conditionalFormatting xmlns:xm="http://schemas.microsoft.com/office/excel/2006/main">
          <x14:cfRule type="dataBar" id="{3FC30C97-31D6-4114-8E04-DD5F2D84B0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214B28D-1837-42AC-B955-3291759677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E01CD0C-0437-4244-B139-A3AA5F9D9AFA}">
            <x14:dataBar minLength="0" maxLength="100" direction="leftToRight">
              <x14:cfvo type="autoMin"/>
              <x14:cfvo type="autoMax"/>
              <x14:negativeFillColor rgb="FFFF0000"/>
              <x14:axisColor rgb="FF000000"/>
            </x14:dataBar>
          </x14:cfRule>
          <x14:cfRule type="dataBar" id="{DB477D71-A8DA-4355-B4E9-B77766657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8E415-10F8-4334-99C2-BC041161167D}">
  <sheetPr codeName="Feuil4"/>
  <dimension ref="B2:Z141"/>
  <sheetViews>
    <sheetView workbookViewId="0">
      <selection activeCell="E21" sqref="E21"/>
    </sheetView>
  </sheetViews>
  <sheetFormatPr baseColWidth="10" defaultRowHeight="15" outlineLevelCol="1" x14ac:dyDescent="0.25"/>
  <cols>
    <col min="4" max="5" width="16.5703125" customWidth="1"/>
    <col min="6" max="6" width="12.42578125" bestFit="1" customWidth="1"/>
    <col min="7" max="7" width="6.28515625" bestFit="1" customWidth="1"/>
    <col min="8" max="9" width="6.28515625" customWidth="1" outlineLevel="1"/>
    <col min="10" max="11" width="6.28515625" bestFit="1" customWidth="1"/>
    <col min="12" max="12" width="20.7109375" customWidth="1"/>
  </cols>
  <sheetData>
    <row r="2" spans="3:26" x14ac:dyDescent="0.25">
      <c r="R2" t="s">
        <v>33</v>
      </c>
    </row>
    <row r="3" spans="3:26" x14ac:dyDescent="0.25">
      <c r="D3" t="s">
        <v>24</v>
      </c>
      <c r="L3" t="s">
        <v>12</v>
      </c>
      <c r="N3" s="2">
        <f>tests!F24</f>
        <v>44700</v>
      </c>
      <c r="U3" t="s">
        <v>7</v>
      </c>
    </row>
    <row r="4" spans="3:26" x14ac:dyDescent="0.25">
      <c r="L4" t="s">
        <v>13</v>
      </c>
      <c r="U4" t="s">
        <v>64</v>
      </c>
    </row>
    <row r="5" spans="3:26" x14ac:dyDescent="0.25">
      <c r="F5" t="s">
        <v>36</v>
      </c>
      <c r="L5" t="s">
        <v>14</v>
      </c>
    </row>
    <row r="7" spans="3:26" x14ac:dyDescent="0.25">
      <c r="C7" s="158" t="s">
        <v>2</v>
      </c>
      <c r="D7" s="157" t="s">
        <v>16</v>
      </c>
      <c r="E7" s="157" t="s">
        <v>34</v>
      </c>
      <c r="F7" s="157" t="s">
        <v>35</v>
      </c>
      <c r="G7" s="157" t="s">
        <v>17</v>
      </c>
      <c r="H7" s="157" t="s">
        <v>19</v>
      </c>
      <c r="I7" s="157" t="s">
        <v>20</v>
      </c>
      <c r="J7" s="157" t="s">
        <v>15</v>
      </c>
      <c r="K7" s="157" t="s">
        <v>18</v>
      </c>
      <c r="L7" s="159" t="s">
        <v>23</v>
      </c>
      <c r="U7" t="s">
        <v>8</v>
      </c>
    </row>
    <row r="8" spans="3:26" ht="30" customHeight="1" x14ac:dyDescent="0.25">
      <c r="C8" s="158"/>
      <c r="D8" s="157"/>
      <c r="E8" s="157"/>
      <c r="F8" s="157"/>
      <c r="G8" s="157"/>
      <c r="H8" s="157"/>
      <c r="I8" s="157"/>
      <c r="J8" s="157"/>
      <c r="K8" s="157"/>
      <c r="L8" s="159"/>
      <c r="M8" s="3" t="s">
        <v>47</v>
      </c>
    </row>
    <row r="9" spans="3:26" x14ac:dyDescent="0.25">
      <c r="C9" s="1" t="s">
        <v>10</v>
      </c>
      <c r="D9" s="1" t="s">
        <v>11</v>
      </c>
      <c r="E9" s="1" t="s">
        <v>21</v>
      </c>
      <c r="F9" s="1"/>
      <c r="G9" s="4">
        <v>1500</v>
      </c>
      <c r="H9" s="4">
        <v>1200</v>
      </c>
      <c r="I9" s="4">
        <v>1000</v>
      </c>
      <c r="J9" s="4"/>
      <c r="K9" s="4"/>
      <c r="L9" s="1"/>
      <c r="M9" t="s">
        <v>25</v>
      </c>
      <c r="U9" t="s">
        <v>1</v>
      </c>
    </row>
    <row r="10" spans="3:26" x14ac:dyDescent="0.25">
      <c r="C10" s="1" t="s">
        <v>10</v>
      </c>
      <c r="D10" s="1" t="s">
        <v>11</v>
      </c>
      <c r="E10" s="1" t="s">
        <v>22</v>
      </c>
      <c r="F10" s="1"/>
      <c r="G10" s="4">
        <v>500</v>
      </c>
      <c r="H10" s="4"/>
      <c r="I10" s="4"/>
      <c r="J10" s="4">
        <v>300</v>
      </c>
      <c r="K10" s="4"/>
      <c r="L10" s="1"/>
      <c r="M10" t="s">
        <v>26</v>
      </c>
      <c r="U10" t="s">
        <v>3</v>
      </c>
      <c r="Z10" t="s">
        <v>9</v>
      </c>
    </row>
    <row r="11" spans="3:26" x14ac:dyDescent="0.25">
      <c r="C11" s="1" t="s">
        <v>10</v>
      </c>
      <c r="D11" s="1"/>
      <c r="E11" s="1"/>
      <c r="F11" s="1"/>
      <c r="G11" s="4"/>
      <c r="H11" s="4"/>
      <c r="I11" s="4"/>
      <c r="J11" s="4"/>
      <c r="K11" s="4"/>
      <c r="L11" s="1"/>
      <c r="M11" t="s">
        <v>27</v>
      </c>
      <c r="U11" t="s">
        <v>4</v>
      </c>
      <c r="Z11" t="s">
        <v>6</v>
      </c>
    </row>
    <row r="12" spans="3:26" x14ac:dyDescent="0.25">
      <c r="C12" s="1" t="s">
        <v>10</v>
      </c>
      <c r="D12" s="1"/>
      <c r="E12" s="1"/>
      <c r="F12" s="1"/>
      <c r="G12" s="4"/>
      <c r="H12" s="4"/>
      <c r="I12" s="4"/>
      <c r="J12" s="4"/>
      <c r="K12" s="4"/>
      <c r="L12" s="1"/>
      <c r="M12" t="s">
        <v>28</v>
      </c>
      <c r="U12" t="s">
        <v>5</v>
      </c>
    </row>
    <row r="13" spans="3:26" x14ac:dyDescent="0.25">
      <c r="C13" s="1" t="s">
        <v>10</v>
      </c>
      <c r="D13" s="1"/>
      <c r="E13" s="1"/>
      <c r="F13" s="1"/>
      <c r="G13" s="4"/>
      <c r="H13" s="4"/>
      <c r="I13" s="4"/>
      <c r="J13" s="4"/>
      <c r="K13" s="4"/>
      <c r="L13" s="1"/>
      <c r="M13" t="s">
        <v>29</v>
      </c>
    </row>
    <row r="14" spans="3:26" x14ac:dyDescent="0.25">
      <c r="C14" s="1" t="s">
        <v>10</v>
      </c>
      <c r="D14" s="1"/>
      <c r="E14" s="1"/>
      <c r="F14" s="1"/>
      <c r="G14" s="4"/>
      <c r="H14" s="4"/>
      <c r="I14" s="4"/>
      <c r="J14" s="4"/>
      <c r="K14" s="4"/>
      <c r="L14" s="1"/>
      <c r="M14" t="s">
        <v>30</v>
      </c>
    </row>
    <row r="15" spans="3:26" x14ac:dyDescent="0.25">
      <c r="C15" s="1" t="s">
        <v>10</v>
      </c>
      <c r="D15" s="1"/>
      <c r="E15" s="1"/>
      <c r="F15" s="1"/>
      <c r="G15" s="4"/>
      <c r="H15" s="4"/>
      <c r="I15" s="4"/>
      <c r="J15" s="4"/>
      <c r="K15" s="4"/>
      <c r="L15" s="1"/>
      <c r="M15" t="s">
        <v>0</v>
      </c>
    </row>
    <row r="16" spans="3:26" x14ac:dyDescent="0.25">
      <c r="C16" s="1" t="s">
        <v>10</v>
      </c>
      <c r="D16" s="1"/>
      <c r="E16" s="1"/>
      <c r="F16" s="1"/>
      <c r="G16" s="4"/>
      <c r="H16" s="4"/>
      <c r="I16" s="4"/>
      <c r="J16" s="4"/>
      <c r="K16" s="4"/>
      <c r="L16" s="1"/>
      <c r="M16" t="s">
        <v>31</v>
      </c>
    </row>
    <row r="17" spans="3:19" x14ac:dyDescent="0.25">
      <c r="C17" s="1" t="s">
        <v>10</v>
      </c>
      <c r="D17" s="1"/>
      <c r="E17" s="1"/>
      <c r="F17" s="1"/>
      <c r="G17" s="4"/>
      <c r="H17" s="4"/>
      <c r="I17" s="4"/>
      <c r="J17" s="4"/>
      <c r="K17" s="4"/>
      <c r="L17" s="1"/>
      <c r="M17" t="s">
        <v>32</v>
      </c>
    </row>
    <row r="18" spans="3:19" x14ac:dyDescent="0.25">
      <c r="C18" s="1" t="s">
        <v>10</v>
      </c>
      <c r="D18" s="1"/>
      <c r="E18" s="1"/>
      <c r="F18" s="1"/>
      <c r="G18" s="4"/>
      <c r="H18" s="4"/>
      <c r="I18" s="4"/>
      <c r="J18" s="4"/>
      <c r="K18" s="4"/>
      <c r="L18" s="1"/>
      <c r="M18" t="s">
        <v>37</v>
      </c>
    </row>
    <row r="19" spans="3:19" x14ac:dyDescent="0.25">
      <c r="C19" s="1" t="s">
        <v>10</v>
      </c>
      <c r="D19" s="1"/>
      <c r="E19" s="1"/>
      <c r="F19" s="1"/>
      <c r="G19" s="4"/>
      <c r="H19" s="4"/>
      <c r="I19" s="4"/>
      <c r="J19" s="4"/>
      <c r="K19" s="4"/>
      <c r="L19" s="1"/>
      <c r="M19" t="s">
        <v>38</v>
      </c>
    </row>
    <row r="20" spans="3:19" x14ac:dyDescent="0.25">
      <c r="C20" s="1" t="s">
        <v>10</v>
      </c>
      <c r="D20" s="1"/>
      <c r="E20" s="1"/>
      <c r="F20" s="1"/>
      <c r="G20" s="4"/>
      <c r="H20" s="4"/>
      <c r="I20" s="4"/>
      <c r="J20" s="4"/>
      <c r="K20" s="4"/>
      <c r="L20" s="1"/>
      <c r="M20" t="s">
        <v>39</v>
      </c>
    </row>
    <row r="21" spans="3:19" x14ac:dyDescent="0.25">
      <c r="C21" s="1" t="s">
        <v>10</v>
      </c>
      <c r="D21" s="1"/>
      <c r="E21" s="1"/>
      <c r="F21" s="1"/>
      <c r="G21" s="4"/>
      <c r="H21" s="4"/>
      <c r="I21" s="4"/>
      <c r="J21" s="4"/>
      <c r="K21" s="4"/>
      <c r="L21" s="1"/>
      <c r="M21" t="s">
        <v>40</v>
      </c>
    </row>
    <row r="22" spans="3:19" x14ac:dyDescent="0.25">
      <c r="C22" s="1"/>
      <c r="D22" s="1"/>
      <c r="E22" s="1"/>
      <c r="F22" s="1"/>
      <c r="G22" s="4"/>
      <c r="H22" s="4"/>
      <c r="I22" s="4"/>
      <c r="J22" s="4"/>
      <c r="K22" s="4"/>
      <c r="L22" s="1"/>
      <c r="M22" t="s">
        <v>75</v>
      </c>
    </row>
    <row r="23" spans="3:19" x14ac:dyDescent="0.25">
      <c r="C23" s="1"/>
      <c r="D23" s="1"/>
      <c r="E23" s="1"/>
      <c r="F23" s="1"/>
      <c r="G23" s="4"/>
      <c r="H23" s="4"/>
      <c r="I23" s="4"/>
      <c r="J23" s="4"/>
      <c r="K23" s="4"/>
      <c r="L23" s="1"/>
      <c r="M23" t="s">
        <v>74</v>
      </c>
    </row>
    <row r="24" spans="3:19" x14ac:dyDescent="0.25">
      <c r="C24" s="1"/>
      <c r="D24" s="1"/>
      <c r="E24" s="1"/>
      <c r="F24" s="1"/>
      <c r="G24" s="4"/>
      <c r="H24" s="4"/>
      <c r="I24" s="4"/>
      <c r="J24" s="4"/>
      <c r="K24" s="4"/>
      <c r="L24" s="1"/>
      <c r="M24" t="s">
        <v>105</v>
      </c>
    </row>
    <row r="25" spans="3:19" x14ac:dyDescent="0.25">
      <c r="C25" s="1"/>
      <c r="D25" s="1"/>
      <c r="E25" s="1"/>
      <c r="F25" s="1"/>
      <c r="G25" s="4"/>
      <c r="H25" s="4"/>
      <c r="I25" s="4"/>
      <c r="J25" s="4"/>
      <c r="K25" s="4"/>
      <c r="L25" s="1"/>
      <c r="M25" t="s">
        <v>104</v>
      </c>
    </row>
    <row r="26" spans="3:19" x14ac:dyDescent="0.25">
      <c r="C26" s="1" t="s">
        <v>10</v>
      </c>
      <c r="D26" s="1"/>
      <c r="E26" s="1"/>
      <c r="F26" s="1"/>
      <c r="G26" s="4"/>
      <c r="H26" s="4"/>
      <c r="I26" s="4"/>
      <c r="J26" s="4"/>
      <c r="K26" s="4"/>
      <c r="L26" s="1"/>
      <c r="M26" t="s">
        <v>46</v>
      </c>
    </row>
    <row r="27" spans="3:19" x14ac:dyDescent="0.25">
      <c r="C27" s="1" t="s">
        <v>10</v>
      </c>
      <c r="D27" s="1"/>
      <c r="E27" s="1"/>
      <c r="F27" s="1"/>
      <c r="G27" s="4"/>
      <c r="H27" s="4"/>
      <c r="I27" s="4"/>
      <c r="J27" s="4"/>
      <c r="K27" s="4"/>
      <c r="L27" s="1"/>
    </row>
    <row r="28" spans="3:19" x14ac:dyDescent="0.25">
      <c r="C28" s="1" t="s">
        <v>10</v>
      </c>
      <c r="D28" s="1"/>
      <c r="E28" s="1"/>
      <c r="F28" s="1"/>
      <c r="G28" s="4"/>
      <c r="H28" s="4"/>
      <c r="I28" s="4"/>
      <c r="J28" s="4"/>
      <c r="K28" s="4"/>
      <c r="L28" s="1"/>
      <c r="M28" s="3" t="s">
        <v>62</v>
      </c>
      <c r="Q28" t="s">
        <v>41</v>
      </c>
      <c r="R28" t="s">
        <v>42</v>
      </c>
      <c r="S28" t="s">
        <v>45</v>
      </c>
    </row>
    <row r="29" spans="3:19" x14ac:dyDescent="0.25">
      <c r="C29" s="1" t="s">
        <v>10</v>
      </c>
      <c r="D29" s="1"/>
      <c r="E29" s="1"/>
      <c r="F29" s="1"/>
      <c r="G29" s="4"/>
      <c r="H29" s="4"/>
      <c r="I29" s="4"/>
      <c r="J29" s="4"/>
      <c r="K29" s="4"/>
      <c r="L29" s="1"/>
      <c r="M29" t="s">
        <v>48</v>
      </c>
      <c r="R29" t="s">
        <v>43</v>
      </c>
      <c r="S29" t="s">
        <v>44</v>
      </c>
    </row>
    <row r="30" spans="3:19" x14ac:dyDescent="0.25">
      <c r="C30" s="1" t="s">
        <v>10</v>
      </c>
      <c r="D30" s="1"/>
      <c r="E30" s="1"/>
      <c r="F30" s="1"/>
      <c r="G30" s="4"/>
      <c r="H30" s="4"/>
      <c r="I30" s="4"/>
      <c r="J30" s="4"/>
      <c r="K30" s="4"/>
      <c r="L30" s="1"/>
      <c r="M30" t="s">
        <v>50</v>
      </c>
    </row>
    <row r="31" spans="3:19" x14ac:dyDescent="0.25">
      <c r="C31" s="1" t="s">
        <v>10</v>
      </c>
      <c r="D31" s="1"/>
      <c r="E31" s="1"/>
      <c r="F31" s="1"/>
      <c r="G31" s="4"/>
      <c r="H31" s="4"/>
      <c r="I31" s="4"/>
      <c r="J31" s="4"/>
      <c r="K31" s="4"/>
      <c r="L31" s="1"/>
      <c r="M31" t="s">
        <v>49</v>
      </c>
      <c r="R31" t="s">
        <v>3701</v>
      </c>
    </row>
    <row r="32" spans="3:19" x14ac:dyDescent="0.25">
      <c r="M32" t="s">
        <v>46</v>
      </c>
    </row>
    <row r="34" spans="2:21" x14ac:dyDescent="0.25">
      <c r="M34" s="3" t="s">
        <v>137</v>
      </c>
    </row>
    <row r="35" spans="2:21" x14ac:dyDescent="0.25">
      <c r="M35" t="s">
        <v>60</v>
      </c>
    </row>
    <row r="36" spans="2:21" x14ac:dyDescent="0.25">
      <c r="M36" t="s">
        <v>58</v>
      </c>
    </row>
    <row r="37" spans="2:21" x14ac:dyDescent="0.25">
      <c r="M37" t="s">
        <v>59</v>
      </c>
    </row>
    <row r="38" spans="2:21" x14ac:dyDescent="0.25">
      <c r="B38" t="s">
        <v>3714</v>
      </c>
      <c r="D38" t="s">
        <v>3713</v>
      </c>
      <c r="M38" t="s">
        <v>136</v>
      </c>
    </row>
    <row r="39" spans="2:21" x14ac:dyDescent="0.25">
      <c r="M39" t="s">
        <v>138</v>
      </c>
    </row>
    <row r="40" spans="2:21" x14ac:dyDescent="0.25">
      <c r="M40" t="s">
        <v>139</v>
      </c>
    </row>
    <row r="41" spans="2:21" x14ac:dyDescent="0.25">
      <c r="M41" t="s">
        <v>140</v>
      </c>
    </row>
    <row r="43" spans="2:21" x14ac:dyDescent="0.25">
      <c r="M43" s="3" t="s">
        <v>61</v>
      </c>
    </row>
    <row r="44" spans="2:21" x14ac:dyDescent="0.25">
      <c r="U44" t="s">
        <v>63</v>
      </c>
    </row>
    <row r="45" spans="2:21" x14ac:dyDescent="0.25">
      <c r="M45" s="3" t="s">
        <v>65</v>
      </c>
      <c r="U45">
        <v>13</v>
      </c>
    </row>
    <row r="46" spans="2:21" x14ac:dyDescent="0.25">
      <c r="U46">
        <v>19</v>
      </c>
    </row>
    <row r="47" spans="2:21" x14ac:dyDescent="0.25">
      <c r="M47" s="3" t="s">
        <v>77</v>
      </c>
      <c r="U47">
        <v>32</v>
      </c>
    </row>
    <row r="48" spans="2:21" x14ac:dyDescent="0.25">
      <c r="M48" t="s">
        <v>68</v>
      </c>
    </row>
    <row r="49" spans="13:13" x14ac:dyDescent="0.25">
      <c r="M49" t="s">
        <v>72</v>
      </c>
    </row>
    <row r="50" spans="13:13" x14ac:dyDescent="0.25">
      <c r="M50" t="s">
        <v>69</v>
      </c>
    </row>
    <row r="51" spans="13:13" x14ac:dyDescent="0.25">
      <c r="M51" t="s">
        <v>70</v>
      </c>
    </row>
    <row r="52" spans="13:13" x14ac:dyDescent="0.25">
      <c r="M52" t="s">
        <v>71</v>
      </c>
    </row>
    <row r="53" spans="13:13" x14ac:dyDescent="0.25">
      <c r="M53" t="s">
        <v>73</v>
      </c>
    </row>
    <row r="54" spans="13:13" x14ac:dyDescent="0.25">
      <c r="M54" t="s">
        <v>76</v>
      </c>
    </row>
    <row r="56" spans="13:13" x14ac:dyDescent="0.25">
      <c r="M56" s="3" t="s">
        <v>78</v>
      </c>
    </row>
    <row r="57" spans="13:13" x14ac:dyDescent="0.25">
      <c r="M57" t="s">
        <v>79</v>
      </c>
    </row>
    <row r="58" spans="13:13" x14ac:dyDescent="0.25">
      <c r="M58" t="s">
        <v>82</v>
      </c>
    </row>
    <row r="59" spans="13:13" x14ac:dyDescent="0.25">
      <c r="M59" t="s">
        <v>80</v>
      </c>
    </row>
    <row r="60" spans="13:13" x14ac:dyDescent="0.25">
      <c r="M60" t="s">
        <v>81</v>
      </c>
    </row>
    <row r="61" spans="13:13" x14ac:dyDescent="0.25">
      <c r="M61" t="s">
        <v>83</v>
      </c>
    </row>
    <row r="62" spans="13:13" x14ac:dyDescent="0.25">
      <c r="M62" t="s">
        <v>86</v>
      </c>
    </row>
    <row r="63" spans="13:13" x14ac:dyDescent="0.25">
      <c r="M63" t="s">
        <v>84</v>
      </c>
    </row>
    <row r="64" spans="13:13" x14ac:dyDescent="0.25">
      <c r="M64" t="s">
        <v>85</v>
      </c>
    </row>
    <row r="65" spans="13:13" x14ac:dyDescent="0.25">
      <c r="M65" t="s">
        <v>87</v>
      </c>
    </row>
    <row r="66" spans="13:13" x14ac:dyDescent="0.25">
      <c r="M66" t="s">
        <v>88</v>
      </c>
    </row>
    <row r="67" spans="13:13" x14ac:dyDescent="0.25">
      <c r="M67" t="s">
        <v>102</v>
      </c>
    </row>
    <row r="68" spans="13:13" x14ac:dyDescent="0.25">
      <c r="M68" t="s">
        <v>89</v>
      </c>
    </row>
    <row r="69" spans="13:13" x14ac:dyDescent="0.25">
      <c r="M69" t="s">
        <v>90</v>
      </c>
    </row>
    <row r="72" spans="13:13" x14ac:dyDescent="0.25">
      <c r="M72" s="3" t="s">
        <v>91</v>
      </c>
    </row>
    <row r="73" spans="13:13" x14ac:dyDescent="0.25">
      <c r="M73" t="s">
        <v>92</v>
      </c>
    </row>
    <row r="74" spans="13:13" x14ac:dyDescent="0.25">
      <c r="M74" t="s">
        <v>93</v>
      </c>
    </row>
    <row r="75" spans="13:13" x14ac:dyDescent="0.25">
      <c r="M75" t="s">
        <v>94</v>
      </c>
    </row>
    <row r="76" spans="13:13" x14ac:dyDescent="0.25">
      <c r="M76" t="s">
        <v>95</v>
      </c>
    </row>
    <row r="77" spans="13:13" x14ac:dyDescent="0.25">
      <c r="M77" t="s">
        <v>96</v>
      </c>
    </row>
    <row r="78" spans="13:13" x14ac:dyDescent="0.25">
      <c r="M78" t="s">
        <v>97</v>
      </c>
    </row>
    <row r="79" spans="13:13" x14ac:dyDescent="0.25">
      <c r="M79" t="s">
        <v>98</v>
      </c>
    </row>
    <row r="80" spans="13:13" x14ac:dyDescent="0.25">
      <c r="M80" t="s">
        <v>99</v>
      </c>
    </row>
    <row r="81" spans="13:18" x14ac:dyDescent="0.25">
      <c r="M81" t="s">
        <v>100</v>
      </c>
    </row>
    <row r="82" spans="13:18" x14ac:dyDescent="0.25">
      <c r="M82" t="s">
        <v>101</v>
      </c>
    </row>
    <row r="83" spans="13:18" x14ac:dyDescent="0.25">
      <c r="M83" t="s">
        <v>103</v>
      </c>
    </row>
    <row r="85" spans="13:18" x14ac:dyDescent="0.25">
      <c r="M85" s="3" t="s">
        <v>107</v>
      </c>
    </row>
    <row r="86" spans="13:18" x14ac:dyDescent="0.25">
      <c r="M86" t="s">
        <v>108</v>
      </c>
      <c r="R86" s="5" t="s">
        <v>106</v>
      </c>
    </row>
    <row r="87" spans="13:18" x14ac:dyDescent="0.25">
      <c r="M87" t="s">
        <v>133</v>
      </c>
      <c r="R87" s="6" t="s">
        <v>161</v>
      </c>
    </row>
    <row r="88" spans="13:18" x14ac:dyDescent="0.25">
      <c r="M88" t="s">
        <v>109</v>
      </c>
      <c r="R88" t="s">
        <v>162</v>
      </c>
    </row>
    <row r="89" spans="13:18" x14ac:dyDescent="0.25">
      <c r="M89" t="s">
        <v>110</v>
      </c>
      <c r="R89" t="s">
        <v>3710</v>
      </c>
    </row>
    <row r="90" spans="13:18" x14ac:dyDescent="0.25">
      <c r="M90" t="s">
        <v>111</v>
      </c>
      <c r="R90" t="s">
        <v>164</v>
      </c>
    </row>
    <row r="91" spans="13:18" x14ac:dyDescent="0.25">
      <c r="M91" t="s">
        <v>112</v>
      </c>
      <c r="R91" t="s">
        <v>165</v>
      </c>
    </row>
    <row r="92" spans="13:18" x14ac:dyDescent="0.25">
      <c r="M92" t="s">
        <v>113</v>
      </c>
      <c r="O92" t="s">
        <v>117</v>
      </c>
      <c r="R92" t="s">
        <v>163</v>
      </c>
    </row>
    <row r="93" spans="13:18" x14ac:dyDescent="0.25">
      <c r="M93" t="s">
        <v>114</v>
      </c>
      <c r="R93" t="s">
        <v>166</v>
      </c>
    </row>
    <row r="94" spans="13:18" x14ac:dyDescent="0.25">
      <c r="M94" t="s">
        <v>115</v>
      </c>
      <c r="R94" t="s">
        <v>167</v>
      </c>
    </row>
    <row r="95" spans="13:18" x14ac:dyDescent="0.25">
      <c r="M95" t="s">
        <v>116</v>
      </c>
      <c r="R95" t="s">
        <v>168</v>
      </c>
    </row>
    <row r="96" spans="13:18" x14ac:dyDescent="0.25">
      <c r="M96" t="s">
        <v>118</v>
      </c>
      <c r="R96" t="s">
        <v>169</v>
      </c>
    </row>
    <row r="97" spans="13:18" x14ac:dyDescent="0.25">
      <c r="M97" t="s">
        <v>134</v>
      </c>
      <c r="R97" t="s">
        <v>170</v>
      </c>
    </row>
    <row r="98" spans="13:18" x14ac:dyDescent="0.25">
      <c r="M98" t="s">
        <v>135</v>
      </c>
      <c r="R98" t="s">
        <v>147</v>
      </c>
    </row>
    <row r="99" spans="13:18" x14ac:dyDescent="0.25">
      <c r="M99" t="s">
        <v>119</v>
      </c>
      <c r="R99" t="s">
        <v>148</v>
      </c>
    </row>
    <row r="100" spans="13:18" x14ac:dyDescent="0.25">
      <c r="M100" t="s">
        <v>90</v>
      </c>
    </row>
    <row r="102" spans="13:18" x14ac:dyDescent="0.25">
      <c r="M102" s="3" t="s">
        <v>120</v>
      </c>
    </row>
    <row r="103" spans="13:18" x14ac:dyDescent="0.25">
      <c r="M103" t="s">
        <v>121</v>
      </c>
    </row>
    <row r="104" spans="13:18" x14ac:dyDescent="0.25">
      <c r="M104" t="s">
        <v>122</v>
      </c>
    </row>
    <row r="105" spans="13:18" x14ac:dyDescent="0.25">
      <c r="M105" t="s">
        <v>123</v>
      </c>
    </row>
    <row r="106" spans="13:18" x14ac:dyDescent="0.25">
      <c r="M106" t="s">
        <v>124</v>
      </c>
    </row>
    <row r="107" spans="13:18" x14ac:dyDescent="0.25">
      <c r="M107" t="s">
        <v>90</v>
      </c>
    </row>
    <row r="109" spans="13:18" x14ac:dyDescent="0.25">
      <c r="M109" s="3" t="s">
        <v>125</v>
      </c>
    </row>
    <row r="110" spans="13:18" x14ac:dyDescent="0.25">
      <c r="M110" t="s">
        <v>126</v>
      </c>
    </row>
    <row r="111" spans="13:18" x14ac:dyDescent="0.25">
      <c r="M111" t="s">
        <v>127</v>
      </c>
    </row>
    <row r="112" spans="13:18" x14ac:dyDescent="0.25">
      <c r="M112" t="s">
        <v>128</v>
      </c>
    </row>
    <row r="114" spans="13:13" x14ac:dyDescent="0.25">
      <c r="M114" s="3" t="s">
        <v>129</v>
      </c>
    </row>
    <row r="115" spans="13:13" x14ac:dyDescent="0.25">
      <c r="M115" t="s">
        <v>130</v>
      </c>
    </row>
    <row r="116" spans="13:13" x14ac:dyDescent="0.25">
      <c r="M116" t="s">
        <v>131</v>
      </c>
    </row>
    <row r="117" spans="13:13" x14ac:dyDescent="0.25">
      <c r="M117" t="s">
        <v>132</v>
      </c>
    </row>
    <row r="119" spans="13:13" x14ac:dyDescent="0.25">
      <c r="M119" s="3" t="s">
        <v>156</v>
      </c>
    </row>
    <row r="120" spans="13:13" x14ac:dyDescent="0.25">
      <c r="M120" t="s">
        <v>141</v>
      </c>
    </row>
    <row r="121" spans="13:13" x14ac:dyDescent="0.25">
      <c r="M121" t="s">
        <v>124</v>
      </c>
    </row>
    <row r="122" spans="13:13" x14ac:dyDescent="0.25">
      <c r="M122" t="s">
        <v>142</v>
      </c>
    </row>
    <row r="123" spans="13:13" x14ac:dyDescent="0.25">
      <c r="M123" t="s">
        <v>143</v>
      </c>
    </row>
    <row r="124" spans="13:13" x14ac:dyDescent="0.25">
      <c r="M124" t="s">
        <v>144</v>
      </c>
    </row>
    <row r="125" spans="13:13" x14ac:dyDescent="0.25">
      <c r="M125" t="s">
        <v>145</v>
      </c>
    </row>
    <row r="126" spans="13:13" x14ac:dyDescent="0.25">
      <c r="M126" t="s">
        <v>146</v>
      </c>
    </row>
    <row r="127" spans="13:13" x14ac:dyDescent="0.25">
      <c r="M127" t="s">
        <v>147</v>
      </c>
    </row>
    <row r="128" spans="13:13" x14ac:dyDescent="0.25">
      <c r="M128" t="s">
        <v>148</v>
      </c>
    </row>
    <row r="129" spans="13:13" x14ac:dyDescent="0.25">
      <c r="M129" t="s">
        <v>151</v>
      </c>
    </row>
    <row r="130" spans="13:13" x14ac:dyDescent="0.25">
      <c r="M130" t="s">
        <v>149</v>
      </c>
    </row>
    <row r="131" spans="13:13" x14ac:dyDescent="0.25">
      <c r="M131" t="s">
        <v>150</v>
      </c>
    </row>
    <row r="132" spans="13:13" x14ac:dyDescent="0.25">
      <c r="M132" t="s">
        <v>152</v>
      </c>
    </row>
    <row r="133" spans="13:13" x14ac:dyDescent="0.25">
      <c r="M133" t="s">
        <v>153</v>
      </c>
    </row>
    <row r="134" spans="13:13" x14ac:dyDescent="0.25">
      <c r="M134" t="s">
        <v>154</v>
      </c>
    </row>
    <row r="135" spans="13:13" x14ac:dyDescent="0.25">
      <c r="M135" t="s">
        <v>46</v>
      </c>
    </row>
    <row r="137" spans="13:13" x14ac:dyDescent="0.25">
      <c r="M137" s="3" t="s">
        <v>155</v>
      </c>
    </row>
    <row r="138" spans="13:13" x14ac:dyDescent="0.25">
      <c r="M138" t="s">
        <v>157</v>
      </c>
    </row>
    <row r="139" spans="13:13" x14ac:dyDescent="0.25">
      <c r="M139" t="s">
        <v>158</v>
      </c>
    </row>
    <row r="140" spans="13:13" x14ac:dyDescent="0.25">
      <c r="M140" t="s">
        <v>159</v>
      </c>
    </row>
    <row r="141" spans="13:13" x14ac:dyDescent="0.25">
      <c r="M141" t="s">
        <v>160</v>
      </c>
    </row>
  </sheetData>
  <mergeCells count="10">
    <mergeCell ref="D7:D8"/>
    <mergeCell ref="C7:C8"/>
    <mergeCell ref="L7:L8"/>
    <mergeCell ref="H7:H8"/>
    <mergeCell ref="I7:I8"/>
    <mergeCell ref="E7:E8"/>
    <mergeCell ref="G7:G8"/>
    <mergeCell ref="J7:J8"/>
    <mergeCell ref="K7:K8"/>
    <mergeCell ref="F7:F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C5BF-3550-4BFF-9A45-16D06CC6111C}">
  <sheetPr codeName="Feuil3">
    <outlinePr summaryBelow="0" summaryRight="0"/>
  </sheetPr>
  <dimension ref="A1:AN2885"/>
  <sheetViews>
    <sheetView zoomScale="85" zoomScaleNormal="85" zoomScaleSheetLayoutView="100" workbookViewId="0">
      <pane ySplit="12" topLeftCell="A13" activePane="bottomLeft" state="frozen"/>
      <selection pane="bottomLeft" activeCell="I1239" sqref="I1239"/>
    </sheetView>
  </sheetViews>
  <sheetFormatPr baseColWidth="10" defaultColWidth="11.42578125" defaultRowHeight="18" customHeight="1" outlineLevelRow="4" x14ac:dyDescent="0.2"/>
  <cols>
    <col min="1" max="3" width="6.7109375" style="10" customWidth="1"/>
    <col min="4" max="4" width="17.28515625" style="10" customWidth="1"/>
    <col min="5" max="5" width="21.7109375" style="10" customWidth="1"/>
    <col min="6" max="6" width="19.7109375" style="10" customWidth="1"/>
    <col min="7" max="7" width="19.7109375" style="34" customWidth="1"/>
    <col min="8" max="8" width="14.7109375" style="10" customWidth="1"/>
    <col min="9" max="9" width="40.7109375" style="10" customWidth="1"/>
    <col min="10" max="12" width="11.42578125" style="25"/>
    <col min="13" max="13" width="11.42578125" style="9"/>
    <col min="14" max="32" width="0" style="9" hidden="1" customWidth="1"/>
    <col min="33" max="36" width="11.42578125" style="9" customWidth="1"/>
    <col min="37" max="16384" width="11.42578125" style="9"/>
  </cols>
  <sheetData>
    <row r="1" spans="1:15" ht="18" customHeight="1" x14ac:dyDescent="0.2">
      <c r="J1" s="28"/>
      <c r="K1" s="28"/>
      <c r="L1" s="28"/>
    </row>
    <row r="2" spans="1:15" ht="18" customHeight="1" x14ac:dyDescent="0.2">
      <c r="E2" s="154" t="s">
        <v>177</v>
      </c>
      <c r="F2" s="154"/>
      <c r="G2" s="154"/>
      <c r="H2" s="154"/>
      <c r="I2" s="22"/>
      <c r="J2" s="10"/>
      <c r="K2" s="10"/>
      <c r="L2" s="28"/>
    </row>
    <row r="3" spans="1:15" ht="18" customHeight="1" x14ac:dyDescent="0.2">
      <c r="E3" s="155" t="s">
        <v>178</v>
      </c>
      <c r="F3" s="155"/>
      <c r="G3" s="155"/>
      <c r="H3" s="155"/>
      <c r="J3" s="10"/>
      <c r="K3" s="10"/>
      <c r="L3" s="28"/>
    </row>
    <row r="4" spans="1:15" ht="18" customHeight="1" x14ac:dyDescent="0.2">
      <c r="E4" s="155" t="s">
        <v>179</v>
      </c>
      <c r="F4" s="155"/>
      <c r="G4" s="155"/>
      <c r="H4" s="155"/>
      <c r="J4" s="10"/>
      <c r="K4" s="10"/>
      <c r="L4" s="28"/>
    </row>
    <row r="5" spans="1:15" ht="18" customHeight="1" x14ac:dyDescent="0.2">
      <c r="A5" s="167" t="s">
        <v>171</v>
      </c>
      <c r="B5" s="167"/>
      <c r="C5" s="167"/>
      <c r="D5" s="13"/>
      <c r="E5" s="156" t="s">
        <v>176</v>
      </c>
      <c r="F5" s="156"/>
      <c r="G5" s="156"/>
      <c r="H5" s="156"/>
      <c r="I5" s="8"/>
      <c r="J5" s="8"/>
      <c r="K5" s="8"/>
      <c r="L5" s="28"/>
    </row>
    <row r="6" spans="1:15" ht="18" customHeight="1" x14ac:dyDescent="0.2">
      <c r="A6" s="168" t="s">
        <v>172</v>
      </c>
      <c r="B6" s="168"/>
      <c r="C6" s="168"/>
      <c r="D6" s="14"/>
      <c r="E6" s="8"/>
      <c r="F6" s="7"/>
      <c r="G6" s="35"/>
      <c r="H6" s="7"/>
      <c r="I6" s="8"/>
      <c r="J6" s="8"/>
      <c r="K6" s="8"/>
      <c r="L6" s="28"/>
    </row>
    <row r="7" spans="1:15" ht="18" customHeight="1" x14ac:dyDescent="0.2">
      <c r="A7" s="168" t="s">
        <v>173</v>
      </c>
      <c r="B7" s="168"/>
      <c r="C7" s="168"/>
      <c r="D7" s="15" t="s">
        <v>199</v>
      </c>
      <c r="E7" s="8" t="s">
        <v>196</v>
      </c>
      <c r="F7" s="150" t="s">
        <v>12</v>
      </c>
      <c r="G7" s="150"/>
      <c r="H7" s="150"/>
      <c r="I7" s="17"/>
      <c r="J7" s="28"/>
      <c r="K7" s="28"/>
      <c r="L7" s="28"/>
    </row>
    <row r="8" spans="1:15" ht="18" customHeight="1" x14ac:dyDescent="0.2">
      <c r="A8" s="168" t="s">
        <v>174</v>
      </c>
      <c r="B8" s="168"/>
      <c r="C8" s="168"/>
      <c r="D8" s="15"/>
      <c r="E8" s="8"/>
      <c r="F8" s="151" t="s">
        <v>197</v>
      </c>
      <c r="G8" s="151"/>
      <c r="H8" s="151"/>
      <c r="I8" s="16"/>
      <c r="J8" s="29"/>
      <c r="K8" s="29"/>
      <c r="L8" s="28"/>
    </row>
    <row r="9" spans="1:15" ht="18" customHeight="1" x14ac:dyDescent="0.2">
      <c r="A9" s="168" t="s">
        <v>175</v>
      </c>
      <c r="B9" s="168"/>
      <c r="C9" s="168"/>
      <c r="D9" s="15" t="s">
        <v>195</v>
      </c>
      <c r="E9" s="8" t="s">
        <v>196</v>
      </c>
      <c r="F9" s="151"/>
      <c r="G9" s="151"/>
      <c r="H9" s="151"/>
      <c r="I9" s="16"/>
      <c r="J9" s="29"/>
      <c r="K9" s="29"/>
      <c r="L9" s="28"/>
    </row>
    <row r="10" spans="1:15" ht="18" customHeight="1" x14ac:dyDescent="0.2">
      <c r="J10" s="28"/>
      <c r="K10" s="28"/>
      <c r="L10" s="28"/>
    </row>
    <row r="11" spans="1:15" ht="18" customHeight="1" x14ac:dyDescent="0.2">
      <c r="A11" s="152" t="s">
        <v>180</v>
      </c>
      <c r="B11" s="152" t="s">
        <v>181</v>
      </c>
      <c r="C11" s="169" t="s">
        <v>193</v>
      </c>
      <c r="D11" s="143" t="s">
        <v>2</v>
      </c>
      <c r="E11" s="143" t="s">
        <v>16</v>
      </c>
      <c r="F11" s="143" t="s">
        <v>34</v>
      </c>
      <c r="G11" s="144" t="s">
        <v>198</v>
      </c>
      <c r="H11" s="143" t="s">
        <v>194</v>
      </c>
      <c r="I11" s="146" t="s">
        <v>35</v>
      </c>
      <c r="J11" s="148" t="s">
        <v>200</v>
      </c>
      <c r="K11" s="171" t="s">
        <v>234</v>
      </c>
      <c r="L11" s="173" t="s">
        <v>235</v>
      </c>
    </row>
    <row r="12" spans="1:15" ht="18" customHeight="1" x14ac:dyDescent="0.2">
      <c r="A12" s="153"/>
      <c r="B12" s="153"/>
      <c r="C12" s="170"/>
      <c r="D12" s="143"/>
      <c r="E12" s="143"/>
      <c r="F12" s="143"/>
      <c r="G12" s="145"/>
      <c r="H12" s="143"/>
      <c r="I12" s="147"/>
      <c r="J12" s="149"/>
      <c r="K12" s="172"/>
      <c r="L12" s="174"/>
    </row>
    <row r="13" spans="1:15" ht="18" customHeight="1" collapsed="1" x14ac:dyDescent="0.2">
      <c r="A13" s="141" t="s">
        <v>47</v>
      </c>
      <c r="B13" s="142"/>
      <c r="C13" s="142"/>
      <c r="D13" s="142"/>
      <c r="E13" s="142"/>
      <c r="F13" s="142"/>
      <c r="G13" s="142"/>
      <c r="H13" s="142"/>
      <c r="I13" s="142"/>
      <c r="J13" s="142"/>
      <c r="K13" s="142"/>
      <c r="L13" s="165"/>
    </row>
    <row r="14" spans="1:15" ht="18" hidden="1" customHeight="1" outlineLevel="1" collapsed="1" x14ac:dyDescent="0.2">
      <c r="A14" s="119" t="s">
        <v>192</v>
      </c>
      <c r="B14" s="120"/>
      <c r="C14" s="120"/>
      <c r="D14" s="120"/>
      <c r="E14" s="120"/>
      <c r="F14" s="120"/>
      <c r="G14" s="120"/>
      <c r="H14" s="120"/>
      <c r="I14" s="120"/>
      <c r="J14" s="120"/>
      <c r="K14" s="120"/>
      <c r="L14" s="160"/>
    </row>
    <row r="15" spans="1:15" ht="18" hidden="1" customHeight="1" outlineLevel="2" x14ac:dyDescent="0.25">
      <c r="A15" s="39"/>
      <c r="B15" s="39"/>
      <c r="C15" s="39"/>
      <c r="D15" s="40" t="s">
        <v>182</v>
      </c>
      <c r="E15" s="41" t="s">
        <v>183</v>
      </c>
      <c r="F15" s="42" t="s">
        <v>184</v>
      </c>
      <c r="G15" s="43" t="s">
        <v>201</v>
      </c>
      <c r="H15" s="42" t="s">
        <v>202</v>
      </c>
      <c r="I15" s="44"/>
      <c r="J15" s="42" t="s">
        <v>211</v>
      </c>
      <c r="K15" s="45" t="s">
        <v>236</v>
      </c>
      <c r="L15" s="45"/>
      <c r="O15"/>
    </row>
    <row r="16" spans="1:15" ht="18" hidden="1" customHeight="1" outlineLevel="2" x14ac:dyDescent="0.25">
      <c r="A16" s="39"/>
      <c r="B16" s="39"/>
      <c r="C16" s="39"/>
      <c r="D16" s="40" t="s">
        <v>182</v>
      </c>
      <c r="E16" s="41" t="s">
        <v>183</v>
      </c>
      <c r="F16" s="42" t="s">
        <v>184</v>
      </c>
      <c r="G16" s="43" t="s">
        <v>203</v>
      </c>
      <c r="H16" s="42" t="s">
        <v>204</v>
      </c>
      <c r="I16" s="44"/>
      <c r="J16" s="42" t="s">
        <v>212</v>
      </c>
      <c r="K16" s="45" t="s">
        <v>237</v>
      </c>
      <c r="L16" s="45" t="s">
        <v>238</v>
      </c>
      <c r="O16"/>
    </row>
    <row r="17" spans="1:15" ht="18" hidden="1" customHeight="1" outlineLevel="2" x14ac:dyDescent="0.25">
      <c r="A17" s="39"/>
      <c r="B17" s="39"/>
      <c r="C17" s="39"/>
      <c r="D17" s="40" t="s">
        <v>182</v>
      </c>
      <c r="E17" s="41" t="s">
        <v>183</v>
      </c>
      <c r="F17" s="42" t="s">
        <v>185</v>
      </c>
      <c r="G17" s="43" t="s">
        <v>205</v>
      </c>
      <c r="H17" s="46" t="s">
        <v>202</v>
      </c>
      <c r="I17" s="44"/>
      <c r="J17" s="42" t="s">
        <v>213</v>
      </c>
      <c r="K17" s="45" t="s">
        <v>236</v>
      </c>
      <c r="L17" s="45"/>
      <c r="O17"/>
    </row>
    <row r="18" spans="1:15" ht="18" hidden="1" customHeight="1" outlineLevel="2" x14ac:dyDescent="0.25">
      <c r="A18" s="39"/>
      <c r="B18" s="39"/>
      <c r="C18" s="39"/>
      <c r="D18" s="40" t="s">
        <v>182</v>
      </c>
      <c r="E18" s="41" t="s">
        <v>183</v>
      </c>
      <c r="F18" s="42" t="s">
        <v>185</v>
      </c>
      <c r="G18" s="43" t="s">
        <v>206</v>
      </c>
      <c r="H18" s="42" t="s">
        <v>204</v>
      </c>
      <c r="I18" s="44"/>
      <c r="J18" s="42" t="s">
        <v>212</v>
      </c>
      <c r="K18" s="45" t="s">
        <v>237</v>
      </c>
      <c r="L18" s="45" t="s">
        <v>238</v>
      </c>
      <c r="O18"/>
    </row>
    <row r="19" spans="1:15" ht="18" hidden="1" customHeight="1" outlineLevel="2" x14ac:dyDescent="0.25">
      <c r="A19" s="39"/>
      <c r="B19" s="39"/>
      <c r="C19" s="39"/>
      <c r="D19" s="40" t="s">
        <v>182</v>
      </c>
      <c r="E19" s="47" t="s">
        <v>186</v>
      </c>
      <c r="F19" s="42" t="s">
        <v>187</v>
      </c>
      <c r="G19" s="48" t="s">
        <v>207</v>
      </c>
      <c r="H19" s="42" t="s">
        <v>204</v>
      </c>
      <c r="I19" s="44" t="s">
        <v>191</v>
      </c>
      <c r="J19" s="42" t="s">
        <v>214</v>
      </c>
      <c r="K19" s="45" t="s">
        <v>239</v>
      </c>
      <c r="L19" s="45" t="s">
        <v>240</v>
      </c>
      <c r="O19"/>
    </row>
    <row r="20" spans="1:15" ht="18" hidden="1" customHeight="1" outlineLevel="2" x14ac:dyDescent="0.25">
      <c r="A20" s="39"/>
      <c r="B20" s="39"/>
      <c r="C20" s="39"/>
      <c r="D20" s="40" t="s">
        <v>182</v>
      </c>
      <c r="E20" s="47" t="s">
        <v>186</v>
      </c>
      <c r="F20" s="42" t="s">
        <v>188</v>
      </c>
      <c r="G20" s="48" t="s">
        <v>208</v>
      </c>
      <c r="H20" s="42" t="s">
        <v>204</v>
      </c>
      <c r="I20" s="44"/>
      <c r="J20" s="42" t="s">
        <v>213</v>
      </c>
      <c r="K20" s="45" t="s">
        <v>239</v>
      </c>
      <c r="L20" s="45" t="s">
        <v>240</v>
      </c>
      <c r="O20"/>
    </row>
    <row r="21" spans="1:15" ht="18" hidden="1" customHeight="1" outlineLevel="2" x14ac:dyDescent="0.25">
      <c r="A21" s="39"/>
      <c r="B21" s="39"/>
      <c r="C21" s="39"/>
      <c r="D21" s="40" t="s">
        <v>182</v>
      </c>
      <c r="E21" s="47" t="s">
        <v>189</v>
      </c>
      <c r="F21" s="42" t="s">
        <v>190</v>
      </c>
      <c r="G21" s="48" t="s">
        <v>209</v>
      </c>
      <c r="H21" s="42" t="s">
        <v>210</v>
      </c>
      <c r="I21" s="44"/>
      <c r="J21" s="42" t="s">
        <v>213</v>
      </c>
      <c r="K21" s="45" t="s">
        <v>237</v>
      </c>
      <c r="L21" s="45" t="s">
        <v>238</v>
      </c>
      <c r="O21"/>
    </row>
    <row r="22" spans="1:15" ht="18" hidden="1" customHeight="1" outlineLevel="2" x14ac:dyDescent="0.25">
      <c r="A22" s="39"/>
      <c r="B22" s="39"/>
      <c r="C22" s="39"/>
      <c r="D22" s="40" t="s">
        <v>182</v>
      </c>
      <c r="E22" s="47" t="s">
        <v>215</v>
      </c>
      <c r="F22" s="42" t="s">
        <v>216</v>
      </c>
      <c r="G22" s="48" t="s">
        <v>217</v>
      </c>
      <c r="H22" s="42" t="s">
        <v>204</v>
      </c>
      <c r="I22" s="49" t="s">
        <v>220</v>
      </c>
      <c r="J22" s="42" t="s">
        <v>222</v>
      </c>
      <c r="K22" s="45" t="s">
        <v>240</v>
      </c>
      <c r="L22" s="45" t="s">
        <v>241</v>
      </c>
      <c r="O22"/>
    </row>
    <row r="23" spans="1:15" ht="18" hidden="1" customHeight="1" outlineLevel="2" x14ac:dyDescent="0.25">
      <c r="A23" s="39"/>
      <c r="B23" s="39"/>
      <c r="C23" s="39"/>
      <c r="D23" s="40" t="s">
        <v>223</v>
      </c>
      <c r="E23" s="47" t="s">
        <v>189</v>
      </c>
      <c r="F23" s="42" t="s">
        <v>218</v>
      </c>
      <c r="G23" s="48" t="s">
        <v>219</v>
      </c>
      <c r="H23" s="42" t="s">
        <v>204</v>
      </c>
      <c r="I23" s="49" t="s">
        <v>221</v>
      </c>
      <c r="J23" s="42" t="s">
        <v>214</v>
      </c>
      <c r="K23" s="45" t="s">
        <v>242</v>
      </c>
      <c r="L23" s="45" t="s">
        <v>239</v>
      </c>
      <c r="O23"/>
    </row>
    <row r="24" spans="1:15" ht="18" hidden="1" customHeight="1" outlineLevel="2" x14ac:dyDescent="0.25">
      <c r="A24" s="39"/>
      <c r="B24" s="39"/>
      <c r="C24" s="39"/>
      <c r="D24" s="40" t="s">
        <v>223</v>
      </c>
      <c r="E24" s="50" t="s">
        <v>279</v>
      </c>
      <c r="F24" s="24" t="s">
        <v>280</v>
      </c>
      <c r="G24" s="48" t="s">
        <v>281</v>
      </c>
      <c r="H24" s="42" t="s">
        <v>204</v>
      </c>
      <c r="I24" s="49"/>
      <c r="J24" s="42"/>
      <c r="K24" s="45"/>
      <c r="L24" s="45"/>
      <c r="O24"/>
    </row>
    <row r="25" spans="1:15" ht="18" hidden="1" customHeight="1" outlineLevel="2" x14ac:dyDescent="0.25">
      <c r="A25" s="39"/>
      <c r="B25" s="39"/>
      <c r="C25" s="39"/>
      <c r="D25" s="40" t="s">
        <v>223</v>
      </c>
      <c r="E25" s="50" t="s">
        <v>279</v>
      </c>
      <c r="F25" s="24" t="s">
        <v>282</v>
      </c>
      <c r="G25" s="48" t="s">
        <v>283</v>
      </c>
      <c r="H25" s="42" t="s">
        <v>204</v>
      </c>
      <c r="I25" s="49"/>
      <c r="J25" s="42"/>
      <c r="K25" s="45"/>
      <c r="L25" s="45"/>
      <c r="O25"/>
    </row>
    <row r="26" spans="1:15" ht="18" hidden="1" customHeight="1" outlineLevel="2" x14ac:dyDescent="0.25">
      <c r="A26" s="39"/>
      <c r="B26" s="39"/>
      <c r="C26" s="39"/>
      <c r="D26" s="40" t="s">
        <v>223</v>
      </c>
      <c r="E26" s="51" t="s">
        <v>279</v>
      </c>
      <c r="F26" s="26" t="s">
        <v>284</v>
      </c>
      <c r="G26" s="48" t="s">
        <v>285</v>
      </c>
      <c r="H26" s="42" t="s">
        <v>204</v>
      </c>
      <c r="I26" s="49"/>
      <c r="J26" s="42" t="s">
        <v>211</v>
      </c>
      <c r="K26" s="45" t="s">
        <v>239</v>
      </c>
      <c r="L26" s="45" t="s">
        <v>294</v>
      </c>
      <c r="O26"/>
    </row>
    <row r="27" spans="1:15" ht="18" hidden="1" customHeight="1" outlineLevel="2" x14ac:dyDescent="0.25">
      <c r="A27" s="39"/>
      <c r="B27" s="39"/>
      <c r="C27" s="39"/>
      <c r="D27" s="40" t="s">
        <v>223</v>
      </c>
      <c r="E27" s="50" t="s">
        <v>279</v>
      </c>
      <c r="F27" s="26" t="s">
        <v>286</v>
      </c>
      <c r="G27" s="48" t="s">
        <v>287</v>
      </c>
      <c r="H27" s="42" t="s">
        <v>204</v>
      </c>
      <c r="I27" s="49"/>
      <c r="J27" s="42" t="s">
        <v>211</v>
      </c>
      <c r="K27" s="45"/>
      <c r="L27" s="45"/>
      <c r="O27"/>
    </row>
    <row r="28" spans="1:15" ht="18" hidden="1" customHeight="1" outlineLevel="2" x14ac:dyDescent="0.25">
      <c r="A28" s="39"/>
      <c r="B28" s="39"/>
      <c r="C28" s="39"/>
      <c r="D28" s="40" t="s">
        <v>182</v>
      </c>
      <c r="E28" s="51" t="s">
        <v>279</v>
      </c>
      <c r="F28" s="26" t="s">
        <v>288</v>
      </c>
      <c r="G28" s="48" t="s">
        <v>289</v>
      </c>
      <c r="H28" s="42" t="s">
        <v>204</v>
      </c>
      <c r="I28" s="49"/>
      <c r="J28" s="42" t="s">
        <v>211</v>
      </c>
      <c r="K28" s="45" t="s">
        <v>294</v>
      </c>
      <c r="L28" s="45" t="s">
        <v>237</v>
      </c>
      <c r="O28"/>
    </row>
    <row r="29" spans="1:15" ht="18" hidden="1" customHeight="1" outlineLevel="2" x14ac:dyDescent="0.25">
      <c r="A29" s="39"/>
      <c r="B29" s="39"/>
      <c r="C29" s="39"/>
      <c r="D29" s="40" t="s">
        <v>223</v>
      </c>
      <c r="E29" s="50" t="s">
        <v>279</v>
      </c>
      <c r="F29" s="27" t="s">
        <v>290</v>
      </c>
      <c r="G29" s="48" t="s">
        <v>291</v>
      </c>
      <c r="H29" s="42" t="s">
        <v>254</v>
      </c>
      <c r="I29" s="49"/>
      <c r="J29" s="42" t="s">
        <v>211</v>
      </c>
      <c r="K29" s="45"/>
      <c r="L29" s="45"/>
      <c r="O29"/>
    </row>
    <row r="30" spans="1:15" ht="18" hidden="1" customHeight="1" outlineLevel="2" x14ac:dyDescent="0.25">
      <c r="A30" s="39"/>
      <c r="B30" s="39"/>
      <c r="C30" s="39"/>
      <c r="D30" s="40" t="s">
        <v>223</v>
      </c>
      <c r="E30" s="50" t="s">
        <v>279</v>
      </c>
      <c r="F30" s="27" t="s">
        <v>292</v>
      </c>
      <c r="G30" s="48" t="s">
        <v>293</v>
      </c>
      <c r="H30" s="42" t="s">
        <v>254</v>
      </c>
      <c r="I30" s="49"/>
      <c r="J30" s="42" t="s">
        <v>211</v>
      </c>
      <c r="K30" s="45"/>
      <c r="L30" s="45"/>
      <c r="O30"/>
    </row>
    <row r="31" spans="1:15" ht="18" hidden="1" customHeight="1" outlineLevel="2" x14ac:dyDescent="0.25">
      <c r="A31" s="39"/>
      <c r="B31" s="39"/>
      <c r="C31" s="39"/>
      <c r="D31" s="40"/>
      <c r="E31" s="45"/>
      <c r="F31" s="42"/>
      <c r="G31" s="48"/>
      <c r="H31" s="42"/>
      <c r="I31" s="49"/>
      <c r="J31" s="42"/>
      <c r="K31" s="45"/>
      <c r="L31" s="45"/>
      <c r="O31"/>
    </row>
    <row r="32" spans="1:15" ht="18" hidden="1" customHeight="1" outlineLevel="1" collapsed="1" x14ac:dyDescent="0.2">
      <c r="A32" s="119" t="s">
        <v>26</v>
      </c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60"/>
    </row>
    <row r="33" spans="1:15" ht="18" hidden="1" customHeight="1" outlineLevel="2" x14ac:dyDescent="0.25">
      <c r="A33" s="39"/>
      <c r="B33" s="39"/>
      <c r="C33" s="39"/>
      <c r="D33" s="40" t="s">
        <v>223</v>
      </c>
      <c r="E33" s="45" t="s">
        <v>224</v>
      </c>
      <c r="F33" s="42" t="s">
        <v>225</v>
      </c>
      <c r="G33" s="52" t="s">
        <v>226</v>
      </c>
      <c r="H33" s="42" t="s">
        <v>204</v>
      </c>
      <c r="I33" s="49" t="s">
        <v>231</v>
      </c>
      <c r="J33" s="42" t="s">
        <v>213</v>
      </c>
      <c r="K33" s="53"/>
      <c r="L33" s="53"/>
    </row>
    <row r="34" spans="1:15" ht="18" hidden="1" customHeight="1" outlineLevel="2" x14ac:dyDescent="0.2">
      <c r="A34" s="39"/>
      <c r="B34" s="39"/>
      <c r="C34" s="39"/>
      <c r="D34" s="40" t="s">
        <v>182</v>
      </c>
      <c r="E34" s="47" t="s">
        <v>224</v>
      </c>
      <c r="F34" s="42" t="s">
        <v>227</v>
      </c>
      <c r="G34" s="52" t="s">
        <v>228</v>
      </c>
      <c r="H34" s="42" t="s">
        <v>204</v>
      </c>
      <c r="I34" s="49" t="s">
        <v>232</v>
      </c>
      <c r="J34" s="42" t="s">
        <v>211</v>
      </c>
      <c r="K34" s="45" t="s">
        <v>237</v>
      </c>
      <c r="L34" s="45" t="s">
        <v>238</v>
      </c>
    </row>
    <row r="35" spans="1:15" ht="18" hidden="1" customHeight="1" outlineLevel="2" x14ac:dyDescent="0.25">
      <c r="A35" s="39"/>
      <c r="B35" s="39"/>
      <c r="C35" s="39"/>
      <c r="D35" s="40" t="s">
        <v>223</v>
      </c>
      <c r="E35" s="45" t="s">
        <v>224</v>
      </c>
      <c r="F35" s="42" t="s">
        <v>229</v>
      </c>
      <c r="G35" s="52" t="s">
        <v>230</v>
      </c>
      <c r="H35" s="42" t="s">
        <v>204</v>
      </c>
      <c r="I35" s="49" t="s">
        <v>233</v>
      </c>
      <c r="J35" s="42" t="s">
        <v>211</v>
      </c>
      <c r="K35" s="53"/>
      <c r="L35" s="53"/>
    </row>
    <row r="36" spans="1:15" ht="18" hidden="1" customHeight="1" outlineLevel="2" x14ac:dyDescent="0.25">
      <c r="A36" s="39"/>
      <c r="B36" s="39"/>
      <c r="C36" s="39"/>
      <c r="D36" s="40" t="s">
        <v>351</v>
      </c>
      <c r="E36" s="51" t="s">
        <v>319</v>
      </c>
      <c r="F36" s="24" t="s">
        <v>252</v>
      </c>
      <c r="G36" s="48" t="s">
        <v>320</v>
      </c>
      <c r="H36" s="42" t="s">
        <v>204</v>
      </c>
      <c r="I36" s="54" t="s">
        <v>343</v>
      </c>
      <c r="J36" s="45">
        <v>100</v>
      </c>
      <c r="K36" s="45" t="s">
        <v>240</v>
      </c>
      <c r="L36" s="45" t="s">
        <v>241</v>
      </c>
      <c r="O36"/>
    </row>
    <row r="37" spans="1:15" ht="18" hidden="1" customHeight="1" outlineLevel="2" x14ac:dyDescent="0.25">
      <c r="A37" s="39"/>
      <c r="B37" s="39"/>
      <c r="C37" s="39"/>
      <c r="D37" s="40" t="s">
        <v>351</v>
      </c>
      <c r="E37" s="51" t="s">
        <v>319</v>
      </c>
      <c r="F37" s="26" t="s">
        <v>256</v>
      </c>
      <c r="G37" s="48" t="s">
        <v>321</v>
      </c>
      <c r="H37" s="42" t="s">
        <v>204</v>
      </c>
      <c r="I37" s="54" t="s">
        <v>344</v>
      </c>
      <c r="J37" s="45">
        <v>100</v>
      </c>
      <c r="K37" s="45" t="s">
        <v>240</v>
      </c>
      <c r="L37" s="45" t="s">
        <v>241</v>
      </c>
      <c r="O37"/>
    </row>
    <row r="38" spans="1:15" ht="18" hidden="1" customHeight="1" outlineLevel="2" x14ac:dyDescent="0.25">
      <c r="A38" s="39"/>
      <c r="B38" s="39"/>
      <c r="C38" s="39"/>
      <c r="D38" s="40" t="s">
        <v>351</v>
      </c>
      <c r="E38" s="51" t="s">
        <v>319</v>
      </c>
      <c r="F38" s="27" t="s">
        <v>322</v>
      </c>
      <c r="G38" s="48" t="s">
        <v>323</v>
      </c>
      <c r="H38" s="42" t="s">
        <v>204</v>
      </c>
      <c r="I38" s="54" t="s">
        <v>345</v>
      </c>
      <c r="J38" s="45">
        <v>50</v>
      </c>
      <c r="K38" s="45" t="s">
        <v>240</v>
      </c>
      <c r="L38" s="45" t="s">
        <v>241</v>
      </c>
      <c r="O38"/>
    </row>
    <row r="39" spans="1:15" ht="18" hidden="1" customHeight="1" outlineLevel="2" x14ac:dyDescent="0.25">
      <c r="A39" s="39"/>
      <c r="B39" s="39"/>
      <c r="C39" s="39"/>
      <c r="D39" s="40" t="s">
        <v>351</v>
      </c>
      <c r="E39" s="51" t="s">
        <v>324</v>
      </c>
      <c r="F39" s="42" t="s">
        <v>325</v>
      </c>
      <c r="G39" s="48" t="s">
        <v>326</v>
      </c>
      <c r="H39" s="42" t="s">
        <v>202</v>
      </c>
      <c r="I39" s="54" t="s">
        <v>346</v>
      </c>
      <c r="J39" s="45">
        <v>50</v>
      </c>
      <c r="K39" s="45" t="s">
        <v>236</v>
      </c>
      <c r="L39" s="45" t="s">
        <v>278</v>
      </c>
      <c r="O39"/>
    </row>
    <row r="40" spans="1:15" ht="18" hidden="1" customHeight="1" outlineLevel="2" x14ac:dyDescent="0.25">
      <c r="A40" s="39"/>
      <c r="B40" s="39"/>
      <c r="C40" s="39"/>
      <c r="D40" s="40" t="s">
        <v>351</v>
      </c>
      <c r="E40" s="51" t="s">
        <v>327</v>
      </c>
      <c r="F40" s="42" t="s">
        <v>328</v>
      </c>
      <c r="G40" s="48" t="s">
        <v>329</v>
      </c>
      <c r="H40" s="42" t="s">
        <v>330</v>
      </c>
      <c r="I40" s="54" t="s">
        <v>347</v>
      </c>
      <c r="J40" s="45">
        <v>100</v>
      </c>
      <c r="K40" s="45" t="s">
        <v>236</v>
      </c>
      <c r="L40" s="45" t="s">
        <v>278</v>
      </c>
      <c r="O40"/>
    </row>
    <row r="41" spans="1:15" ht="18" hidden="1" customHeight="1" outlineLevel="2" x14ac:dyDescent="0.25">
      <c r="A41" s="39"/>
      <c r="B41" s="39"/>
      <c r="C41" s="39"/>
      <c r="D41" s="40" t="s">
        <v>223</v>
      </c>
      <c r="E41" s="50" t="s">
        <v>324</v>
      </c>
      <c r="F41" s="42" t="s">
        <v>328</v>
      </c>
      <c r="G41" s="48" t="s">
        <v>331</v>
      </c>
      <c r="H41" s="42" t="s">
        <v>330</v>
      </c>
      <c r="I41" s="54"/>
      <c r="J41" s="45">
        <v>200</v>
      </c>
      <c r="K41" s="45"/>
      <c r="L41" s="45"/>
      <c r="O41"/>
    </row>
    <row r="42" spans="1:15" ht="18" hidden="1" customHeight="1" outlineLevel="2" x14ac:dyDescent="0.25">
      <c r="A42" s="39"/>
      <c r="B42" s="39"/>
      <c r="C42" s="39"/>
      <c r="D42" s="40" t="s">
        <v>223</v>
      </c>
      <c r="E42" s="50" t="s">
        <v>324</v>
      </c>
      <c r="F42" s="42" t="s">
        <v>328</v>
      </c>
      <c r="G42" s="48" t="s">
        <v>332</v>
      </c>
      <c r="H42" s="42" t="s">
        <v>202</v>
      </c>
      <c r="I42" s="54" t="s">
        <v>346</v>
      </c>
      <c r="J42" s="45">
        <v>100</v>
      </c>
      <c r="K42" s="45"/>
      <c r="L42" s="45"/>
      <c r="O42"/>
    </row>
    <row r="43" spans="1:15" ht="18" hidden="1" customHeight="1" outlineLevel="2" x14ac:dyDescent="0.25">
      <c r="A43" s="39"/>
      <c r="B43" s="39"/>
      <c r="C43" s="39"/>
      <c r="D43" s="40" t="s">
        <v>223</v>
      </c>
      <c r="E43" s="50" t="s">
        <v>333</v>
      </c>
      <c r="F43" s="24" t="s">
        <v>53</v>
      </c>
      <c r="G43" s="48" t="s">
        <v>334</v>
      </c>
      <c r="H43" s="42" t="s">
        <v>204</v>
      </c>
      <c r="I43" s="55"/>
      <c r="J43" s="42" t="s">
        <v>211</v>
      </c>
      <c r="K43" s="45"/>
      <c r="L43" s="45"/>
      <c r="O43"/>
    </row>
    <row r="44" spans="1:15" ht="18" hidden="1" customHeight="1" outlineLevel="2" x14ac:dyDescent="0.25">
      <c r="A44" s="39"/>
      <c r="B44" s="39"/>
      <c r="C44" s="39"/>
      <c r="D44" s="40" t="s">
        <v>351</v>
      </c>
      <c r="E44" s="51" t="s">
        <v>333</v>
      </c>
      <c r="F44" s="26" t="s">
        <v>54</v>
      </c>
      <c r="G44" s="48" t="s">
        <v>335</v>
      </c>
      <c r="H44" s="42" t="s">
        <v>204</v>
      </c>
      <c r="I44" s="55"/>
      <c r="J44" s="42" t="s">
        <v>211</v>
      </c>
      <c r="K44" s="45" t="s">
        <v>237</v>
      </c>
      <c r="L44" s="45" t="s">
        <v>238</v>
      </c>
      <c r="O44"/>
    </row>
    <row r="45" spans="1:15" ht="18" hidden="1" customHeight="1" outlineLevel="2" x14ac:dyDescent="0.25">
      <c r="A45" s="39"/>
      <c r="B45" s="39"/>
      <c r="C45" s="39"/>
      <c r="D45" s="40" t="s">
        <v>223</v>
      </c>
      <c r="E45" s="50" t="s">
        <v>333</v>
      </c>
      <c r="F45" s="27" t="s">
        <v>55</v>
      </c>
      <c r="G45" s="48" t="s">
        <v>336</v>
      </c>
      <c r="H45" s="42" t="s">
        <v>204</v>
      </c>
      <c r="I45" s="55"/>
      <c r="J45" s="42" t="s">
        <v>350</v>
      </c>
      <c r="K45" s="45"/>
      <c r="L45" s="45"/>
      <c r="O45"/>
    </row>
    <row r="46" spans="1:15" ht="18" hidden="1" customHeight="1" outlineLevel="2" x14ac:dyDescent="0.2">
      <c r="A46" s="39"/>
      <c r="B46" s="39"/>
      <c r="C46" s="39"/>
      <c r="D46" s="40" t="s">
        <v>223</v>
      </c>
      <c r="E46" s="50" t="s">
        <v>337</v>
      </c>
      <c r="F46" s="24" t="s">
        <v>53</v>
      </c>
      <c r="G46" s="48" t="s">
        <v>338</v>
      </c>
      <c r="H46" s="42" t="s">
        <v>204</v>
      </c>
      <c r="I46" s="55"/>
      <c r="J46" s="42" t="s">
        <v>350</v>
      </c>
      <c r="K46" s="45"/>
      <c r="L46" s="45"/>
    </row>
    <row r="47" spans="1:15" ht="18" hidden="1" customHeight="1" outlineLevel="2" x14ac:dyDescent="0.2">
      <c r="A47" s="39"/>
      <c r="B47" s="39"/>
      <c r="C47" s="39"/>
      <c r="D47" s="40" t="s">
        <v>351</v>
      </c>
      <c r="E47" s="51" t="s">
        <v>337</v>
      </c>
      <c r="F47" s="26" t="s">
        <v>54</v>
      </c>
      <c r="G47" s="48" t="s">
        <v>339</v>
      </c>
      <c r="H47" s="42" t="s">
        <v>204</v>
      </c>
      <c r="I47" s="55"/>
      <c r="J47" s="42" t="s">
        <v>350</v>
      </c>
      <c r="K47" s="45" t="s">
        <v>240</v>
      </c>
      <c r="L47" s="45" t="s">
        <v>241</v>
      </c>
    </row>
    <row r="48" spans="1:15" ht="18" hidden="1" customHeight="1" outlineLevel="2" x14ac:dyDescent="0.2">
      <c r="A48" s="39"/>
      <c r="B48" s="39"/>
      <c r="C48" s="39"/>
      <c r="D48" s="40" t="s">
        <v>353</v>
      </c>
      <c r="E48" s="51" t="s">
        <v>340</v>
      </c>
      <c r="F48" s="26" t="s">
        <v>54</v>
      </c>
      <c r="G48" s="48" t="s">
        <v>341</v>
      </c>
      <c r="H48" s="42" t="s">
        <v>204</v>
      </c>
      <c r="I48" s="55" t="s">
        <v>348</v>
      </c>
      <c r="J48" s="42" t="s">
        <v>350</v>
      </c>
      <c r="K48" s="45" t="s">
        <v>239</v>
      </c>
      <c r="L48" s="45" t="s">
        <v>294</v>
      </c>
    </row>
    <row r="49" spans="1:12" ht="18" hidden="1" customHeight="1" outlineLevel="2" x14ac:dyDescent="0.25">
      <c r="A49" s="39"/>
      <c r="B49" s="39"/>
      <c r="C49" s="39"/>
      <c r="D49" s="40" t="s">
        <v>354</v>
      </c>
      <c r="E49" s="50" t="s">
        <v>340</v>
      </c>
      <c r="F49" s="27" t="s">
        <v>55</v>
      </c>
      <c r="G49" s="48" t="s">
        <v>342</v>
      </c>
      <c r="H49" s="42" t="s">
        <v>204</v>
      </c>
      <c r="I49" s="55" t="s">
        <v>349</v>
      </c>
      <c r="J49" s="42" t="s">
        <v>350</v>
      </c>
      <c r="K49" s="53"/>
      <c r="L49" s="53"/>
    </row>
    <row r="50" spans="1:12" ht="18" hidden="1" customHeight="1" outlineLevel="2" x14ac:dyDescent="0.25">
      <c r="A50" s="39"/>
      <c r="B50" s="39"/>
      <c r="C50" s="39"/>
      <c r="D50" s="40"/>
      <c r="E50" s="45"/>
      <c r="F50" s="42"/>
      <c r="G50" s="52"/>
      <c r="H50" s="42"/>
      <c r="I50" s="49"/>
      <c r="J50" s="42"/>
      <c r="K50" s="53"/>
      <c r="L50" s="53"/>
    </row>
    <row r="51" spans="1:12" ht="18" hidden="1" customHeight="1" outlineLevel="1" collapsed="1" x14ac:dyDescent="0.2">
      <c r="A51" s="119" t="s">
        <v>3745</v>
      </c>
      <c r="B51" s="120"/>
      <c r="C51" s="120"/>
      <c r="D51" s="120"/>
      <c r="E51" s="120"/>
      <c r="F51" s="120"/>
      <c r="G51" s="120"/>
      <c r="H51" s="120"/>
      <c r="I51" s="120"/>
      <c r="J51" s="120"/>
      <c r="K51" s="120"/>
      <c r="L51" s="160"/>
    </row>
    <row r="52" spans="1:12" ht="18" hidden="1" customHeight="1" outlineLevel="2" x14ac:dyDescent="0.25">
      <c r="A52" s="39"/>
      <c r="B52" s="39"/>
      <c r="C52" s="39"/>
      <c r="D52" s="40" t="s">
        <v>223</v>
      </c>
      <c r="E52" s="45" t="s">
        <v>243</v>
      </c>
      <c r="F52" s="40" t="s">
        <v>244</v>
      </c>
      <c r="G52" s="48" t="s">
        <v>245</v>
      </c>
      <c r="H52" s="42" t="s">
        <v>204</v>
      </c>
      <c r="I52" s="44"/>
      <c r="J52" s="42" t="s">
        <v>211</v>
      </c>
      <c r="K52" s="53"/>
      <c r="L52" s="53"/>
    </row>
    <row r="53" spans="1:12" ht="18" hidden="1" customHeight="1" outlineLevel="2" x14ac:dyDescent="0.25">
      <c r="A53" s="39"/>
      <c r="B53" s="39"/>
      <c r="C53" s="39"/>
      <c r="D53" s="40" t="s">
        <v>223</v>
      </c>
      <c r="E53" s="45" t="s">
        <v>243</v>
      </c>
      <c r="F53" s="40" t="s">
        <v>246</v>
      </c>
      <c r="G53" s="48" t="s">
        <v>247</v>
      </c>
      <c r="H53" s="42" t="s">
        <v>204</v>
      </c>
      <c r="I53" s="44"/>
      <c r="J53" s="42" t="s">
        <v>213</v>
      </c>
      <c r="K53" s="53"/>
      <c r="L53" s="53"/>
    </row>
    <row r="54" spans="1:12" ht="18" hidden="1" customHeight="1" outlineLevel="2" x14ac:dyDescent="0.25">
      <c r="A54" s="39"/>
      <c r="B54" s="39"/>
      <c r="C54" s="39"/>
      <c r="D54" s="40" t="s">
        <v>223</v>
      </c>
      <c r="E54" s="51" t="s">
        <v>250</v>
      </c>
      <c r="F54" s="26" t="s">
        <v>256</v>
      </c>
      <c r="G54" s="48" t="s">
        <v>260</v>
      </c>
      <c r="H54" s="42" t="s">
        <v>204</v>
      </c>
      <c r="I54" s="44"/>
      <c r="J54" s="53"/>
      <c r="K54" s="45" t="s">
        <v>294</v>
      </c>
      <c r="L54" s="45" t="s">
        <v>237</v>
      </c>
    </row>
    <row r="55" spans="1:12" ht="18" hidden="1" customHeight="1" outlineLevel="2" x14ac:dyDescent="0.25">
      <c r="A55" s="39"/>
      <c r="B55" s="39"/>
      <c r="C55" s="39"/>
      <c r="D55" s="40" t="s">
        <v>223</v>
      </c>
      <c r="E55" s="51" t="s">
        <v>251</v>
      </c>
      <c r="F55" s="26" t="s">
        <v>256</v>
      </c>
      <c r="G55" s="48" t="s">
        <v>261</v>
      </c>
      <c r="H55" s="42" t="s">
        <v>204</v>
      </c>
      <c r="I55" s="44"/>
      <c r="J55" s="53"/>
      <c r="K55" s="45" t="s">
        <v>294</v>
      </c>
      <c r="L55" s="45" t="s">
        <v>237</v>
      </c>
    </row>
    <row r="56" spans="1:12" ht="18" hidden="1" customHeight="1" outlineLevel="2" x14ac:dyDescent="0.25">
      <c r="A56" s="39"/>
      <c r="B56" s="39"/>
      <c r="C56" s="39"/>
      <c r="D56" s="40"/>
      <c r="E56" s="45"/>
      <c r="F56" s="40"/>
      <c r="G56" s="48"/>
      <c r="H56" s="42"/>
      <c r="I56" s="44"/>
      <c r="J56" s="42"/>
      <c r="K56" s="53"/>
      <c r="L56" s="53"/>
    </row>
    <row r="57" spans="1:12" ht="18" hidden="1" customHeight="1" outlineLevel="1" collapsed="1" x14ac:dyDescent="0.2">
      <c r="A57" s="119" t="s">
        <v>28</v>
      </c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60"/>
    </row>
    <row r="58" spans="1:12" ht="18" hidden="1" customHeight="1" outlineLevel="2" x14ac:dyDescent="0.25">
      <c r="A58" s="39"/>
      <c r="B58" s="39"/>
      <c r="C58" s="39"/>
      <c r="D58" s="40" t="s">
        <v>268</v>
      </c>
      <c r="E58" s="45" t="s">
        <v>248</v>
      </c>
      <c r="F58" s="24" t="s">
        <v>263</v>
      </c>
      <c r="G58" s="48" t="s">
        <v>253</v>
      </c>
      <c r="H58" s="42" t="s">
        <v>254</v>
      </c>
      <c r="I58" s="44"/>
      <c r="J58" s="42" t="s">
        <v>266</v>
      </c>
      <c r="K58" s="53"/>
      <c r="L58" s="53"/>
    </row>
    <row r="59" spans="1:12" ht="18" hidden="1" customHeight="1" outlineLevel="2" x14ac:dyDescent="0.25">
      <c r="A59" s="39"/>
      <c r="B59" s="39"/>
      <c r="C59" s="39"/>
      <c r="D59" s="40" t="s">
        <v>269</v>
      </c>
      <c r="E59" s="45" t="s">
        <v>249</v>
      </c>
      <c r="F59" s="24" t="s">
        <v>262</v>
      </c>
      <c r="G59" s="48" t="s">
        <v>255</v>
      </c>
      <c r="H59" s="42" t="s">
        <v>254</v>
      </c>
      <c r="I59" s="44"/>
      <c r="J59" s="42" t="s">
        <v>211</v>
      </c>
      <c r="K59" s="53"/>
      <c r="L59" s="53"/>
    </row>
    <row r="60" spans="1:12" ht="18" hidden="1" customHeight="1" outlineLevel="2" x14ac:dyDescent="0.2">
      <c r="A60" s="39"/>
      <c r="B60" s="39"/>
      <c r="C60" s="39"/>
      <c r="D60" s="40" t="s">
        <v>270</v>
      </c>
      <c r="E60" s="47" t="s">
        <v>248</v>
      </c>
      <c r="F60" s="26" t="s">
        <v>264</v>
      </c>
      <c r="G60" s="48" t="s">
        <v>257</v>
      </c>
      <c r="H60" s="42" t="s">
        <v>254</v>
      </c>
      <c r="I60" s="44"/>
      <c r="J60" s="42" t="s">
        <v>267</v>
      </c>
      <c r="K60" s="45">
        <v>50</v>
      </c>
      <c r="L60" s="45">
        <v>70</v>
      </c>
    </row>
    <row r="61" spans="1:12" ht="18" hidden="1" customHeight="1" outlineLevel="2" x14ac:dyDescent="0.2">
      <c r="A61" s="39"/>
      <c r="B61" s="39"/>
      <c r="C61" s="39"/>
      <c r="D61" s="40" t="s">
        <v>271</v>
      </c>
      <c r="E61" s="47" t="s">
        <v>248</v>
      </c>
      <c r="F61" s="26" t="s">
        <v>265</v>
      </c>
      <c r="G61" s="48" t="s">
        <v>258</v>
      </c>
      <c r="H61" s="42" t="s">
        <v>254</v>
      </c>
      <c r="I61" s="44"/>
      <c r="J61" s="42" t="s">
        <v>267</v>
      </c>
      <c r="K61" s="45">
        <v>250</v>
      </c>
      <c r="L61" s="45">
        <v>300</v>
      </c>
    </row>
    <row r="62" spans="1:12" ht="18" hidden="1" customHeight="1" outlineLevel="2" x14ac:dyDescent="0.2">
      <c r="A62" s="39"/>
      <c r="B62" s="39"/>
      <c r="C62" s="39"/>
      <c r="D62" s="40" t="s">
        <v>272</v>
      </c>
      <c r="E62" s="47" t="s">
        <v>249</v>
      </c>
      <c r="F62" s="26" t="s">
        <v>256</v>
      </c>
      <c r="G62" s="48" t="s">
        <v>259</v>
      </c>
      <c r="H62" s="42" t="s">
        <v>254</v>
      </c>
      <c r="I62" s="44"/>
      <c r="J62" s="42" t="s">
        <v>211</v>
      </c>
      <c r="K62" s="45" t="s">
        <v>240</v>
      </c>
      <c r="L62" s="45" t="s">
        <v>241</v>
      </c>
    </row>
    <row r="63" spans="1:12" ht="18" hidden="1" customHeight="1" outlineLevel="2" x14ac:dyDescent="0.25">
      <c r="A63" s="39"/>
      <c r="B63" s="39"/>
      <c r="C63" s="39"/>
      <c r="D63" s="40"/>
      <c r="E63" s="40"/>
      <c r="F63" s="40"/>
      <c r="G63" s="56"/>
      <c r="H63" s="40"/>
      <c r="I63" s="44"/>
      <c r="J63" s="53"/>
      <c r="K63" s="53"/>
      <c r="L63" s="53"/>
    </row>
    <row r="64" spans="1:12" ht="18" hidden="1" customHeight="1" outlineLevel="1" collapsed="1" x14ac:dyDescent="0.2">
      <c r="A64" s="119" t="s">
        <v>273</v>
      </c>
      <c r="B64" s="120"/>
      <c r="C64" s="120"/>
      <c r="D64" s="120"/>
      <c r="E64" s="120"/>
      <c r="F64" s="120"/>
      <c r="G64" s="120"/>
      <c r="H64" s="120"/>
      <c r="I64" s="120"/>
      <c r="J64" s="120"/>
      <c r="K64" s="120"/>
      <c r="L64" s="160"/>
    </row>
    <row r="65" spans="1:12" ht="18" hidden="1" customHeight="1" outlineLevel="2" x14ac:dyDescent="0.25">
      <c r="A65" s="39"/>
      <c r="B65" s="39"/>
      <c r="C65" s="39"/>
      <c r="D65" s="40" t="s">
        <v>223</v>
      </c>
      <c r="E65" s="50" t="s">
        <v>274</v>
      </c>
      <c r="F65" s="24" t="s">
        <v>53</v>
      </c>
      <c r="G65" s="48" t="s">
        <v>275</v>
      </c>
      <c r="H65" s="42" t="s">
        <v>204</v>
      </c>
      <c r="I65" s="44"/>
      <c r="J65" s="53">
        <v>200</v>
      </c>
      <c r="K65" s="53"/>
      <c r="L65" s="53"/>
    </row>
    <row r="66" spans="1:12" ht="18" hidden="1" customHeight="1" outlineLevel="2" x14ac:dyDescent="0.25">
      <c r="A66" s="39"/>
      <c r="B66" s="39"/>
      <c r="C66" s="39"/>
      <c r="D66" s="40" t="s">
        <v>182</v>
      </c>
      <c r="E66" s="51" t="s">
        <v>274</v>
      </c>
      <c r="F66" s="26" t="s">
        <v>54</v>
      </c>
      <c r="G66" s="48" t="s">
        <v>276</v>
      </c>
      <c r="H66" s="42" t="s">
        <v>204</v>
      </c>
      <c r="I66" s="44"/>
      <c r="J66" s="53">
        <v>200</v>
      </c>
      <c r="K66" s="53" t="s">
        <v>236</v>
      </c>
      <c r="L66" s="53" t="s">
        <v>278</v>
      </c>
    </row>
    <row r="67" spans="1:12" ht="18" hidden="1" customHeight="1" outlineLevel="2" x14ac:dyDescent="0.25">
      <c r="A67" s="39"/>
      <c r="B67" s="39"/>
      <c r="C67" s="39"/>
      <c r="D67" s="40" t="s">
        <v>223</v>
      </c>
      <c r="E67" s="50" t="s">
        <v>274</v>
      </c>
      <c r="F67" s="27" t="s">
        <v>55</v>
      </c>
      <c r="G67" s="48" t="s">
        <v>277</v>
      </c>
      <c r="H67" s="42" t="s">
        <v>204</v>
      </c>
      <c r="I67" s="44"/>
      <c r="J67" s="53">
        <v>200</v>
      </c>
      <c r="K67" s="53"/>
      <c r="L67" s="53"/>
    </row>
    <row r="68" spans="1:12" ht="18" hidden="1" customHeight="1" outlineLevel="2" x14ac:dyDescent="0.25">
      <c r="A68" s="39"/>
      <c r="B68" s="39"/>
      <c r="C68" s="39"/>
      <c r="D68" s="40"/>
      <c r="E68" s="40"/>
      <c r="F68" s="40"/>
      <c r="G68" s="56"/>
      <c r="H68" s="40"/>
      <c r="I68" s="44"/>
      <c r="J68" s="53"/>
      <c r="K68" s="53"/>
      <c r="L68" s="53"/>
    </row>
    <row r="69" spans="1:12" ht="18" hidden="1" customHeight="1" outlineLevel="1" collapsed="1" x14ac:dyDescent="0.2">
      <c r="A69" s="119" t="s">
        <v>295</v>
      </c>
      <c r="B69" s="120"/>
      <c r="C69" s="120"/>
      <c r="D69" s="120"/>
      <c r="E69" s="120"/>
      <c r="F69" s="120"/>
      <c r="G69" s="120"/>
      <c r="H69" s="120"/>
      <c r="I69" s="120"/>
      <c r="J69" s="120"/>
      <c r="K69" s="120"/>
      <c r="L69" s="160"/>
    </row>
    <row r="70" spans="1:12" ht="18" hidden="1" customHeight="1" outlineLevel="2" x14ac:dyDescent="0.25">
      <c r="A70" s="39"/>
      <c r="B70" s="39"/>
      <c r="C70" s="39"/>
      <c r="D70" s="40" t="s">
        <v>182</v>
      </c>
      <c r="E70" s="50" t="s">
        <v>0</v>
      </c>
      <c r="F70" s="24" t="s">
        <v>296</v>
      </c>
      <c r="G70" s="48" t="s">
        <v>297</v>
      </c>
      <c r="H70" s="42" t="s">
        <v>204</v>
      </c>
      <c r="I70" s="54" t="s">
        <v>309</v>
      </c>
      <c r="J70" s="42" t="s">
        <v>213</v>
      </c>
      <c r="K70" s="53"/>
      <c r="L70" s="53"/>
    </row>
    <row r="71" spans="1:12" ht="18" hidden="1" customHeight="1" outlineLevel="2" x14ac:dyDescent="0.25">
      <c r="A71" s="39"/>
      <c r="B71" s="39"/>
      <c r="C71" s="39"/>
      <c r="D71" s="40" t="s">
        <v>223</v>
      </c>
      <c r="E71" s="50" t="s">
        <v>0</v>
      </c>
      <c r="F71" s="24" t="s">
        <v>298</v>
      </c>
      <c r="G71" s="48" t="s">
        <v>299</v>
      </c>
      <c r="H71" s="42" t="s">
        <v>254</v>
      </c>
      <c r="I71" s="54" t="s">
        <v>310</v>
      </c>
      <c r="J71" s="42" t="s">
        <v>211</v>
      </c>
      <c r="K71" s="53"/>
      <c r="L71" s="53"/>
    </row>
    <row r="72" spans="1:12" ht="18" hidden="1" customHeight="1" outlineLevel="2" x14ac:dyDescent="0.2">
      <c r="A72" s="39"/>
      <c r="B72" s="39"/>
      <c r="C72" s="39"/>
      <c r="D72" s="40" t="s">
        <v>182</v>
      </c>
      <c r="E72" s="51" t="s">
        <v>0</v>
      </c>
      <c r="F72" s="26" t="s">
        <v>300</v>
      </c>
      <c r="G72" s="48" t="s">
        <v>301</v>
      </c>
      <c r="H72" s="42" t="s">
        <v>204</v>
      </c>
      <c r="I72" s="54" t="s">
        <v>309</v>
      </c>
      <c r="J72" s="42" t="s">
        <v>213</v>
      </c>
      <c r="K72" s="45" t="s">
        <v>236</v>
      </c>
      <c r="L72" s="45" t="s">
        <v>278</v>
      </c>
    </row>
    <row r="73" spans="1:12" ht="18" hidden="1" customHeight="1" outlineLevel="2" x14ac:dyDescent="0.2">
      <c r="A73" s="39"/>
      <c r="B73" s="39"/>
      <c r="C73" s="39"/>
      <c r="D73" s="40" t="s">
        <v>223</v>
      </c>
      <c r="E73" s="50" t="s">
        <v>0</v>
      </c>
      <c r="F73" s="26" t="s">
        <v>302</v>
      </c>
      <c r="G73" s="48" t="s">
        <v>303</v>
      </c>
      <c r="H73" s="42" t="s">
        <v>254</v>
      </c>
      <c r="I73" s="54" t="s">
        <v>309</v>
      </c>
      <c r="J73" s="42" t="s">
        <v>211</v>
      </c>
      <c r="K73" s="45"/>
      <c r="L73" s="45"/>
    </row>
    <row r="74" spans="1:12" ht="18" hidden="1" customHeight="1" outlineLevel="2" x14ac:dyDescent="0.25">
      <c r="A74" s="39"/>
      <c r="B74" s="39"/>
      <c r="C74" s="39"/>
      <c r="D74" s="40" t="s">
        <v>223</v>
      </c>
      <c r="E74" s="50" t="s">
        <v>0</v>
      </c>
      <c r="F74" s="27" t="s">
        <v>304</v>
      </c>
      <c r="G74" s="48" t="s">
        <v>305</v>
      </c>
      <c r="H74" s="42" t="s">
        <v>254</v>
      </c>
      <c r="I74" s="54" t="s">
        <v>310</v>
      </c>
      <c r="J74" s="42" t="s">
        <v>211</v>
      </c>
      <c r="K74" s="53"/>
      <c r="L74" s="53"/>
    </row>
    <row r="75" spans="1:12" ht="18" hidden="1" customHeight="1" outlineLevel="2" x14ac:dyDescent="0.25">
      <c r="A75" s="39"/>
      <c r="B75" s="39"/>
      <c r="C75" s="39"/>
      <c r="D75" s="40" t="s">
        <v>223</v>
      </c>
      <c r="E75" s="50" t="s">
        <v>0</v>
      </c>
      <c r="F75" s="27" t="s">
        <v>306</v>
      </c>
      <c r="G75" s="48" t="s">
        <v>307</v>
      </c>
      <c r="H75" s="42" t="s">
        <v>254</v>
      </c>
      <c r="I75" s="54" t="s">
        <v>309</v>
      </c>
      <c r="J75" s="42" t="s">
        <v>211</v>
      </c>
      <c r="K75" s="53"/>
      <c r="L75" s="53"/>
    </row>
    <row r="76" spans="1:12" ht="18" hidden="1" customHeight="1" outlineLevel="2" x14ac:dyDescent="0.25">
      <c r="A76" s="39"/>
      <c r="B76" s="39"/>
      <c r="C76" s="39"/>
      <c r="D76" s="40" t="s">
        <v>223</v>
      </c>
      <c r="E76" s="50" t="s">
        <v>0</v>
      </c>
      <c r="F76" s="27" t="s">
        <v>306</v>
      </c>
      <c r="G76" s="48" t="s">
        <v>308</v>
      </c>
      <c r="H76" s="42" t="s">
        <v>204</v>
      </c>
      <c r="I76" s="54" t="s">
        <v>309</v>
      </c>
      <c r="J76" s="42" t="s">
        <v>211</v>
      </c>
      <c r="K76" s="53"/>
      <c r="L76" s="53"/>
    </row>
    <row r="77" spans="1:12" ht="18" hidden="1" customHeight="1" outlineLevel="2" x14ac:dyDescent="0.25">
      <c r="A77" s="39"/>
      <c r="B77" s="39"/>
      <c r="C77" s="39"/>
      <c r="D77" s="40"/>
      <c r="E77" s="40"/>
      <c r="F77" s="40"/>
      <c r="G77" s="56"/>
      <c r="H77" s="40"/>
      <c r="I77" s="44"/>
      <c r="J77" s="53"/>
      <c r="K77" s="53"/>
      <c r="L77" s="53"/>
    </row>
    <row r="78" spans="1:12" ht="18" hidden="1" customHeight="1" outlineLevel="1" collapsed="1" x14ac:dyDescent="0.2">
      <c r="A78" s="119" t="s">
        <v>31</v>
      </c>
      <c r="B78" s="120"/>
      <c r="C78" s="120"/>
      <c r="D78" s="120"/>
      <c r="E78" s="120"/>
      <c r="F78" s="120"/>
      <c r="G78" s="120"/>
      <c r="H78" s="120"/>
      <c r="I78" s="120"/>
      <c r="J78" s="120"/>
      <c r="K78" s="120"/>
      <c r="L78" s="160"/>
    </row>
    <row r="79" spans="1:12" ht="18" hidden="1" customHeight="1" outlineLevel="2" x14ac:dyDescent="0.25">
      <c r="A79" s="39"/>
      <c r="B79" s="39"/>
      <c r="C79" s="39"/>
      <c r="D79" s="40" t="s">
        <v>223</v>
      </c>
      <c r="E79" s="51" t="s">
        <v>311</v>
      </c>
      <c r="F79" s="27" t="s">
        <v>312</v>
      </c>
      <c r="G79" s="48" t="s">
        <v>313</v>
      </c>
      <c r="H79" s="42" t="s">
        <v>254</v>
      </c>
      <c r="I79" s="54"/>
      <c r="J79" s="42" t="s">
        <v>213</v>
      </c>
      <c r="K79" s="53" t="s">
        <v>239</v>
      </c>
      <c r="L79" s="53" t="s">
        <v>294</v>
      </c>
    </row>
    <row r="80" spans="1:12" ht="18" hidden="1" customHeight="1" outlineLevel="2" x14ac:dyDescent="0.25">
      <c r="A80" s="39"/>
      <c r="B80" s="39"/>
      <c r="C80" s="39"/>
      <c r="D80" s="40" t="s">
        <v>223</v>
      </c>
      <c r="E80" s="51" t="s">
        <v>311</v>
      </c>
      <c r="F80" s="27" t="s">
        <v>314</v>
      </c>
      <c r="G80" s="48" t="s">
        <v>315</v>
      </c>
      <c r="H80" s="42" t="s">
        <v>254</v>
      </c>
      <c r="I80" s="54"/>
      <c r="J80" s="42" t="s">
        <v>211</v>
      </c>
      <c r="K80" s="53" t="s">
        <v>240</v>
      </c>
      <c r="L80" s="53" t="s">
        <v>241</v>
      </c>
    </row>
    <row r="81" spans="1:12" ht="18" hidden="1" customHeight="1" outlineLevel="2" x14ac:dyDescent="0.25">
      <c r="A81" s="39"/>
      <c r="B81" s="39"/>
      <c r="C81" s="39"/>
      <c r="D81" s="40" t="s">
        <v>223</v>
      </c>
      <c r="E81" s="50" t="s">
        <v>311</v>
      </c>
      <c r="F81" s="27" t="s">
        <v>316</v>
      </c>
      <c r="G81" s="48" t="s">
        <v>317</v>
      </c>
      <c r="H81" s="42" t="s">
        <v>204</v>
      </c>
      <c r="I81" s="54"/>
      <c r="J81" s="42" t="s">
        <v>211</v>
      </c>
      <c r="K81" s="53"/>
      <c r="L81" s="53"/>
    </row>
    <row r="82" spans="1:12" ht="18" hidden="1" customHeight="1" outlineLevel="2" x14ac:dyDescent="0.25">
      <c r="A82" s="39"/>
      <c r="B82" s="39"/>
      <c r="C82" s="39"/>
      <c r="D82" s="40" t="s">
        <v>223</v>
      </c>
      <c r="E82" s="50" t="s">
        <v>311</v>
      </c>
      <c r="F82" s="27" t="s">
        <v>318</v>
      </c>
      <c r="G82" s="48"/>
      <c r="H82" s="42"/>
      <c r="I82" s="54"/>
      <c r="J82" s="42"/>
      <c r="K82" s="53"/>
      <c r="L82" s="53"/>
    </row>
    <row r="83" spans="1:12" ht="18" hidden="1" customHeight="1" outlineLevel="2" x14ac:dyDescent="0.25">
      <c r="A83" s="39"/>
      <c r="B83" s="39"/>
      <c r="C83" s="39"/>
      <c r="D83" s="40"/>
      <c r="E83" s="40"/>
      <c r="F83" s="40"/>
      <c r="G83" s="56"/>
      <c r="H83" s="40"/>
      <c r="I83" s="44"/>
      <c r="J83" s="53"/>
      <c r="K83" s="53"/>
      <c r="L83" s="53"/>
    </row>
    <row r="84" spans="1:12" ht="18" hidden="1" customHeight="1" outlineLevel="1" collapsed="1" x14ac:dyDescent="0.2">
      <c r="A84" s="119" t="s">
        <v>32</v>
      </c>
      <c r="B84" s="120"/>
      <c r="C84" s="120"/>
      <c r="D84" s="120"/>
      <c r="E84" s="120"/>
      <c r="F84" s="120"/>
      <c r="G84" s="120"/>
      <c r="H84" s="120"/>
      <c r="I84" s="120"/>
      <c r="J84" s="120"/>
      <c r="K84" s="120"/>
      <c r="L84" s="160"/>
    </row>
    <row r="85" spans="1:12" ht="18" hidden="1" customHeight="1" outlineLevel="2" x14ac:dyDescent="0.2">
      <c r="A85" s="39"/>
      <c r="B85" s="39"/>
      <c r="C85" s="39"/>
      <c r="D85" s="40" t="s">
        <v>223</v>
      </c>
      <c r="E85" s="50" t="s">
        <v>355</v>
      </c>
      <c r="F85" s="54" t="s">
        <v>356</v>
      </c>
      <c r="G85" s="48" t="s">
        <v>357</v>
      </c>
      <c r="H85" s="42" t="s">
        <v>254</v>
      </c>
      <c r="I85" s="55" t="s">
        <v>373</v>
      </c>
      <c r="J85" s="42" t="s">
        <v>375</v>
      </c>
      <c r="K85" s="45"/>
      <c r="L85" s="45"/>
    </row>
    <row r="86" spans="1:12" ht="18" hidden="1" customHeight="1" outlineLevel="2" x14ac:dyDescent="0.2">
      <c r="A86" s="39"/>
      <c r="B86" s="39"/>
      <c r="C86" s="39"/>
      <c r="D86" s="40" t="s">
        <v>223</v>
      </c>
      <c r="E86" s="50" t="s">
        <v>355</v>
      </c>
      <c r="F86" s="54" t="s">
        <v>358</v>
      </c>
      <c r="G86" s="48" t="s">
        <v>359</v>
      </c>
      <c r="H86" s="42" t="s">
        <v>254</v>
      </c>
      <c r="I86" s="55" t="s">
        <v>373</v>
      </c>
      <c r="J86" s="42" t="s">
        <v>375</v>
      </c>
      <c r="K86" s="45"/>
      <c r="L86" s="45"/>
    </row>
    <row r="87" spans="1:12" ht="18" hidden="1" customHeight="1" outlineLevel="2" x14ac:dyDescent="0.2">
      <c r="A87" s="39"/>
      <c r="B87" s="39"/>
      <c r="C87" s="39"/>
      <c r="D87" s="40" t="s">
        <v>223</v>
      </c>
      <c r="E87" s="50" t="s">
        <v>360</v>
      </c>
      <c r="F87" s="54" t="s">
        <v>361</v>
      </c>
      <c r="G87" s="48" t="s">
        <v>362</v>
      </c>
      <c r="H87" s="42" t="s">
        <v>254</v>
      </c>
      <c r="I87" s="55" t="s">
        <v>373</v>
      </c>
      <c r="J87" s="42" t="s">
        <v>375</v>
      </c>
      <c r="K87" s="45"/>
      <c r="L87" s="45"/>
    </row>
    <row r="88" spans="1:12" ht="18" hidden="1" customHeight="1" outlineLevel="2" x14ac:dyDescent="0.2">
      <c r="A88" s="39"/>
      <c r="B88" s="39"/>
      <c r="C88" s="39"/>
      <c r="D88" s="40" t="s">
        <v>223</v>
      </c>
      <c r="E88" s="50" t="s">
        <v>360</v>
      </c>
      <c r="F88" s="54" t="s">
        <v>356</v>
      </c>
      <c r="G88" s="48" t="s">
        <v>363</v>
      </c>
      <c r="H88" s="42" t="s">
        <v>254</v>
      </c>
      <c r="I88" s="45" t="s">
        <v>374</v>
      </c>
      <c r="J88" s="42"/>
      <c r="K88" s="45"/>
      <c r="L88" s="45"/>
    </row>
    <row r="89" spans="1:12" ht="18" hidden="1" customHeight="1" outlineLevel="2" x14ac:dyDescent="0.2">
      <c r="A89" s="39"/>
      <c r="B89" s="39"/>
      <c r="C89" s="39"/>
      <c r="D89" s="40" t="s">
        <v>377</v>
      </c>
      <c r="E89" s="50" t="s">
        <v>360</v>
      </c>
      <c r="F89" s="54" t="s">
        <v>364</v>
      </c>
      <c r="G89" s="48" t="s">
        <v>365</v>
      </c>
      <c r="H89" s="42" t="s">
        <v>254</v>
      </c>
      <c r="I89" s="55" t="s">
        <v>373</v>
      </c>
      <c r="J89" s="42" t="s">
        <v>376</v>
      </c>
      <c r="K89" s="45"/>
      <c r="L89" s="45"/>
    </row>
    <row r="90" spans="1:12" ht="18" hidden="1" customHeight="1" outlineLevel="2" x14ac:dyDescent="0.2">
      <c r="A90" s="39"/>
      <c r="B90" s="39"/>
      <c r="C90" s="39"/>
      <c r="D90" s="40" t="s">
        <v>223</v>
      </c>
      <c r="E90" s="51" t="s">
        <v>360</v>
      </c>
      <c r="F90" s="54" t="s">
        <v>358</v>
      </c>
      <c r="G90" s="48" t="s">
        <v>366</v>
      </c>
      <c r="H90" s="42" t="s">
        <v>254</v>
      </c>
      <c r="I90" s="55" t="s">
        <v>373</v>
      </c>
      <c r="J90" s="42" t="s">
        <v>376</v>
      </c>
      <c r="K90" s="45">
        <v>20</v>
      </c>
      <c r="L90" s="45">
        <v>26</v>
      </c>
    </row>
    <row r="91" spans="1:12" ht="18" hidden="1" customHeight="1" outlineLevel="2" x14ac:dyDescent="0.2">
      <c r="A91" s="39"/>
      <c r="B91" s="39"/>
      <c r="C91" s="39"/>
      <c r="D91" s="40" t="s">
        <v>378</v>
      </c>
      <c r="E91" s="50" t="s">
        <v>360</v>
      </c>
      <c r="F91" s="54" t="s">
        <v>367</v>
      </c>
      <c r="G91" s="48" t="s">
        <v>368</v>
      </c>
      <c r="H91" s="42" t="s">
        <v>254</v>
      </c>
      <c r="I91" s="55" t="s">
        <v>373</v>
      </c>
      <c r="J91" s="42" t="s">
        <v>376</v>
      </c>
      <c r="K91" s="45"/>
      <c r="L91" s="45"/>
    </row>
    <row r="92" spans="1:12" ht="18" hidden="1" customHeight="1" outlineLevel="2" x14ac:dyDescent="0.2">
      <c r="A92" s="39"/>
      <c r="B92" s="39"/>
      <c r="C92" s="39"/>
      <c r="D92" s="40" t="s">
        <v>379</v>
      </c>
      <c r="E92" s="50" t="s">
        <v>360</v>
      </c>
      <c r="F92" s="54" t="s">
        <v>369</v>
      </c>
      <c r="G92" s="48" t="s">
        <v>370</v>
      </c>
      <c r="H92" s="42" t="s">
        <v>254</v>
      </c>
      <c r="I92" s="55" t="s">
        <v>373</v>
      </c>
      <c r="J92" s="42" t="s">
        <v>376</v>
      </c>
      <c r="K92" s="45"/>
      <c r="L92" s="45"/>
    </row>
    <row r="93" spans="1:12" ht="18" hidden="1" customHeight="1" outlineLevel="2" x14ac:dyDescent="0.2">
      <c r="A93" s="39"/>
      <c r="B93" s="39"/>
      <c r="C93" s="39"/>
      <c r="D93" s="40" t="s">
        <v>380</v>
      </c>
      <c r="E93" s="51" t="s">
        <v>360</v>
      </c>
      <c r="F93" s="54" t="s">
        <v>371</v>
      </c>
      <c r="G93" s="48" t="s">
        <v>372</v>
      </c>
      <c r="H93" s="42" t="s">
        <v>254</v>
      </c>
      <c r="I93" s="55" t="s">
        <v>373</v>
      </c>
      <c r="J93" s="42" t="s">
        <v>375</v>
      </c>
      <c r="K93" s="45">
        <v>20</v>
      </c>
      <c r="L93" s="45">
        <v>26</v>
      </c>
    </row>
    <row r="94" spans="1:12" ht="18" hidden="1" customHeight="1" outlineLevel="2" x14ac:dyDescent="0.25">
      <c r="A94" s="39"/>
      <c r="B94" s="39"/>
      <c r="C94" s="39"/>
      <c r="D94" s="40"/>
      <c r="E94" s="40"/>
      <c r="F94" s="40"/>
      <c r="G94" s="56"/>
      <c r="H94" s="40"/>
      <c r="I94" s="44"/>
      <c r="J94" s="53"/>
      <c r="K94" s="53"/>
      <c r="L94" s="53"/>
    </row>
    <row r="95" spans="1:12" ht="18" hidden="1" customHeight="1" outlineLevel="1" collapsed="1" x14ac:dyDescent="0.2">
      <c r="A95" s="119" t="s">
        <v>381</v>
      </c>
      <c r="B95" s="120"/>
      <c r="C95" s="120"/>
      <c r="D95" s="120"/>
      <c r="E95" s="120"/>
      <c r="F95" s="120"/>
      <c r="G95" s="120"/>
      <c r="H95" s="120"/>
      <c r="I95" s="120"/>
      <c r="J95" s="120"/>
      <c r="K95" s="120"/>
      <c r="L95" s="160"/>
    </row>
    <row r="96" spans="1:12" ht="18" hidden="1" customHeight="1" outlineLevel="2" x14ac:dyDescent="0.25">
      <c r="A96" s="39"/>
      <c r="B96" s="39"/>
      <c r="C96" s="39"/>
      <c r="D96" s="40" t="s">
        <v>223</v>
      </c>
      <c r="E96" s="57" t="s">
        <v>382</v>
      </c>
      <c r="F96" s="54" t="s">
        <v>384</v>
      </c>
      <c r="G96" s="48" t="s">
        <v>385</v>
      </c>
      <c r="H96" s="42" t="s">
        <v>254</v>
      </c>
      <c r="I96" s="54" t="s">
        <v>398</v>
      </c>
      <c r="J96" s="42" t="s">
        <v>403</v>
      </c>
      <c r="K96" s="53" t="s">
        <v>406</v>
      </c>
      <c r="L96" s="53" t="s">
        <v>266</v>
      </c>
    </row>
    <row r="97" spans="1:15" ht="18" hidden="1" customHeight="1" outlineLevel="2" x14ac:dyDescent="0.25">
      <c r="A97" s="39"/>
      <c r="B97" s="39"/>
      <c r="C97" s="39"/>
      <c r="D97" s="40" t="s">
        <v>431</v>
      </c>
      <c r="E97" s="51" t="s">
        <v>382</v>
      </c>
      <c r="F97" s="54" t="s">
        <v>386</v>
      </c>
      <c r="G97" s="48" t="s">
        <v>387</v>
      </c>
      <c r="H97" s="42" t="s">
        <v>254</v>
      </c>
      <c r="I97" s="54" t="s">
        <v>398</v>
      </c>
      <c r="J97" s="42" t="s">
        <v>404</v>
      </c>
      <c r="K97" s="53" t="s">
        <v>406</v>
      </c>
      <c r="L97" s="53" t="s">
        <v>266</v>
      </c>
    </row>
    <row r="98" spans="1:15" ht="18" hidden="1" customHeight="1" outlineLevel="2" x14ac:dyDescent="0.25">
      <c r="A98" s="39"/>
      <c r="B98" s="39"/>
      <c r="C98" s="39"/>
      <c r="D98" s="40" t="s">
        <v>431</v>
      </c>
      <c r="E98" s="50" t="s">
        <v>382</v>
      </c>
      <c r="F98" s="54" t="s">
        <v>386</v>
      </c>
      <c r="G98" s="48" t="s">
        <v>388</v>
      </c>
      <c r="H98" s="42" t="s">
        <v>254</v>
      </c>
      <c r="I98" s="54" t="s">
        <v>399</v>
      </c>
      <c r="J98" s="42" t="s">
        <v>57</v>
      </c>
      <c r="K98" s="53"/>
      <c r="L98" s="53"/>
    </row>
    <row r="99" spans="1:15" ht="18" hidden="1" customHeight="1" outlineLevel="2" x14ac:dyDescent="0.25">
      <c r="A99" s="39"/>
      <c r="B99" s="39"/>
      <c r="C99" s="39"/>
      <c r="D99" s="40" t="s">
        <v>432</v>
      </c>
      <c r="E99" s="50" t="s">
        <v>382</v>
      </c>
      <c r="F99" s="54" t="s">
        <v>389</v>
      </c>
      <c r="G99" s="48" t="s">
        <v>390</v>
      </c>
      <c r="H99" s="42" t="s">
        <v>254</v>
      </c>
      <c r="I99" s="54" t="s">
        <v>400</v>
      </c>
      <c r="J99" s="42" t="s">
        <v>375</v>
      </c>
      <c r="K99" s="53"/>
      <c r="L99" s="53"/>
    </row>
    <row r="100" spans="1:15" ht="18" hidden="1" customHeight="1" outlineLevel="2" x14ac:dyDescent="0.25">
      <c r="A100" s="39"/>
      <c r="B100" s="39"/>
      <c r="C100" s="39"/>
      <c r="D100" s="40" t="s">
        <v>223</v>
      </c>
      <c r="E100" s="50" t="s">
        <v>382</v>
      </c>
      <c r="F100" s="54" t="s">
        <v>389</v>
      </c>
      <c r="G100" s="48" t="s">
        <v>391</v>
      </c>
      <c r="H100" s="42" t="s">
        <v>254</v>
      </c>
      <c r="I100" s="54" t="s">
        <v>401</v>
      </c>
      <c r="J100" s="42" t="s">
        <v>375</v>
      </c>
      <c r="K100" s="53"/>
      <c r="L100" s="53"/>
    </row>
    <row r="101" spans="1:15" ht="18" hidden="1" customHeight="1" outlineLevel="2" x14ac:dyDescent="0.25">
      <c r="A101" s="39"/>
      <c r="B101" s="39"/>
      <c r="C101" s="39"/>
      <c r="D101" s="40" t="s">
        <v>223</v>
      </c>
      <c r="E101" s="50" t="s">
        <v>382</v>
      </c>
      <c r="F101" s="54" t="s">
        <v>392</v>
      </c>
      <c r="G101" s="56" t="s">
        <v>393</v>
      </c>
      <c r="H101" s="40" t="s">
        <v>254</v>
      </c>
      <c r="I101" s="54" t="s">
        <v>402</v>
      </c>
      <c r="J101" s="42" t="s">
        <v>375</v>
      </c>
      <c r="K101" s="53"/>
      <c r="L101" s="53"/>
    </row>
    <row r="102" spans="1:15" ht="18" hidden="1" customHeight="1" outlineLevel="2" x14ac:dyDescent="0.25">
      <c r="A102" s="39"/>
      <c r="B102" s="39"/>
      <c r="C102" s="39"/>
      <c r="D102" s="40" t="s">
        <v>223</v>
      </c>
      <c r="E102" s="50" t="s">
        <v>383</v>
      </c>
      <c r="F102" s="40" t="s">
        <v>394</v>
      </c>
      <c r="G102" s="56" t="s">
        <v>395</v>
      </c>
      <c r="H102" s="40" t="s">
        <v>254</v>
      </c>
      <c r="I102" s="55" t="s">
        <v>410</v>
      </c>
      <c r="J102" s="42" t="s">
        <v>211</v>
      </c>
      <c r="K102" s="53"/>
      <c r="L102" s="53"/>
      <c r="O102"/>
    </row>
    <row r="103" spans="1:15" ht="18" hidden="1" customHeight="1" outlineLevel="2" x14ac:dyDescent="0.25">
      <c r="A103" s="39"/>
      <c r="B103" s="39"/>
      <c r="C103" s="39"/>
      <c r="D103" s="40" t="s">
        <v>433</v>
      </c>
      <c r="E103" s="51" t="s">
        <v>383</v>
      </c>
      <c r="F103" s="40" t="s">
        <v>386</v>
      </c>
      <c r="G103" s="56" t="s">
        <v>396</v>
      </c>
      <c r="H103" s="40" t="s">
        <v>254</v>
      </c>
      <c r="I103" s="55" t="s">
        <v>411</v>
      </c>
      <c r="J103" s="42" t="s">
        <v>350</v>
      </c>
      <c r="K103" s="53" t="s">
        <v>242</v>
      </c>
      <c r="L103" s="53" t="s">
        <v>239</v>
      </c>
      <c r="O103"/>
    </row>
    <row r="104" spans="1:15" ht="18" hidden="1" customHeight="1" outlineLevel="2" x14ac:dyDescent="0.25">
      <c r="A104" s="39"/>
      <c r="B104" s="39"/>
      <c r="C104" s="39"/>
      <c r="D104" s="40" t="s">
        <v>434</v>
      </c>
      <c r="E104" s="50" t="s">
        <v>383</v>
      </c>
      <c r="F104" s="40" t="s">
        <v>389</v>
      </c>
      <c r="G104" s="56" t="s">
        <v>397</v>
      </c>
      <c r="H104" s="40" t="s">
        <v>254</v>
      </c>
      <c r="I104" s="55" t="s">
        <v>412</v>
      </c>
      <c r="J104" s="42" t="s">
        <v>405</v>
      </c>
      <c r="K104" s="53"/>
      <c r="L104" s="53"/>
      <c r="O104"/>
    </row>
    <row r="105" spans="1:15" ht="18" hidden="1" customHeight="1" outlineLevel="2" x14ac:dyDescent="0.25">
      <c r="A105" s="39"/>
      <c r="B105" s="39"/>
      <c r="C105" s="39"/>
      <c r="D105" s="40" t="s">
        <v>435</v>
      </c>
      <c r="E105" s="51" t="s">
        <v>407</v>
      </c>
      <c r="F105" s="42" t="s">
        <v>408</v>
      </c>
      <c r="G105" s="48" t="s">
        <v>409</v>
      </c>
      <c r="H105" s="45" t="s">
        <v>254</v>
      </c>
      <c r="I105" s="44" t="s">
        <v>413</v>
      </c>
      <c r="J105" s="53">
        <v>25</v>
      </c>
      <c r="K105" s="53" t="s">
        <v>242</v>
      </c>
      <c r="L105" s="53" t="s">
        <v>239</v>
      </c>
      <c r="O105"/>
    </row>
    <row r="106" spans="1:15" ht="18" hidden="1" customHeight="1" outlineLevel="2" x14ac:dyDescent="0.25">
      <c r="A106" s="39"/>
      <c r="B106" s="39"/>
      <c r="C106" s="39"/>
      <c r="D106" s="40" t="s">
        <v>476</v>
      </c>
      <c r="E106" s="51" t="s">
        <v>436</v>
      </c>
      <c r="F106" s="42" t="s">
        <v>54</v>
      </c>
      <c r="G106" s="48" t="s">
        <v>437</v>
      </c>
      <c r="H106" s="45" t="s">
        <v>254</v>
      </c>
      <c r="I106" s="55">
        <v>79621</v>
      </c>
      <c r="J106" s="53" t="s">
        <v>350</v>
      </c>
      <c r="K106" s="45" t="s">
        <v>237</v>
      </c>
      <c r="L106" s="45" t="s">
        <v>238</v>
      </c>
      <c r="O106"/>
    </row>
    <row r="107" spans="1:15" ht="18" hidden="1" customHeight="1" outlineLevel="2" x14ac:dyDescent="0.25">
      <c r="A107" s="39"/>
      <c r="B107" s="39"/>
      <c r="C107" s="39"/>
      <c r="D107" s="40" t="s">
        <v>352</v>
      </c>
      <c r="E107" s="50" t="s">
        <v>438</v>
      </c>
      <c r="F107" s="42" t="s">
        <v>439</v>
      </c>
      <c r="G107" s="48" t="s">
        <v>440</v>
      </c>
      <c r="H107" s="45" t="s">
        <v>254</v>
      </c>
      <c r="I107" s="55" t="s">
        <v>486</v>
      </c>
      <c r="J107" s="53" t="s">
        <v>211</v>
      </c>
      <c r="K107" s="45"/>
      <c r="L107" s="45"/>
      <c r="O107"/>
    </row>
    <row r="108" spans="1:15" ht="18" hidden="1" customHeight="1" outlineLevel="2" x14ac:dyDescent="0.25">
      <c r="A108" s="39"/>
      <c r="B108" s="39"/>
      <c r="C108" s="39"/>
      <c r="D108" s="40" t="s">
        <v>352</v>
      </c>
      <c r="E108" s="50" t="s">
        <v>438</v>
      </c>
      <c r="F108" s="42" t="s">
        <v>441</v>
      </c>
      <c r="G108" s="48" t="s">
        <v>442</v>
      </c>
      <c r="H108" s="45" t="s">
        <v>443</v>
      </c>
      <c r="I108" s="55"/>
      <c r="J108" s="53" t="s">
        <v>213</v>
      </c>
      <c r="K108" s="45"/>
      <c r="L108" s="45"/>
      <c r="O108"/>
    </row>
    <row r="109" spans="1:15" ht="18" hidden="1" customHeight="1" outlineLevel="2" x14ac:dyDescent="0.25">
      <c r="A109" s="39"/>
      <c r="B109" s="39"/>
      <c r="C109" s="39"/>
      <c r="D109" s="40" t="s">
        <v>352</v>
      </c>
      <c r="E109" s="50" t="s">
        <v>438</v>
      </c>
      <c r="F109" s="42" t="s">
        <v>444</v>
      </c>
      <c r="G109" s="48" t="s">
        <v>445</v>
      </c>
      <c r="H109" s="45" t="s">
        <v>443</v>
      </c>
      <c r="I109" s="55"/>
      <c r="J109" s="53" t="s">
        <v>211</v>
      </c>
      <c r="K109" s="45"/>
      <c r="L109" s="45"/>
      <c r="O109"/>
    </row>
    <row r="110" spans="1:15" ht="18" hidden="1" customHeight="1" outlineLevel="2" x14ac:dyDescent="0.25">
      <c r="A110" s="39"/>
      <c r="B110" s="39"/>
      <c r="C110" s="39"/>
      <c r="D110" s="40" t="s">
        <v>477</v>
      </c>
      <c r="E110" s="51" t="s">
        <v>438</v>
      </c>
      <c r="F110" s="42" t="s">
        <v>446</v>
      </c>
      <c r="G110" s="48" t="s">
        <v>447</v>
      </c>
      <c r="H110" s="45" t="s">
        <v>254</v>
      </c>
      <c r="I110" s="55" t="s">
        <v>487</v>
      </c>
      <c r="J110" s="53" t="s">
        <v>211</v>
      </c>
      <c r="K110" s="45" t="s">
        <v>237</v>
      </c>
      <c r="L110" s="45" t="s">
        <v>238</v>
      </c>
      <c r="O110"/>
    </row>
    <row r="111" spans="1:15" ht="18" hidden="1" customHeight="1" outlineLevel="2" x14ac:dyDescent="0.25">
      <c r="A111" s="39"/>
      <c r="B111" s="39"/>
      <c r="C111" s="39"/>
      <c r="D111" s="40" t="s">
        <v>478</v>
      </c>
      <c r="E111" s="50" t="s">
        <v>438</v>
      </c>
      <c r="F111" s="42" t="s">
        <v>448</v>
      </c>
      <c r="G111" s="48" t="s">
        <v>449</v>
      </c>
      <c r="H111" s="45" t="s">
        <v>254</v>
      </c>
      <c r="I111" s="55"/>
      <c r="J111" s="53" t="s">
        <v>211</v>
      </c>
      <c r="K111" s="45"/>
      <c r="L111" s="45"/>
      <c r="O111"/>
    </row>
    <row r="112" spans="1:15" ht="18" hidden="1" customHeight="1" outlineLevel="2" x14ac:dyDescent="0.25">
      <c r="A112" s="39"/>
      <c r="B112" s="39"/>
      <c r="C112" s="39"/>
      <c r="D112" s="40" t="s">
        <v>352</v>
      </c>
      <c r="E112" s="50" t="s">
        <v>450</v>
      </c>
      <c r="F112" s="42" t="s">
        <v>451</v>
      </c>
      <c r="G112" s="48" t="s">
        <v>452</v>
      </c>
      <c r="H112" s="45" t="s">
        <v>254</v>
      </c>
      <c r="I112" s="44" t="s">
        <v>488</v>
      </c>
      <c r="J112" s="53" t="s">
        <v>211</v>
      </c>
      <c r="K112" s="45"/>
      <c r="L112" s="45"/>
      <c r="O112"/>
    </row>
    <row r="113" spans="1:15" ht="18" hidden="1" customHeight="1" outlineLevel="2" x14ac:dyDescent="0.25">
      <c r="A113" s="39"/>
      <c r="B113" s="39"/>
      <c r="C113" s="39"/>
      <c r="D113" s="40" t="s">
        <v>479</v>
      </c>
      <c r="E113" s="51" t="s">
        <v>450</v>
      </c>
      <c r="F113" s="42" t="s">
        <v>453</v>
      </c>
      <c r="G113" s="48" t="s">
        <v>454</v>
      </c>
      <c r="H113" s="45" t="s">
        <v>254</v>
      </c>
      <c r="I113" s="44" t="s">
        <v>489</v>
      </c>
      <c r="J113" s="53" t="s">
        <v>211</v>
      </c>
      <c r="K113" s="45" t="s">
        <v>237</v>
      </c>
      <c r="L113" s="45" t="s">
        <v>238</v>
      </c>
      <c r="O113"/>
    </row>
    <row r="114" spans="1:15" ht="18" hidden="1" customHeight="1" outlineLevel="2" x14ac:dyDescent="0.25">
      <c r="A114" s="39"/>
      <c r="B114" s="39"/>
      <c r="C114" s="39"/>
      <c r="D114" s="40" t="s">
        <v>352</v>
      </c>
      <c r="E114" s="50" t="s">
        <v>450</v>
      </c>
      <c r="F114" s="42" t="s">
        <v>455</v>
      </c>
      <c r="G114" s="48" t="s">
        <v>456</v>
      </c>
      <c r="H114" s="45" t="s">
        <v>254</v>
      </c>
      <c r="I114" s="44" t="s">
        <v>490</v>
      </c>
      <c r="J114" s="53" t="s">
        <v>211</v>
      </c>
      <c r="K114" s="45"/>
      <c r="L114" s="45"/>
      <c r="O114"/>
    </row>
    <row r="115" spans="1:15" ht="18" hidden="1" customHeight="1" outlineLevel="2" x14ac:dyDescent="0.25">
      <c r="A115" s="39"/>
      <c r="B115" s="39"/>
      <c r="C115" s="39"/>
      <c r="D115" s="40" t="s">
        <v>352</v>
      </c>
      <c r="E115" s="50" t="s">
        <v>457</v>
      </c>
      <c r="F115" s="42" t="s">
        <v>458</v>
      </c>
      <c r="G115" s="48" t="s">
        <v>459</v>
      </c>
      <c r="H115" s="45" t="s">
        <v>254</v>
      </c>
      <c r="I115" s="44" t="s">
        <v>491</v>
      </c>
      <c r="J115" s="53" t="s">
        <v>375</v>
      </c>
      <c r="K115" s="45"/>
      <c r="L115" s="45"/>
      <c r="O115"/>
    </row>
    <row r="116" spans="1:15" ht="18" hidden="1" customHeight="1" outlineLevel="2" x14ac:dyDescent="0.25">
      <c r="A116" s="39"/>
      <c r="B116" s="39"/>
      <c r="C116" s="39"/>
      <c r="D116" s="40" t="s">
        <v>352</v>
      </c>
      <c r="E116" s="50" t="s">
        <v>457</v>
      </c>
      <c r="F116" s="42" t="s">
        <v>460</v>
      </c>
      <c r="G116" s="48" t="s">
        <v>461</v>
      </c>
      <c r="H116" s="45" t="s">
        <v>254</v>
      </c>
      <c r="I116" s="44">
        <v>79409</v>
      </c>
      <c r="J116" s="53" t="s">
        <v>375</v>
      </c>
      <c r="K116" s="45"/>
      <c r="L116" s="45"/>
      <c r="O116"/>
    </row>
    <row r="117" spans="1:15" ht="18" hidden="1" customHeight="1" outlineLevel="2" x14ac:dyDescent="0.25">
      <c r="A117" s="39"/>
      <c r="B117" s="39"/>
      <c r="C117" s="39"/>
      <c r="D117" s="40" t="s">
        <v>480</v>
      </c>
      <c r="E117" s="51" t="s">
        <v>462</v>
      </c>
      <c r="F117" s="42" t="s">
        <v>460</v>
      </c>
      <c r="G117" s="48" t="s">
        <v>463</v>
      </c>
      <c r="H117" s="45" t="s">
        <v>254</v>
      </c>
      <c r="I117" s="44" t="s">
        <v>492</v>
      </c>
      <c r="J117" s="53" t="s">
        <v>375</v>
      </c>
      <c r="K117" s="45">
        <v>20</v>
      </c>
      <c r="L117" s="45">
        <v>26</v>
      </c>
      <c r="O117"/>
    </row>
    <row r="118" spans="1:15" ht="18" hidden="1" customHeight="1" outlineLevel="2" x14ac:dyDescent="0.25">
      <c r="A118" s="39"/>
      <c r="B118" s="39"/>
      <c r="C118" s="39"/>
      <c r="D118" s="40" t="s">
        <v>481</v>
      </c>
      <c r="E118" s="51" t="s">
        <v>462</v>
      </c>
      <c r="F118" s="42" t="s">
        <v>458</v>
      </c>
      <c r="G118" s="48" t="s">
        <v>464</v>
      </c>
      <c r="H118" s="45" t="s">
        <v>254</v>
      </c>
      <c r="I118" s="44" t="s">
        <v>493</v>
      </c>
      <c r="J118" s="53" t="s">
        <v>375</v>
      </c>
      <c r="K118" s="45">
        <v>30</v>
      </c>
      <c r="L118" s="45">
        <v>36</v>
      </c>
      <c r="O118"/>
    </row>
    <row r="119" spans="1:15" ht="18" hidden="1" customHeight="1" outlineLevel="2" x14ac:dyDescent="0.25">
      <c r="A119" s="39"/>
      <c r="B119" s="39"/>
      <c r="C119" s="39"/>
      <c r="D119" s="40" t="s">
        <v>482</v>
      </c>
      <c r="E119" s="50" t="s">
        <v>465</v>
      </c>
      <c r="F119" s="42" t="s">
        <v>466</v>
      </c>
      <c r="G119" s="48" t="s">
        <v>467</v>
      </c>
      <c r="H119" s="45" t="s">
        <v>254</v>
      </c>
      <c r="I119" s="44" t="s">
        <v>494</v>
      </c>
      <c r="J119" s="53" t="s">
        <v>375</v>
      </c>
      <c r="K119" s="45"/>
      <c r="L119" s="45"/>
      <c r="O119"/>
    </row>
    <row r="120" spans="1:15" ht="18" hidden="1" customHeight="1" outlineLevel="2" x14ac:dyDescent="0.25">
      <c r="A120" s="39"/>
      <c r="B120" s="39"/>
      <c r="C120" s="39"/>
      <c r="D120" s="40" t="s">
        <v>352</v>
      </c>
      <c r="E120" s="50" t="s">
        <v>468</v>
      </c>
      <c r="F120" s="42" t="s">
        <v>469</v>
      </c>
      <c r="G120" s="48" t="s">
        <v>470</v>
      </c>
      <c r="H120" s="45" t="s">
        <v>254</v>
      </c>
      <c r="I120" s="44" t="s">
        <v>495</v>
      </c>
      <c r="J120" s="53" t="s">
        <v>350</v>
      </c>
      <c r="K120" s="45"/>
      <c r="L120" s="45"/>
      <c r="O120"/>
    </row>
    <row r="121" spans="1:15" ht="18" hidden="1" customHeight="1" outlineLevel="2" x14ac:dyDescent="0.25">
      <c r="A121" s="39"/>
      <c r="B121" s="39"/>
      <c r="C121" s="39"/>
      <c r="D121" s="40" t="s">
        <v>352</v>
      </c>
      <c r="E121" s="50" t="s">
        <v>468</v>
      </c>
      <c r="F121" s="42" t="s">
        <v>471</v>
      </c>
      <c r="G121" s="48" t="s">
        <v>472</v>
      </c>
      <c r="H121" s="45" t="s">
        <v>254</v>
      </c>
      <c r="I121" s="44" t="s">
        <v>496</v>
      </c>
      <c r="J121" s="53" t="s">
        <v>350</v>
      </c>
      <c r="K121" s="45"/>
      <c r="L121" s="45"/>
      <c r="O121"/>
    </row>
    <row r="122" spans="1:15" ht="18" hidden="1" customHeight="1" outlineLevel="2" x14ac:dyDescent="0.25">
      <c r="A122" s="39"/>
      <c r="B122" s="39"/>
      <c r="C122" s="39"/>
      <c r="D122" s="40" t="s">
        <v>483</v>
      </c>
      <c r="E122" s="51" t="s">
        <v>473</v>
      </c>
      <c r="F122" s="42" t="s">
        <v>469</v>
      </c>
      <c r="G122" s="48" t="s">
        <v>474</v>
      </c>
      <c r="H122" s="45" t="s">
        <v>254</v>
      </c>
      <c r="I122" s="44" t="s">
        <v>497</v>
      </c>
      <c r="J122" s="53" t="s">
        <v>405</v>
      </c>
      <c r="K122" s="45" t="s">
        <v>239</v>
      </c>
      <c r="L122" s="45" t="s">
        <v>294</v>
      </c>
      <c r="O122"/>
    </row>
    <row r="123" spans="1:15" ht="18" hidden="1" customHeight="1" outlineLevel="2" x14ac:dyDescent="0.25">
      <c r="A123" s="39"/>
      <c r="B123" s="39"/>
      <c r="C123" s="39"/>
      <c r="D123" s="40" t="s">
        <v>484</v>
      </c>
      <c r="E123" s="51" t="s">
        <v>473</v>
      </c>
      <c r="F123" s="42" t="s">
        <v>471</v>
      </c>
      <c r="G123" s="48" t="s">
        <v>475</v>
      </c>
      <c r="H123" s="45" t="s">
        <v>254</v>
      </c>
      <c r="I123" s="44" t="s">
        <v>498</v>
      </c>
      <c r="J123" s="53" t="s">
        <v>405</v>
      </c>
      <c r="K123" s="45" t="s">
        <v>239</v>
      </c>
      <c r="L123" s="45" t="s">
        <v>294</v>
      </c>
      <c r="O123"/>
    </row>
    <row r="124" spans="1:15" ht="18" hidden="1" customHeight="1" outlineLevel="2" x14ac:dyDescent="0.25">
      <c r="A124" s="39"/>
      <c r="B124" s="39"/>
      <c r="C124" s="39"/>
      <c r="D124" s="40"/>
      <c r="E124" s="40"/>
      <c r="F124" s="40"/>
      <c r="G124" s="56"/>
      <c r="H124" s="40"/>
      <c r="I124" s="44"/>
      <c r="J124" s="53"/>
      <c r="K124" s="53"/>
      <c r="L124" s="53"/>
      <c r="O124"/>
    </row>
    <row r="125" spans="1:15" ht="18" hidden="1" customHeight="1" outlineLevel="1" collapsed="1" x14ac:dyDescent="0.25">
      <c r="A125" s="119" t="s">
        <v>414</v>
      </c>
      <c r="B125" s="120"/>
      <c r="C125" s="120"/>
      <c r="D125" s="120"/>
      <c r="E125" s="120"/>
      <c r="F125" s="120"/>
      <c r="G125" s="120"/>
      <c r="H125" s="120"/>
      <c r="I125" s="120"/>
      <c r="J125" s="120"/>
      <c r="K125" s="120"/>
      <c r="L125" s="160"/>
      <c r="O125"/>
    </row>
    <row r="126" spans="1:15" ht="18" hidden="1" customHeight="1" outlineLevel="4" x14ac:dyDescent="0.25">
      <c r="A126" s="39"/>
      <c r="B126" s="39"/>
      <c r="C126" s="39"/>
      <c r="D126" s="40" t="s">
        <v>423</v>
      </c>
      <c r="E126" s="58" t="s">
        <v>415</v>
      </c>
      <c r="F126" s="40" t="s">
        <v>386</v>
      </c>
      <c r="G126" s="56" t="s">
        <v>416</v>
      </c>
      <c r="H126" s="40" t="s">
        <v>254</v>
      </c>
      <c r="I126" s="44" t="s">
        <v>428</v>
      </c>
      <c r="J126" s="42" t="s">
        <v>426</v>
      </c>
      <c r="K126" s="45" t="s">
        <v>240</v>
      </c>
      <c r="L126" s="45" t="s">
        <v>241</v>
      </c>
      <c r="O126"/>
    </row>
    <row r="127" spans="1:15" ht="18" hidden="1" customHeight="1" outlineLevel="4" x14ac:dyDescent="0.25">
      <c r="A127" s="39"/>
      <c r="B127" s="39"/>
      <c r="C127" s="39"/>
      <c r="D127" s="40" t="s">
        <v>352</v>
      </c>
      <c r="E127" s="40" t="s">
        <v>415</v>
      </c>
      <c r="F127" s="40" t="s">
        <v>389</v>
      </c>
      <c r="G127" s="56" t="s">
        <v>417</v>
      </c>
      <c r="H127" s="40" t="s">
        <v>254</v>
      </c>
      <c r="I127" s="44" t="s">
        <v>429</v>
      </c>
      <c r="J127" s="42" t="s">
        <v>426</v>
      </c>
      <c r="K127" s="45"/>
      <c r="L127" s="45"/>
      <c r="O127"/>
    </row>
    <row r="128" spans="1:15" ht="18" hidden="1" customHeight="1" outlineLevel="4" x14ac:dyDescent="0.25">
      <c r="A128" s="39"/>
      <c r="B128" s="39"/>
      <c r="C128" s="39"/>
      <c r="D128" s="40" t="s">
        <v>424</v>
      </c>
      <c r="E128" s="58" t="s">
        <v>418</v>
      </c>
      <c r="F128" s="40" t="s">
        <v>419</v>
      </c>
      <c r="G128" s="56" t="s">
        <v>420</v>
      </c>
      <c r="H128" s="40" t="s">
        <v>254</v>
      </c>
      <c r="I128" s="44" t="s">
        <v>430</v>
      </c>
      <c r="J128" s="42" t="s">
        <v>350</v>
      </c>
      <c r="K128" s="45" t="s">
        <v>240</v>
      </c>
      <c r="L128" s="45" t="s">
        <v>241</v>
      </c>
      <c r="O128"/>
    </row>
    <row r="129" spans="1:15" ht="18" hidden="1" customHeight="1" outlineLevel="4" x14ac:dyDescent="0.25">
      <c r="A129" s="39"/>
      <c r="B129" s="39"/>
      <c r="C129" s="39"/>
      <c r="D129" s="40" t="s">
        <v>425</v>
      </c>
      <c r="E129" s="40" t="s">
        <v>418</v>
      </c>
      <c r="F129" s="40" t="s">
        <v>421</v>
      </c>
      <c r="G129" s="56" t="s">
        <v>422</v>
      </c>
      <c r="H129" s="40" t="s">
        <v>254</v>
      </c>
      <c r="I129" s="44" t="s">
        <v>427</v>
      </c>
      <c r="J129" s="42" t="s">
        <v>350</v>
      </c>
      <c r="K129" s="45"/>
      <c r="L129" s="45"/>
      <c r="O129"/>
    </row>
    <row r="130" spans="1:15" ht="18" hidden="1" customHeight="1" outlineLevel="4" x14ac:dyDescent="0.25">
      <c r="A130" s="39"/>
      <c r="B130" s="39"/>
      <c r="C130" s="39"/>
      <c r="D130" s="40"/>
      <c r="E130" s="40"/>
      <c r="F130" s="40"/>
      <c r="G130" s="56"/>
      <c r="H130" s="40"/>
      <c r="I130" s="44"/>
      <c r="J130" s="53"/>
      <c r="K130" s="53"/>
      <c r="L130" s="53"/>
    </row>
    <row r="131" spans="1:15" ht="18" hidden="1" customHeight="1" outlineLevel="1" collapsed="1" x14ac:dyDescent="0.2">
      <c r="A131" s="119" t="s">
        <v>499</v>
      </c>
      <c r="B131" s="120"/>
      <c r="C131" s="120"/>
      <c r="D131" s="120"/>
      <c r="E131" s="120"/>
      <c r="F131" s="120"/>
      <c r="G131" s="120"/>
      <c r="H131" s="120"/>
      <c r="I131" s="120"/>
      <c r="J131" s="120"/>
      <c r="K131" s="120"/>
      <c r="L131" s="160"/>
    </row>
    <row r="132" spans="1:15" ht="18" hidden="1" customHeight="1" outlineLevel="2" x14ac:dyDescent="0.25">
      <c r="A132" s="39"/>
      <c r="B132" s="39"/>
      <c r="C132" s="39"/>
      <c r="D132" s="40" t="s">
        <v>536</v>
      </c>
      <c r="E132" s="58" t="s">
        <v>500</v>
      </c>
      <c r="F132" s="40" t="s">
        <v>501</v>
      </c>
      <c r="G132" s="56">
        <v>118701</v>
      </c>
      <c r="H132" s="40" t="s">
        <v>254</v>
      </c>
      <c r="I132" s="44" t="s">
        <v>524</v>
      </c>
      <c r="J132" s="53"/>
      <c r="K132" s="53">
        <v>20</v>
      </c>
      <c r="L132" s="53">
        <v>25</v>
      </c>
    </row>
    <row r="133" spans="1:15" ht="18" hidden="1" customHeight="1" outlineLevel="2" x14ac:dyDescent="0.25">
      <c r="A133" s="39"/>
      <c r="B133" s="39"/>
      <c r="C133" s="39"/>
      <c r="D133" s="40" t="s">
        <v>537</v>
      </c>
      <c r="E133" s="58" t="s">
        <v>500</v>
      </c>
      <c r="F133" s="40" t="s">
        <v>502</v>
      </c>
      <c r="G133" s="56">
        <v>118629</v>
      </c>
      <c r="H133" s="40" t="s">
        <v>254</v>
      </c>
      <c r="I133" s="44" t="s">
        <v>525</v>
      </c>
      <c r="J133" s="53"/>
      <c r="K133" s="53">
        <v>20</v>
      </c>
      <c r="L133" s="53">
        <v>25</v>
      </c>
    </row>
    <row r="134" spans="1:15" ht="18" hidden="1" customHeight="1" outlineLevel="2" x14ac:dyDescent="0.25">
      <c r="A134" s="39"/>
      <c r="B134" s="39"/>
      <c r="C134" s="39"/>
      <c r="D134" s="40" t="s">
        <v>538</v>
      </c>
      <c r="E134" s="58" t="s">
        <v>500</v>
      </c>
      <c r="F134" s="40" t="s">
        <v>503</v>
      </c>
      <c r="G134" s="56">
        <v>118689</v>
      </c>
      <c r="H134" s="40" t="s">
        <v>254</v>
      </c>
      <c r="I134" s="44" t="s">
        <v>526</v>
      </c>
      <c r="J134" s="53"/>
      <c r="K134" s="53">
        <v>20</v>
      </c>
      <c r="L134" s="53">
        <v>25</v>
      </c>
    </row>
    <row r="135" spans="1:15" ht="18" hidden="1" customHeight="1" outlineLevel="2" x14ac:dyDescent="0.25">
      <c r="A135" s="39"/>
      <c r="B135" s="39"/>
      <c r="C135" s="39"/>
      <c r="D135" s="40" t="s">
        <v>539</v>
      </c>
      <c r="E135" s="58" t="s">
        <v>500</v>
      </c>
      <c r="F135" s="40" t="s">
        <v>504</v>
      </c>
      <c r="G135" s="56">
        <v>118601</v>
      </c>
      <c r="H135" s="40" t="s">
        <v>254</v>
      </c>
      <c r="I135" s="44" t="s">
        <v>527</v>
      </c>
      <c r="J135" s="53"/>
      <c r="K135" s="53">
        <v>20</v>
      </c>
      <c r="L135" s="53">
        <v>25</v>
      </c>
    </row>
    <row r="136" spans="1:15" ht="18" hidden="1" customHeight="1" outlineLevel="2" x14ac:dyDescent="0.25">
      <c r="A136" s="39"/>
      <c r="B136" s="39"/>
      <c r="C136" s="39"/>
      <c r="D136" s="40" t="s">
        <v>540</v>
      </c>
      <c r="E136" s="58" t="s">
        <v>500</v>
      </c>
      <c r="F136" s="40" t="s">
        <v>505</v>
      </c>
      <c r="G136" s="56">
        <v>118613</v>
      </c>
      <c r="H136" s="40" t="s">
        <v>254</v>
      </c>
      <c r="I136" s="44" t="s">
        <v>528</v>
      </c>
      <c r="J136" s="53"/>
      <c r="K136" s="53">
        <v>20</v>
      </c>
      <c r="L136" s="53">
        <v>25</v>
      </c>
    </row>
    <row r="137" spans="1:15" ht="18" hidden="1" customHeight="1" outlineLevel="2" x14ac:dyDescent="0.25">
      <c r="A137" s="39"/>
      <c r="B137" s="39"/>
      <c r="C137" s="39"/>
      <c r="D137" s="40" t="s">
        <v>541</v>
      </c>
      <c r="E137" s="40" t="s">
        <v>500</v>
      </c>
      <c r="F137" s="40" t="s">
        <v>506</v>
      </c>
      <c r="G137" s="56">
        <v>118605</v>
      </c>
      <c r="H137" s="40" t="s">
        <v>254</v>
      </c>
      <c r="I137" s="44" t="s">
        <v>529</v>
      </c>
      <c r="J137" s="53"/>
      <c r="K137" s="53"/>
      <c r="L137" s="53"/>
    </row>
    <row r="138" spans="1:15" ht="18" hidden="1" customHeight="1" outlineLevel="2" x14ac:dyDescent="0.25">
      <c r="A138" s="39"/>
      <c r="B138" s="39"/>
      <c r="C138" s="39"/>
      <c r="D138" s="40" t="s">
        <v>223</v>
      </c>
      <c r="E138" s="40" t="s">
        <v>500</v>
      </c>
      <c r="F138" s="40" t="s">
        <v>507</v>
      </c>
      <c r="G138" s="56">
        <v>118720</v>
      </c>
      <c r="H138" s="40" t="s">
        <v>254</v>
      </c>
      <c r="I138" s="44" t="s">
        <v>532</v>
      </c>
      <c r="J138" s="53"/>
      <c r="K138" s="53"/>
      <c r="L138" s="53"/>
    </row>
    <row r="139" spans="1:15" ht="18" hidden="1" customHeight="1" outlineLevel="2" x14ac:dyDescent="0.25">
      <c r="A139" s="39"/>
      <c r="B139" s="39"/>
      <c r="C139" s="39"/>
      <c r="D139" s="40" t="s">
        <v>223</v>
      </c>
      <c r="E139" s="40" t="s">
        <v>500</v>
      </c>
      <c r="F139" s="40" t="s">
        <v>508</v>
      </c>
      <c r="G139" s="56">
        <v>118665</v>
      </c>
      <c r="H139" s="40" t="s">
        <v>254</v>
      </c>
      <c r="I139" s="44" t="s">
        <v>532</v>
      </c>
      <c r="J139" s="53"/>
      <c r="K139" s="53"/>
      <c r="L139" s="53"/>
    </row>
    <row r="140" spans="1:15" ht="18" hidden="1" customHeight="1" outlineLevel="2" x14ac:dyDescent="0.25">
      <c r="A140" s="39"/>
      <c r="B140" s="39"/>
      <c r="C140" s="39"/>
      <c r="D140" s="40" t="s">
        <v>542</v>
      </c>
      <c r="E140" s="40" t="s">
        <v>500</v>
      </c>
      <c r="F140" s="40" t="s">
        <v>509</v>
      </c>
      <c r="G140" s="56">
        <v>118728</v>
      </c>
      <c r="H140" s="40" t="s">
        <v>254</v>
      </c>
      <c r="I140" s="44" t="s">
        <v>531</v>
      </c>
      <c r="J140" s="53"/>
      <c r="K140" s="53"/>
      <c r="L140" s="53"/>
    </row>
    <row r="141" spans="1:15" ht="18" hidden="1" customHeight="1" outlineLevel="2" x14ac:dyDescent="0.25">
      <c r="A141" s="39"/>
      <c r="B141" s="39"/>
      <c r="C141" s="39"/>
      <c r="D141" s="40" t="s">
        <v>223</v>
      </c>
      <c r="E141" s="40" t="s">
        <v>500</v>
      </c>
      <c r="F141" s="40" t="s">
        <v>510</v>
      </c>
      <c r="G141" s="56">
        <v>118673</v>
      </c>
      <c r="H141" s="40" t="s">
        <v>254</v>
      </c>
      <c r="I141" s="44" t="s">
        <v>530</v>
      </c>
      <c r="J141" s="53"/>
      <c r="K141" s="53"/>
      <c r="L141" s="53"/>
    </row>
    <row r="142" spans="1:15" ht="18" hidden="1" customHeight="1" outlineLevel="2" x14ac:dyDescent="0.25">
      <c r="A142" s="39"/>
      <c r="B142" s="39"/>
      <c r="C142" s="39"/>
      <c r="D142" s="40" t="s">
        <v>543</v>
      </c>
      <c r="E142" s="40" t="s">
        <v>500</v>
      </c>
      <c r="F142" s="40" t="s">
        <v>511</v>
      </c>
      <c r="G142" s="56">
        <v>118736</v>
      </c>
      <c r="H142" s="40" t="s">
        <v>254</v>
      </c>
      <c r="I142" s="44" t="s">
        <v>533</v>
      </c>
      <c r="J142" s="53"/>
      <c r="K142" s="53"/>
      <c r="L142" s="53"/>
    </row>
    <row r="143" spans="1:15" ht="18" hidden="1" customHeight="1" outlineLevel="2" x14ac:dyDescent="0.25">
      <c r="A143" s="39"/>
      <c r="B143" s="39"/>
      <c r="C143" s="39"/>
      <c r="D143" s="40" t="s">
        <v>223</v>
      </c>
      <c r="E143" s="40" t="s">
        <v>500</v>
      </c>
      <c r="F143" s="40" t="s">
        <v>512</v>
      </c>
      <c r="G143" s="56">
        <v>118681</v>
      </c>
      <c r="H143" s="40" t="s">
        <v>254</v>
      </c>
      <c r="I143" s="44" t="s">
        <v>534</v>
      </c>
      <c r="J143" s="53"/>
      <c r="K143" s="53"/>
      <c r="L143" s="53"/>
    </row>
    <row r="144" spans="1:15" ht="18" hidden="1" customHeight="1" outlineLevel="2" x14ac:dyDescent="0.25">
      <c r="A144" s="39"/>
      <c r="B144" s="39"/>
      <c r="C144" s="39"/>
      <c r="D144" s="40" t="s">
        <v>544</v>
      </c>
      <c r="E144" s="40" t="s">
        <v>500</v>
      </c>
      <c r="F144" s="40" t="s">
        <v>513</v>
      </c>
      <c r="G144" s="56" t="s">
        <v>514</v>
      </c>
      <c r="H144" s="40" t="s">
        <v>254</v>
      </c>
      <c r="I144" s="44" t="s">
        <v>533</v>
      </c>
      <c r="J144" s="53"/>
      <c r="K144" s="53"/>
      <c r="L144" s="53"/>
    </row>
    <row r="145" spans="1:12" ht="18" hidden="1" customHeight="1" outlineLevel="2" x14ac:dyDescent="0.25">
      <c r="A145" s="39"/>
      <c r="B145" s="39"/>
      <c r="C145" s="39"/>
      <c r="D145" s="40" t="s">
        <v>545</v>
      </c>
      <c r="E145" s="40" t="s">
        <v>500</v>
      </c>
      <c r="F145" s="40" t="s">
        <v>515</v>
      </c>
      <c r="G145" s="56" t="s">
        <v>516</v>
      </c>
      <c r="H145" s="40" t="s">
        <v>254</v>
      </c>
      <c r="I145" s="44" t="s">
        <v>535</v>
      </c>
      <c r="J145" s="53"/>
      <c r="K145" s="53"/>
      <c r="L145" s="53"/>
    </row>
    <row r="146" spans="1:12" ht="18" hidden="1" customHeight="1" outlineLevel="2" x14ac:dyDescent="0.25">
      <c r="A146" s="39"/>
      <c r="B146" s="39"/>
      <c r="C146" s="39"/>
      <c r="D146" s="40"/>
      <c r="E146" s="40"/>
      <c r="F146" s="40"/>
      <c r="G146" s="56"/>
      <c r="H146" s="40"/>
      <c r="I146" s="44"/>
      <c r="J146" s="53"/>
      <c r="K146" s="53"/>
      <c r="L146" s="53"/>
    </row>
    <row r="147" spans="1:12" ht="18" hidden="1" customHeight="1" outlineLevel="2" x14ac:dyDescent="0.2">
      <c r="A147" s="25"/>
      <c r="B147" s="25"/>
      <c r="C147" s="25"/>
      <c r="D147" s="25" t="s">
        <v>3372</v>
      </c>
      <c r="E147" s="59" t="s">
        <v>3847</v>
      </c>
      <c r="F147" s="25" t="s">
        <v>2081</v>
      </c>
      <c r="G147" s="25" t="s">
        <v>2082</v>
      </c>
      <c r="H147" s="25" t="s">
        <v>773</v>
      </c>
      <c r="I147" s="25" t="s">
        <v>2083</v>
      </c>
      <c r="J147" s="25" t="s">
        <v>376</v>
      </c>
      <c r="K147" s="25">
        <v>50</v>
      </c>
      <c r="L147" s="25">
        <v>75</v>
      </c>
    </row>
    <row r="148" spans="1:12" ht="18" hidden="1" customHeight="1" outlineLevel="2" x14ac:dyDescent="0.2">
      <c r="A148" s="25"/>
      <c r="B148" s="25"/>
      <c r="C148" s="25"/>
      <c r="D148" s="25" t="s">
        <v>3373</v>
      </c>
      <c r="E148" s="59" t="s">
        <v>3848</v>
      </c>
      <c r="F148" s="25" t="s">
        <v>3868</v>
      </c>
      <c r="G148" s="25" t="s">
        <v>2084</v>
      </c>
      <c r="H148" s="25" t="s">
        <v>773</v>
      </c>
      <c r="I148" s="25" t="s">
        <v>2085</v>
      </c>
      <c r="J148" s="25" t="s">
        <v>376</v>
      </c>
      <c r="K148" s="25">
        <v>50</v>
      </c>
      <c r="L148" s="25">
        <v>75</v>
      </c>
    </row>
    <row r="149" spans="1:12" ht="18" hidden="1" customHeight="1" outlineLevel="2" x14ac:dyDescent="0.2">
      <c r="A149" s="25"/>
      <c r="B149" s="25"/>
      <c r="C149" s="25"/>
      <c r="D149" s="25"/>
      <c r="E149" s="59" t="s">
        <v>3849</v>
      </c>
      <c r="F149" s="25" t="s">
        <v>3869</v>
      </c>
      <c r="G149" s="25" t="s">
        <v>2086</v>
      </c>
      <c r="H149" s="25" t="s">
        <v>773</v>
      </c>
      <c r="I149" s="25"/>
    </row>
    <row r="150" spans="1:12" ht="18" hidden="1" customHeight="1" outlineLevel="2" x14ac:dyDescent="0.25">
      <c r="A150" s="39"/>
      <c r="B150" s="39"/>
      <c r="C150" s="39"/>
      <c r="D150" s="40"/>
      <c r="E150" s="40"/>
      <c r="F150" s="40"/>
      <c r="G150" s="56"/>
      <c r="H150" s="40"/>
      <c r="I150" s="44"/>
      <c r="J150" s="53"/>
      <c r="K150" s="53"/>
      <c r="L150" s="53"/>
    </row>
    <row r="151" spans="1:12" ht="18" hidden="1" customHeight="1" outlineLevel="1" collapsed="1" x14ac:dyDescent="0.2">
      <c r="A151" s="119" t="s">
        <v>3844</v>
      </c>
      <c r="B151" s="120"/>
      <c r="C151" s="120"/>
      <c r="D151" s="120"/>
      <c r="E151" s="120"/>
      <c r="F151" s="120"/>
      <c r="G151" s="120"/>
      <c r="H151" s="120"/>
      <c r="I151" s="120"/>
      <c r="J151" s="120"/>
      <c r="K151" s="120"/>
      <c r="L151" s="160"/>
    </row>
    <row r="152" spans="1:12" ht="18" hidden="1" customHeight="1" outlineLevel="2" x14ac:dyDescent="0.2">
      <c r="A152" s="25"/>
      <c r="B152" s="25"/>
      <c r="C152" s="25"/>
      <c r="D152" s="25" t="s">
        <v>352</v>
      </c>
      <c r="E152" s="65" t="s">
        <v>2097</v>
      </c>
      <c r="F152" s="25" t="s">
        <v>2098</v>
      </c>
      <c r="G152" s="25" t="s">
        <v>2099</v>
      </c>
      <c r="H152" s="25" t="s">
        <v>1348</v>
      </c>
      <c r="I152" s="25" t="s">
        <v>2100</v>
      </c>
      <c r="J152" s="25" t="s">
        <v>3104</v>
      </c>
    </row>
    <row r="153" spans="1:12" ht="18" hidden="1" customHeight="1" outlineLevel="2" x14ac:dyDescent="0.2">
      <c r="A153" s="25"/>
      <c r="B153" s="25"/>
      <c r="C153" s="25"/>
      <c r="D153" s="25" t="s">
        <v>352</v>
      </c>
      <c r="E153" s="65" t="s">
        <v>2097</v>
      </c>
      <c r="F153" s="25" t="s">
        <v>2098</v>
      </c>
      <c r="G153" s="25" t="s">
        <v>2101</v>
      </c>
      <c r="H153" s="25" t="s">
        <v>773</v>
      </c>
      <c r="I153" s="25" t="s">
        <v>2100</v>
      </c>
      <c r="J153" s="25" t="s">
        <v>3104</v>
      </c>
    </row>
    <row r="154" spans="1:12" ht="18" hidden="1" customHeight="1" outlineLevel="2" x14ac:dyDescent="0.2">
      <c r="A154" s="25"/>
      <c r="B154" s="25"/>
      <c r="C154" s="25"/>
      <c r="D154" s="25" t="s">
        <v>352</v>
      </c>
      <c r="E154" s="65" t="s">
        <v>2097</v>
      </c>
      <c r="F154" s="25" t="s">
        <v>2102</v>
      </c>
      <c r="G154" s="25" t="s">
        <v>2103</v>
      </c>
      <c r="H154" s="25" t="s">
        <v>1348</v>
      </c>
      <c r="I154" s="25" t="s">
        <v>2104</v>
      </c>
      <c r="J154" s="25" t="s">
        <v>3104</v>
      </c>
    </row>
    <row r="155" spans="1:12" ht="18" hidden="1" customHeight="1" outlineLevel="2" x14ac:dyDescent="0.2">
      <c r="A155" s="25"/>
      <c r="B155" s="25"/>
      <c r="C155" s="25"/>
      <c r="D155" s="25" t="s">
        <v>352</v>
      </c>
      <c r="E155" s="65" t="s">
        <v>2097</v>
      </c>
      <c r="F155" s="25" t="s">
        <v>2102</v>
      </c>
      <c r="G155" s="25" t="s">
        <v>2105</v>
      </c>
      <c r="H155" s="25" t="s">
        <v>773</v>
      </c>
      <c r="I155" s="25" t="s">
        <v>2104</v>
      </c>
    </row>
    <row r="156" spans="1:12" ht="18" hidden="1" customHeight="1" outlineLevel="2" x14ac:dyDescent="0.2">
      <c r="A156" s="25"/>
      <c r="B156" s="25"/>
      <c r="C156" s="25"/>
      <c r="D156" s="25" t="s">
        <v>352</v>
      </c>
      <c r="E156" s="65" t="s">
        <v>2097</v>
      </c>
      <c r="F156" s="25" t="s">
        <v>2106</v>
      </c>
      <c r="G156" s="25" t="s">
        <v>2107</v>
      </c>
      <c r="H156" s="25" t="s">
        <v>1348</v>
      </c>
      <c r="I156" s="25" t="s">
        <v>2108</v>
      </c>
      <c r="J156" s="25" t="s">
        <v>3104</v>
      </c>
    </row>
    <row r="157" spans="1:12" ht="18" hidden="1" customHeight="1" outlineLevel="2" x14ac:dyDescent="0.2">
      <c r="A157" s="25"/>
      <c r="B157" s="25"/>
      <c r="C157" s="25"/>
      <c r="D157" s="25" t="s">
        <v>352</v>
      </c>
      <c r="E157" s="65" t="s">
        <v>2097</v>
      </c>
      <c r="F157" s="25" t="s">
        <v>2106</v>
      </c>
      <c r="G157" s="25" t="s">
        <v>2109</v>
      </c>
      <c r="H157" s="25" t="s">
        <v>773</v>
      </c>
      <c r="I157" s="25" t="s">
        <v>2108</v>
      </c>
      <c r="J157" s="25" t="s">
        <v>3104</v>
      </c>
    </row>
    <row r="158" spans="1:12" ht="18" hidden="1" customHeight="1" outlineLevel="2" x14ac:dyDescent="0.2">
      <c r="A158" s="25"/>
      <c r="B158" s="25"/>
      <c r="C158" s="25"/>
      <c r="D158" s="25" t="s">
        <v>352</v>
      </c>
      <c r="E158" s="70" t="s">
        <v>2097</v>
      </c>
      <c r="F158" s="25" t="s">
        <v>2110</v>
      </c>
      <c r="G158" s="25" t="s">
        <v>2111</v>
      </c>
      <c r="H158" s="25" t="s">
        <v>1348</v>
      </c>
      <c r="I158" s="25" t="s">
        <v>2112</v>
      </c>
      <c r="J158" s="25" t="s">
        <v>3104</v>
      </c>
      <c r="K158" s="25">
        <v>30</v>
      </c>
      <c r="L158" s="25">
        <v>40</v>
      </c>
    </row>
    <row r="159" spans="1:12" ht="18" hidden="1" customHeight="1" outlineLevel="2" x14ac:dyDescent="0.2">
      <c r="A159" s="25"/>
      <c r="B159" s="25"/>
      <c r="C159" s="25"/>
      <c r="D159" s="25" t="s">
        <v>352</v>
      </c>
      <c r="E159" s="65" t="s">
        <v>2097</v>
      </c>
      <c r="F159" s="25" t="s">
        <v>2110</v>
      </c>
      <c r="G159" s="25" t="s">
        <v>2113</v>
      </c>
      <c r="H159" s="25" t="s">
        <v>773</v>
      </c>
      <c r="I159" s="25" t="s">
        <v>2112</v>
      </c>
      <c r="J159" s="25" t="s">
        <v>3104</v>
      </c>
    </row>
    <row r="160" spans="1:12" ht="18" hidden="1" customHeight="1" outlineLevel="2" x14ac:dyDescent="0.2">
      <c r="A160" s="25"/>
      <c r="B160" s="25"/>
      <c r="C160" s="25"/>
      <c r="D160" s="25" t="s">
        <v>3374</v>
      </c>
      <c r="E160" s="25" t="s">
        <v>2087</v>
      </c>
      <c r="F160" s="25" t="s">
        <v>2088</v>
      </c>
      <c r="G160" s="25" t="s">
        <v>2089</v>
      </c>
      <c r="H160" s="25" t="s">
        <v>1348</v>
      </c>
      <c r="I160" s="25" t="s">
        <v>2090</v>
      </c>
      <c r="J160" s="25" t="s">
        <v>3104</v>
      </c>
      <c r="K160" s="25">
        <v>10</v>
      </c>
      <c r="L160" s="25">
        <v>14</v>
      </c>
    </row>
    <row r="161" spans="1:12" ht="18" hidden="1" customHeight="1" outlineLevel="2" x14ac:dyDescent="0.2">
      <c r="A161" s="25"/>
      <c r="B161" s="25"/>
      <c r="C161" s="25"/>
      <c r="D161" s="25" t="s">
        <v>3374</v>
      </c>
      <c r="E161" s="25" t="s">
        <v>2087</v>
      </c>
      <c r="F161" s="25" t="s">
        <v>2088</v>
      </c>
      <c r="G161" s="25" t="s">
        <v>2091</v>
      </c>
      <c r="H161" s="25" t="s">
        <v>2092</v>
      </c>
      <c r="I161" s="25" t="s">
        <v>2093</v>
      </c>
      <c r="J161" s="25" t="s">
        <v>3104</v>
      </c>
    </row>
    <row r="162" spans="1:12" ht="18" hidden="1" customHeight="1" outlineLevel="2" x14ac:dyDescent="0.2">
      <c r="A162" s="25"/>
      <c r="B162" s="25"/>
      <c r="C162" s="25"/>
      <c r="D162" s="25" t="s">
        <v>3375</v>
      </c>
      <c r="E162" s="25" t="s">
        <v>2094</v>
      </c>
      <c r="F162" s="25" t="s">
        <v>2095</v>
      </c>
      <c r="G162" s="25"/>
      <c r="H162" s="25" t="s">
        <v>2096</v>
      </c>
      <c r="I162" s="25"/>
      <c r="K162" s="25">
        <v>20</v>
      </c>
      <c r="L162" s="25">
        <v>26</v>
      </c>
    </row>
    <row r="163" spans="1:12" ht="18" hidden="1" customHeight="1" outlineLevel="2" x14ac:dyDescent="0.2">
      <c r="A163" s="25"/>
      <c r="B163" s="25"/>
      <c r="C163" s="25"/>
      <c r="D163" s="25" t="s">
        <v>352</v>
      </c>
      <c r="E163" s="25" t="s">
        <v>2114</v>
      </c>
      <c r="F163" s="25" t="s">
        <v>2115</v>
      </c>
      <c r="G163" s="25" t="s">
        <v>2116</v>
      </c>
      <c r="H163" s="25" t="s">
        <v>1348</v>
      </c>
      <c r="I163" s="25" t="s">
        <v>2117</v>
      </c>
      <c r="J163" s="25" t="s">
        <v>674</v>
      </c>
    </row>
    <row r="164" spans="1:12" ht="18" hidden="1" customHeight="1" outlineLevel="2" x14ac:dyDescent="0.2">
      <c r="A164" s="25"/>
      <c r="B164" s="25"/>
      <c r="C164" s="25"/>
      <c r="D164" s="25" t="s">
        <v>352</v>
      </c>
      <c r="E164" s="25" t="s">
        <v>2114</v>
      </c>
      <c r="F164" s="25" t="s">
        <v>2118</v>
      </c>
      <c r="G164" s="25" t="s">
        <v>2119</v>
      </c>
      <c r="H164" s="25" t="s">
        <v>773</v>
      </c>
      <c r="I164" s="25" t="s">
        <v>2120</v>
      </c>
      <c r="J164" s="25" t="s">
        <v>674</v>
      </c>
    </row>
    <row r="165" spans="1:12" ht="18" hidden="1" customHeight="1" outlineLevel="2" x14ac:dyDescent="0.2">
      <c r="A165" s="25"/>
      <c r="B165" s="25"/>
      <c r="C165" s="25"/>
      <c r="D165" s="25" t="s">
        <v>352</v>
      </c>
      <c r="E165" s="25" t="s">
        <v>2114</v>
      </c>
      <c r="F165" s="25" t="s">
        <v>2121</v>
      </c>
      <c r="G165" s="25" t="s">
        <v>2122</v>
      </c>
      <c r="H165" s="25" t="s">
        <v>1348</v>
      </c>
      <c r="I165" s="25" t="s">
        <v>2123</v>
      </c>
      <c r="J165" s="25" t="s">
        <v>674</v>
      </c>
    </row>
    <row r="166" spans="1:12" ht="18" hidden="1" customHeight="1" outlineLevel="2" x14ac:dyDescent="0.2">
      <c r="A166" s="25"/>
      <c r="B166" s="25"/>
      <c r="C166" s="25"/>
      <c r="D166" s="25" t="s">
        <v>352</v>
      </c>
      <c r="E166" s="25" t="s">
        <v>2114</v>
      </c>
      <c r="F166" s="25" t="s">
        <v>2124</v>
      </c>
      <c r="G166" s="25" t="s">
        <v>2125</v>
      </c>
      <c r="H166" s="25" t="s">
        <v>773</v>
      </c>
      <c r="I166" s="25" t="s">
        <v>2126</v>
      </c>
      <c r="J166" s="25" t="s">
        <v>674</v>
      </c>
      <c r="K166" s="25">
        <v>3</v>
      </c>
      <c r="L166" s="25">
        <v>4</v>
      </c>
    </row>
    <row r="167" spans="1:12" ht="18" hidden="1" customHeight="1" outlineLevel="2" x14ac:dyDescent="0.2">
      <c r="A167" s="25"/>
      <c r="B167" s="25"/>
      <c r="C167" s="25"/>
      <c r="D167" s="25" t="s">
        <v>3376</v>
      </c>
      <c r="E167" s="25" t="s">
        <v>2114</v>
      </c>
      <c r="F167" s="25" t="s">
        <v>2127</v>
      </c>
      <c r="G167" s="25"/>
      <c r="H167" s="25" t="s">
        <v>254</v>
      </c>
      <c r="I167" s="25" t="s">
        <v>2128</v>
      </c>
      <c r="J167" s="25" t="s">
        <v>674</v>
      </c>
    </row>
    <row r="168" spans="1:12" ht="18" hidden="1" customHeight="1" outlineLevel="2" x14ac:dyDescent="0.25">
      <c r="A168" s="66"/>
      <c r="B168" s="62"/>
      <c r="C168" s="62"/>
      <c r="D168" s="63"/>
      <c r="E168" s="63"/>
      <c r="F168" s="63"/>
      <c r="G168" s="64"/>
      <c r="H168" s="63"/>
      <c r="I168" s="63"/>
      <c r="J168" s="67"/>
      <c r="K168" s="67"/>
      <c r="L168" s="69"/>
    </row>
    <row r="169" spans="1:12" ht="18" hidden="1" customHeight="1" outlineLevel="1" collapsed="1" x14ac:dyDescent="0.2">
      <c r="A169" s="119" t="s">
        <v>46</v>
      </c>
      <c r="B169" s="120"/>
      <c r="C169" s="120"/>
      <c r="D169" s="120"/>
      <c r="E169" s="120"/>
      <c r="F169" s="120"/>
      <c r="G169" s="120"/>
      <c r="H169" s="120"/>
      <c r="I169" s="120"/>
      <c r="J169" s="120"/>
      <c r="K169" s="120"/>
      <c r="L169" s="160"/>
    </row>
    <row r="170" spans="1:12" ht="18" hidden="1" customHeight="1" outlineLevel="2" x14ac:dyDescent="0.2">
      <c r="A170" s="18"/>
      <c r="B170" s="18"/>
      <c r="C170" s="18"/>
      <c r="D170" s="19" t="s">
        <v>598</v>
      </c>
      <c r="E170" s="32" t="s">
        <v>546</v>
      </c>
      <c r="F170" s="19" t="s">
        <v>587</v>
      </c>
      <c r="G170" s="36"/>
      <c r="H170" s="19"/>
      <c r="I170" s="23"/>
      <c r="J170" s="25" t="s">
        <v>57</v>
      </c>
      <c r="K170" s="25" t="s">
        <v>267</v>
      </c>
      <c r="L170" s="25" t="s">
        <v>592</v>
      </c>
    </row>
    <row r="171" spans="1:12" ht="18" hidden="1" customHeight="1" outlineLevel="2" x14ac:dyDescent="0.2">
      <c r="A171" s="18"/>
      <c r="B171" s="18"/>
      <c r="C171" s="18"/>
      <c r="D171" s="19"/>
      <c r="E171" s="19" t="s">
        <v>546</v>
      </c>
      <c r="F171" s="19" t="s">
        <v>588</v>
      </c>
      <c r="G171" s="36"/>
      <c r="H171" s="19"/>
      <c r="I171" s="23"/>
    </row>
    <row r="172" spans="1:12" ht="18" hidden="1" customHeight="1" outlineLevel="2" x14ac:dyDescent="0.2">
      <c r="A172" s="18"/>
      <c r="B172" s="18"/>
      <c r="C172" s="18"/>
      <c r="D172" s="19" t="s">
        <v>599</v>
      </c>
      <c r="E172" s="32" t="s">
        <v>548</v>
      </c>
      <c r="F172" s="19" t="s">
        <v>549</v>
      </c>
      <c r="G172" s="36" t="s">
        <v>550</v>
      </c>
      <c r="H172" s="19" t="s">
        <v>254</v>
      </c>
      <c r="I172" s="23" t="s">
        <v>399</v>
      </c>
      <c r="J172" s="25" t="s">
        <v>376</v>
      </c>
      <c r="K172" s="25" t="s">
        <v>406</v>
      </c>
      <c r="L172" s="25" t="s">
        <v>266</v>
      </c>
    </row>
    <row r="173" spans="1:12" ht="18" hidden="1" customHeight="1" outlineLevel="2" x14ac:dyDescent="0.2">
      <c r="A173" s="18"/>
      <c r="B173" s="18"/>
      <c r="C173" s="18"/>
      <c r="D173" s="19"/>
      <c r="E173" s="19" t="s">
        <v>551</v>
      </c>
      <c r="F173" s="19" t="s">
        <v>552</v>
      </c>
      <c r="G173" s="36" t="s">
        <v>553</v>
      </c>
      <c r="H173" s="19" t="s">
        <v>551</v>
      </c>
      <c r="I173" s="23" t="s">
        <v>589</v>
      </c>
    </row>
    <row r="174" spans="1:12" ht="18" hidden="1" customHeight="1" outlineLevel="2" x14ac:dyDescent="0.2">
      <c r="A174" s="18"/>
      <c r="B174" s="18"/>
      <c r="C174" s="18"/>
      <c r="D174" s="19"/>
      <c r="E174" s="19" t="s">
        <v>551</v>
      </c>
      <c r="F174" s="19" t="s">
        <v>552</v>
      </c>
      <c r="G174" s="36" t="s">
        <v>554</v>
      </c>
      <c r="H174" s="19" t="s">
        <v>551</v>
      </c>
      <c r="I174" s="23" t="s">
        <v>590</v>
      </c>
    </row>
    <row r="175" spans="1:12" ht="18" hidden="1" customHeight="1" outlineLevel="2" x14ac:dyDescent="0.2">
      <c r="A175" s="18"/>
      <c r="B175" s="18"/>
      <c r="C175" s="18"/>
      <c r="D175" s="19"/>
      <c r="E175" s="19" t="s">
        <v>551</v>
      </c>
      <c r="F175" s="19" t="s">
        <v>555</v>
      </c>
      <c r="G175" s="36" t="s">
        <v>556</v>
      </c>
      <c r="H175" s="19" t="s">
        <v>551</v>
      </c>
      <c r="I175" s="23" t="s">
        <v>591</v>
      </c>
    </row>
    <row r="176" spans="1:12" ht="18" hidden="1" customHeight="1" outlineLevel="2" x14ac:dyDescent="0.2">
      <c r="A176" s="18"/>
      <c r="B176" s="18"/>
      <c r="C176" s="18"/>
      <c r="D176" s="19"/>
      <c r="E176" s="19" t="s">
        <v>551</v>
      </c>
      <c r="F176" s="19" t="s">
        <v>555</v>
      </c>
      <c r="G176" s="36" t="s">
        <v>557</v>
      </c>
      <c r="H176" s="19" t="s">
        <v>551</v>
      </c>
      <c r="I176" s="23" t="s">
        <v>590</v>
      </c>
    </row>
    <row r="177" spans="1:12" ht="18" hidden="1" customHeight="1" outlineLevel="2" x14ac:dyDescent="0.2">
      <c r="A177" s="18"/>
      <c r="B177" s="18"/>
      <c r="C177" s="18"/>
      <c r="D177" s="19"/>
      <c r="E177" s="19" t="s">
        <v>551</v>
      </c>
      <c r="F177" s="19" t="s">
        <v>558</v>
      </c>
      <c r="G177" s="36" t="s">
        <v>559</v>
      </c>
      <c r="H177" s="19" t="s">
        <v>551</v>
      </c>
      <c r="I177" s="23" t="s">
        <v>591</v>
      </c>
    </row>
    <row r="178" spans="1:12" ht="18" hidden="1" customHeight="1" outlineLevel="2" x14ac:dyDescent="0.2">
      <c r="A178" s="18"/>
      <c r="B178" s="18"/>
      <c r="C178" s="18"/>
      <c r="D178" s="19"/>
      <c r="E178" s="19" t="s">
        <v>551</v>
      </c>
      <c r="F178" s="19" t="s">
        <v>558</v>
      </c>
      <c r="G178" s="36" t="s">
        <v>560</v>
      </c>
      <c r="H178" s="19" t="s">
        <v>551</v>
      </c>
      <c r="I178" s="23" t="s">
        <v>590</v>
      </c>
    </row>
    <row r="179" spans="1:12" ht="18" hidden="1" customHeight="1" outlineLevel="2" x14ac:dyDescent="0.2">
      <c r="A179" s="18"/>
      <c r="B179" s="18"/>
      <c r="C179" s="18"/>
      <c r="D179" s="19"/>
      <c r="E179" s="19" t="s">
        <v>551</v>
      </c>
      <c r="F179" s="19" t="s">
        <v>561</v>
      </c>
      <c r="G179" s="36" t="s">
        <v>562</v>
      </c>
      <c r="H179" s="19" t="s">
        <v>551</v>
      </c>
      <c r="I179" s="23" t="s">
        <v>591</v>
      </c>
    </row>
    <row r="180" spans="1:12" ht="18" hidden="1" customHeight="1" outlineLevel="2" x14ac:dyDescent="0.2">
      <c r="A180" s="18"/>
      <c r="B180" s="18"/>
      <c r="C180" s="18"/>
      <c r="D180" s="19"/>
      <c r="E180" s="19" t="s">
        <v>551</v>
      </c>
      <c r="F180" s="19" t="s">
        <v>561</v>
      </c>
      <c r="G180" s="36" t="s">
        <v>563</v>
      </c>
      <c r="H180" s="19" t="s">
        <v>551</v>
      </c>
      <c r="I180" s="23" t="s">
        <v>590</v>
      </c>
    </row>
    <row r="181" spans="1:12" ht="18" hidden="1" customHeight="1" outlineLevel="2" x14ac:dyDescent="0.2">
      <c r="A181" s="18"/>
      <c r="B181" s="18"/>
      <c r="C181" s="18"/>
      <c r="D181" s="19"/>
      <c r="E181" s="19" t="s">
        <v>52</v>
      </c>
      <c r="F181" s="19" t="s">
        <v>564</v>
      </c>
      <c r="G181" s="36" t="s">
        <v>565</v>
      </c>
      <c r="H181" s="19" t="s">
        <v>202</v>
      </c>
      <c r="I181" s="23"/>
      <c r="J181" s="25" t="s">
        <v>267</v>
      </c>
    </row>
    <row r="182" spans="1:12" ht="18" hidden="1" customHeight="1" outlineLevel="2" x14ac:dyDescent="0.2">
      <c r="A182" s="18"/>
      <c r="B182" s="18"/>
      <c r="C182" s="18"/>
      <c r="D182" s="19"/>
      <c r="E182" s="19" t="s">
        <v>52</v>
      </c>
      <c r="F182" s="19" t="s">
        <v>564</v>
      </c>
      <c r="G182" s="36" t="s">
        <v>566</v>
      </c>
      <c r="H182" s="19" t="s">
        <v>202</v>
      </c>
      <c r="I182" s="23"/>
      <c r="J182" s="25" t="s">
        <v>593</v>
      </c>
    </row>
    <row r="183" spans="1:12" ht="18" hidden="1" customHeight="1" outlineLevel="2" x14ac:dyDescent="0.2">
      <c r="A183" s="18"/>
      <c r="B183" s="18"/>
      <c r="C183" s="18"/>
      <c r="D183" s="19"/>
      <c r="E183" s="19" t="s">
        <v>52</v>
      </c>
      <c r="F183" s="19" t="s">
        <v>567</v>
      </c>
      <c r="G183" s="36" t="s">
        <v>568</v>
      </c>
      <c r="H183" s="19" t="s">
        <v>202</v>
      </c>
      <c r="I183" s="23" t="s">
        <v>569</v>
      </c>
      <c r="J183" s="25" t="s">
        <v>267</v>
      </c>
    </row>
    <row r="184" spans="1:12" ht="18" hidden="1" customHeight="1" outlineLevel="2" x14ac:dyDescent="0.2">
      <c r="A184" s="18"/>
      <c r="B184" s="18"/>
      <c r="C184" s="18"/>
      <c r="D184" s="19"/>
      <c r="E184" s="32" t="s">
        <v>52</v>
      </c>
      <c r="F184" s="19" t="s">
        <v>567</v>
      </c>
      <c r="G184" s="36" t="s">
        <v>570</v>
      </c>
      <c r="H184" s="19" t="s">
        <v>202</v>
      </c>
      <c r="I184" s="23" t="s">
        <v>569</v>
      </c>
      <c r="J184" s="25" t="s">
        <v>593</v>
      </c>
      <c r="K184" s="20" t="s">
        <v>240</v>
      </c>
      <c r="L184" s="20" t="s">
        <v>294</v>
      </c>
    </row>
    <row r="185" spans="1:12" ht="18" hidden="1" customHeight="1" outlineLevel="2" x14ac:dyDescent="0.2">
      <c r="A185" s="18"/>
      <c r="B185" s="18"/>
      <c r="C185" s="18"/>
      <c r="D185" s="19"/>
      <c r="E185" s="19" t="s">
        <v>596</v>
      </c>
      <c r="F185" s="19" t="s">
        <v>597</v>
      </c>
      <c r="G185" s="36" t="s">
        <v>571</v>
      </c>
      <c r="H185" s="19" t="s">
        <v>202</v>
      </c>
      <c r="I185" s="23"/>
      <c r="J185" s="25" t="s">
        <v>405</v>
      </c>
      <c r="K185" s="20"/>
      <c r="L185" s="20"/>
    </row>
    <row r="186" spans="1:12" ht="18" hidden="1" customHeight="1" outlineLevel="2" x14ac:dyDescent="0.2">
      <c r="A186" s="18"/>
      <c r="B186" s="18"/>
      <c r="C186" s="18"/>
      <c r="D186" s="19"/>
      <c r="E186" s="32" t="s">
        <v>596</v>
      </c>
      <c r="F186" s="19" t="s">
        <v>597</v>
      </c>
      <c r="G186" s="36" t="s">
        <v>572</v>
      </c>
      <c r="H186" s="19" t="s">
        <v>202</v>
      </c>
      <c r="I186" s="23" t="s">
        <v>569</v>
      </c>
      <c r="J186" s="25" t="s">
        <v>211</v>
      </c>
      <c r="K186" s="20" t="s">
        <v>239</v>
      </c>
      <c r="L186" s="20" t="s">
        <v>294</v>
      </c>
    </row>
    <row r="187" spans="1:12" ht="18" hidden="1" customHeight="1" outlineLevel="2" x14ac:dyDescent="0.2">
      <c r="A187" s="18"/>
      <c r="B187" s="18"/>
      <c r="C187" s="18"/>
      <c r="D187" s="19"/>
      <c r="E187" s="19" t="s">
        <v>573</v>
      </c>
      <c r="F187" s="19" t="s">
        <v>574</v>
      </c>
      <c r="G187" s="36" t="s">
        <v>575</v>
      </c>
      <c r="H187" s="19" t="s">
        <v>576</v>
      </c>
      <c r="I187" s="23" t="s">
        <v>577</v>
      </c>
      <c r="J187" s="25" t="s">
        <v>211</v>
      </c>
    </row>
    <row r="188" spans="1:12" ht="18" hidden="1" customHeight="1" outlineLevel="2" x14ac:dyDescent="0.2">
      <c r="A188" s="18"/>
      <c r="B188" s="18"/>
      <c r="C188" s="18"/>
      <c r="D188" s="19"/>
      <c r="E188" s="19" t="s">
        <v>578</v>
      </c>
      <c r="F188" s="19" t="s">
        <v>579</v>
      </c>
      <c r="G188" s="36" t="s">
        <v>580</v>
      </c>
      <c r="H188" s="19" t="s">
        <v>576</v>
      </c>
      <c r="I188" s="23" t="s">
        <v>581</v>
      </c>
      <c r="J188" s="25" t="s">
        <v>594</v>
      </c>
    </row>
    <row r="189" spans="1:12" ht="18" hidden="1" customHeight="1" outlineLevel="2" x14ac:dyDescent="0.2">
      <c r="A189" s="18"/>
      <c r="B189" s="18"/>
      <c r="C189" s="18"/>
      <c r="D189" s="19"/>
      <c r="E189" s="19" t="s">
        <v>573</v>
      </c>
      <c r="F189" s="19" t="s">
        <v>582</v>
      </c>
      <c r="G189" s="36" t="s">
        <v>583</v>
      </c>
      <c r="H189" s="19" t="s">
        <v>576</v>
      </c>
      <c r="I189" s="23" t="s">
        <v>584</v>
      </c>
      <c r="J189" s="25" t="s">
        <v>350</v>
      </c>
    </row>
    <row r="190" spans="1:12" ht="18" hidden="1" customHeight="1" outlineLevel="2" x14ac:dyDescent="0.2">
      <c r="A190" s="18"/>
      <c r="B190" s="18"/>
      <c r="C190" s="18"/>
      <c r="D190" s="19"/>
      <c r="E190" s="19" t="s">
        <v>578</v>
      </c>
      <c r="F190" s="19" t="s">
        <v>579</v>
      </c>
      <c r="G190" s="36" t="s">
        <v>585</v>
      </c>
      <c r="H190" s="19" t="s">
        <v>576</v>
      </c>
      <c r="I190" s="23" t="s">
        <v>586</v>
      </c>
      <c r="J190" s="25" t="s">
        <v>595</v>
      </c>
    </row>
    <row r="191" spans="1:12" ht="18" hidden="1" customHeight="1" outlineLevel="2" x14ac:dyDescent="0.2">
      <c r="A191" s="18"/>
      <c r="B191" s="18"/>
      <c r="C191" s="18"/>
      <c r="D191" s="19" t="s">
        <v>606</v>
      </c>
      <c r="E191" s="19" t="s">
        <v>600</v>
      </c>
      <c r="F191" s="19" t="s">
        <v>53</v>
      </c>
      <c r="G191" s="36"/>
      <c r="H191" s="19"/>
      <c r="I191" s="23"/>
    </row>
    <row r="192" spans="1:12" ht="18" hidden="1" customHeight="1" outlineLevel="2" x14ac:dyDescent="0.2">
      <c r="A192" s="18"/>
      <c r="B192" s="18"/>
      <c r="C192" s="18"/>
      <c r="D192" s="19"/>
      <c r="E192" s="19" t="s">
        <v>601</v>
      </c>
      <c r="F192" s="19" t="s">
        <v>53</v>
      </c>
      <c r="G192" s="36"/>
      <c r="H192" s="19"/>
      <c r="I192" s="23"/>
    </row>
    <row r="193" spans="1:12" ht="18" hidden="1" customHeight="1" outlineLevel="2" x14ac:dyDescent="0.2">
      <c r="A193" s="18"/>
      <c r="B193" s="18"/>
      <c r="C193" s="18"/>
      <c r="D193" s="19" t="s">
        <v>607</v>
      </c>
      <c r="E193" s="19" t="s">
        <v>602</v>
      </c>
      <c r="F193" s="19" t="s">
        <v>603</v>
      </c>
      <c r="G193" s="36" t="s">
        <v>609</v>
      </c>
      <c r="H193" s="19" t="s">
        <v>610</v>
      </c>
      <c r="I193" s="23" t="s">
        <v>611</v>
      </c>
      <c r="J193" s="25" t="s">
        <v>612</v>
      </c>
    </row>
    <row r="194" spans="1:12" ht="18" hidden="1" customHeight="1" outlineLevel="2" x14ac:dyDescent="0.2">
      <c r="A194" s="18"/>
      <c r="B194" s="18"/>
      <c r="C194" s="18"/>
      <c r="D194" s="19" t="s">
        <v>608</v>
      </c>
      <c r="E194" s="19" t="s">
        <v>604</v>
      </c>
      <c r="F194" s="19" t="s">
        <v>605</v>
      </c>
      <c r="G194" s="36"/>
      <c r="H194" s="19"/>
      <c r="I194" s="23" t="s">
        <v>613</v>
      </c>
      <c r="J194" s="25" t="s">
        <v>612</v>
      </c>
    </row>
    <row r="195" spans="1:12" ht="18" hidden="1" customHeight="1" outlineLevel="2" x14ac:dyDescent="0.2">
      <c r="A195" s="18"/>
      <c r="B195" s="18"/>
      <c r="C195" s="18"/>
      <c r="D195" s="19"/>
      <c r="E195" s="19"/>
      <c r="F195" s="19"/>
      <c r="G195" s="36"/>
      <c r="H195" s="19"/>
      <c r="I195" s="23"/>
    </row>
    <row r="196" spans="1:12" ht="18" customHeight="1" collapsed="1" x14ac:dyDescent="0.2">
      <c r="A196" s="139" t="s">
        <v>3721</v>
      </c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66"/>
    </row>
    <row r="197" spans="1:12" ht="18" hidden="1" customHeight="1" outlineLevel="1" collapsed="1" x14ac:dyDescent="0.2">
      <c r="A197" s="119" t="s">
        <v>614</v>
      </c>
      <c r="B197" s="120"/>
      <c r="C197" s="120"/>
      <c r="D197" s="120"/>
      <c r="E197" s="120"/>
      <c r="F197" s="120"/>
      <c r="G197" s="120"/>
      <c r="H197" s="120"/>
      <c r="I197" s="120"/>
      <c r="J197" s="120"/>
      <c r="K197" s="120"/>
      <c r="L197" s="160"/>
    </row>
    <row r="198" spans="1:12" ht="18" hidden="1" customHeight="1" outlineLevel="2" x14ac:dyDescent="0.2">
      <c r="A198" s="18"/>
      <c r="B198" s="18"/>
      <c r="C198" s="18"/>
      <c r="D198" s="19" t="s">
        <v>351</v>
      </c>
      <c r="E198" s="32" t="s">
        <v>615</v>
      </c>
      <c r="F198" s="19" t="s">
        <v>622</v>
      </c>
      <c r="G198" s="36"/>
      <c r="H198" s="19" t="s">
        <v>204</v>
      </c>
      <c r="I198" s="30" t="s">
        <v>621</v>
      </c>
      <c r="J198" s="25" t="s">
        <v>375</v>
      </c>
      <c r="K198" s="25">
        <v>10</v>
      </c>
      <c r="L198" s="25">
        <v>15</v>
      </c>
    </row>
    <row r="199" spans="1:12" ht="18" hidden="1" customHeight="1" outlineLevel="2" x14ac:dyDescent="0.2">
      <c r="A199" s="18"/>
      <c r="B199" s="18"/>
      <c r="C199" s="18"/>
      <c r="D199" s="19" t="s">
        <v>351</v>
      </c>
      <c r="E199" s="32" t="s">
        <v>623</v>
      </c>
      <c r="F199" s="19" t="s">
        <v>622</v>
      </c>
      <c r="G199" s="36" t="s">
        <v>635</v>
      </c>
      <c r="H199" s="19" t="s">
        <v>204</v>
      </c>
      <c r="I199" s="30"/>
      <c r="J199" s="25" t="s">
        <v>376</v>
      </c>
      <c r="K199" s="25">
        <v>5</v>
      </c>
      <c r="L199" s="25">
        <v>7</v>
      </c>
    </row>
    <row r="200" spans="1:12" ht="18" hidden="1" customHeight="1" outlineLevel="2" x14ac:dyDescent="0.2">
      <c r="A200" s="18"/>
      <c r="B200" s="18"/>
      <c r="C200" s="18"/>
      <c r="D200" s="19" t="s">
        <v>351</v>
      </c>
      <c r="E200" s="19" t="s">
        <v>623</v>
      </c>
      <c r="F200" s="19" t="s">
        <v>633</v>
      </c>
      <c r="G200" s="36" t="s">
        <v>634</v>
      </c>
      <c r="H200" s="19" t="s">
        <v>204</v>
      </c>
      <c r="I200" s="30"/>
      <c r="J200" s="25" t="s">
        <v>376</v>
      </c>
    </row>
    <row r="201" spans="1:12" ht="18" hidden="1" customHeight="1" outlineLevel="2" x14ac:dyDescent="0.2">
      <c r="A201" s="18"/>
      <c r="B201" s="18"/>
      <c r="C201" s="18"/>
      <c r="D201" s="19" t="s">
        <v>351</v>
      </c>
      <c r="E201" s="32" t="s">
        <v>615</v>
      </c>
      <c r="F201" s="19" t="s">
        <v>256</v>
      </c>
      <c r="G201" s="36" t="s">
        <v>620</v>
      </c>
      <c r="H201" s="19" t="s">
        <v>204</v>
      </c>
      <c r="I201" s="30" t="s">
        <v>621</v>
      </c>
      <c r="J201" s="25" t="s">
        <v>375</v>
      </c>
      <c r="K201" s="25">
        <v>5</v>
      </c>
      <c r="L201" s="25">
        <v>7</v>
      </c>
    </row>
    <row r="202" spans="1:12" ht="18" hidden="1" customHeight="1" outlineLevel="2" x14ac:dyDescent="0.2">
      <c r="A202" s="18"/>
      <c r="B202" s="18"/>
      <c r="C202" s="18"/>
      <c r="D202" s="19" t="s">
        <v>351</v>
      </c>
      <c r="E202" s="32" t="s">
        <v>623</v>
      </c>
      <c r="F202" s="19" t="s">
        <v>631</v>
      </c>
      <c r="G202" s="36" t="s">
        <v>632</v>
      </c>
      <c r="H202" s="19" t="s">
        <v>204</v>
      </c>
      <c r="I202" s="30" t="s">
        <v>618</v>
      </c>
      <c r="J202" s="25" t="s">
        <v>673</v>
      </c>
      <c r="K202" s="25">
        <v>10</v>
      </c>
      <c r="L202" s="25">
        <v>15</v>
      </c>
    </row>
    <row r="203" spans="1:12" ht="18" hidden="1" customHeight="1" outlineLevel="2" x14ac:dyDescent="0.2">
      <c r="A203" s="18"/>
      <c r="B203" s="18"/>
      <c r="C203" s="18"/>
      <c r="D203" s="19" t="s">
        <v>351</v>
      </c>
      <c r="E203" s="32" t="s">
        <v>615</v>
      </c>
      <c r="F203" s="19" t="s">
        <v>322</v>
      </c>
      <c r="G203" s="36" t="s">
        <v>619</v>
      </c>
      <c r="H203" s="19" t="s">
        <v>204</v>
      </c>
      <c r="I203" s="30" t="s">
        <v>618</v>
      </c>
      <c r="J203" s="25" t="s">
        <v>375</v>
      </c>
      <c r="K203" s="25">
        <v>10</v>
      </c>
      <c r="L203" s="25">
        <v>15</v>
      </c>
    </row>
    <row r="204" spans="1:12" ht="18" hidden="1" customHeight="1" outlineLevel="2" x14ac:dyDescent="0.2">
      <c r="A204" s="18"/>
      <c r="B204" s="18"/>
      <c r="C204" s="18"/>
      <c r="D204" s="19" t="s">
        <v>351</v>
      </c>
      <c r="E204" s="19" t="s">
        <v>623</v>
      </c>
      <c r="F204" s="19" t="s">
        <v>629</v>
      </c>
      <c r="G204" s="36" t="s">
        <v>630</v>
      </c>
      <c r="H204" s="19" t="s">
        <v>204</v>
      </c>
      <c r="I204" s="30"/>
      <c r="J204" s="25" t="s">
        <v>673</v>
      </c>
    </row>
    <row r="205" spans="1:12" ht="18" hidden="1" customHeight="1" outlineLevel="2" x14ac:dyDescent="0.2">
      <c r="A205" s="18"/>
      <c r="B205" s="18"/>
      <c r="C205" s="18"/>
      <c r="D205" s="19" t="s">
        <v>351</v>
      </c>
      <c r="E205" s="32" t="s">
        <v>615</v>
      </c>
      <c r="F205" s="19" t="s">
        <v>616</v>
      </c>
      <c r="G205" s="36" t="s">
        <v>617</v>
      </c>
      <c r="H205" s="19" t="s">
        <v>204</v>
      </c>
      <c r="I205" s="30" t="s">
        <v>618</v>
      </c>
      <c r="J205" s="25" t="s">
        <v>375</v>
      </c>
      <c r="K205" s="25">
        <v>5</v>
      </c>
      <c r="L205" s="25">
        <v>7</v>
      </c>
    </row>
    <row r="206" spans="1:12" ht="18" hidden="1" customHeight="1" outlineLevel="2" x14ac:dyDescent="0.2">
      <c r="A206" s="18"/>
      <c r="B206" s="18"/>
      <c r="C206" s="18"/>
      <c r="D206" s="19" t="s">
        <v>223</v>
      </c>
      <c r="E206" s="19" t="s">
        <v>623</v>
      </c>
      <c r="F206" s="19" t="s">
        <v>624</v>
      </c>
      <c r="G206" s="36" t="s">
        <v>625</v>
      </c>
      <c r="H206" s="19" t="s">
        <v>204</v>
      </c>
      <c r="I206" s="30" t="s">
        <v>626</v>
      </c>
      <c r="J206" s="25" t="s">
        <v>375</v>
      </c>
    </row>
    <row r="207" spans="1:12" ht="18" hidden="1" customHeight="1" outlineLevel="2" x14ac:dyDescent="0.2">
      <c r="A207" s="18"/>
      <c r="B207" s="18"/>
      <c r="C207" s="18"/>
      <c r="D207" s="19" t="s">
        <v>223</v>
      </c>
      <c r="E207" s="19" t="s">
        <v>623</v>
      </c>
      <c r="F207" s="19" t="s">
        <v>627</v>
      </c>
      <c r="G207" s="36" t="s">
        <v>628</v>
      </c>
      <c r="H207" s="19" t="s">
        <v>204</v>
      </c>
      <c r="I207" s="30" t="s">
        <v>626</v>
      </c>
      <c r="J207" s="25" t="s">
        <v>375</v>
      </c>
    </row>
    <row r="208" spans="1:12" ht="18" hidden="1" customHeight="1" outlineLevel="2" x14ac:dyDescent="0.2">
      <c r="A208" s="18"/>
      <c r="B208" s="18"/>
      <c r="C208" s="18"/>
      <c r="D208" s="19" t="s">
        <v>351</v>
      </c>
      <c r="E208" s="32" t="s">
        <v>636</v>
      </c>
      <c r="F208" s="19" t="s">
        <v>637</v>
      </c>
      <c r="G208" s="36" t="s">
        <v>638</v>
      </c>
      <c r="H208" s="19" t="s">
        <v>204</v>
      </c>
      <c r="I208" s="30" t="s">
        <v>672</v>
      </c>
      <c r="J208" s="25" t="s">
        <v>405</v>
      </c>
      <c r="K208" s="25">
        <v>50</v>
      </c>
      <c r="L208" s="25">
        <v>65</v>
      </c>
    </row>
    <row r="209" spans="1:12" ht="18" hidden="1" customHeight="1" outlineLevel="2" x14ac:dyDescent="0.2">
      <c r="A209" s="18"/>
      <c r="B209" s="18"/>
      <c r="C209" s="18"/>
      <c r="D209" s="19" t="s">
        <v>223</v>
      </c>
      <c r="E209" s="19" t="s">
        <v>636</v>
      </c>
      <c r="F209" s="19" t="s">
        <v>639</v>
      </c>
      <c r="G209" s="36" t="s">
        <v>640</v>
      </c>
      <c r="H209" s="19" t="s">
        <v>204</v>
      </c>
      <c r="I209" s="30" t="s">
        <v>641</v>
      </c>
    </row>
    <row r="210" spans="1:12" ht="18" hidden="1" customHeight="1" outlineLevel="2" x14ac:dyDescent="0.2">
      <c r="A210" s="18"/>
      <c r="B210" s="18"/>
      <c r="C210" s="18"/>
      <c r="D210" s="19" t="s">
        <v>223</v>
      </c>
      <c r="E210" s="32" t="s">
        <v>642</v>
      </c>
      <c r="F210" s="19" t="s">
        <v>643</v>
      </c>
      <c r="G210" s="36" t="s">
        <v>644</v>
      </c>
      <c r="H210" s="19" t="s">
        <v>204</v>
      </c>
      <c r="I210" s="12"/>
      <c r="K210" s="25">
        <v>2</v>
      </c>
      <c r="L210" s="25">
        <v>3</v>
      </c>
    </row>
    <row r="211" spans="1:12" ht="18" hidden="1" customHeight="1" outlineLevel="2" x14ac:dyDescent="0.2">
      <c r="A211" s="18"/>
      <c r="B211" s="18"/>
      <c r="C211" s="18"/>
      <c r="D211" s="19" t="s">
        <v>223</v>
      </c>
      <c r="E211" s="32" t="s">
        <v>642</v>
      </c>
      <c r="F211" s="19" t="s">
        <v>645</v>
      </c>
      <c r="G211" s="36" t="s">
        <v>646</v>
      </c>
      <c r="H211" s="19" t="s">
        <v>204</v>
      </c>
      <c r="I211" s="12"/>
      <c r="K211" s="25">
        <v>2</v>
      </c>
      <c r="L211" s="25">
        <v>3</v>
      </c>
    </row>
    <row r="212" spans="1:12" ht="18" hidden="1" customHeight="1" outlineLevel="2" x14ac:dyDescent="0.2">
      <c r="A212" s="18"/>
      <c r="B212" s="18"/>
      <c r="C212" s="18"/>
      <c r="D212" s="19" t="s">
        <v>223</v>
      </c>
      <c r="E212" s="32" t="s">
        <v>642</v>
      </c>
      <c r="F212" s="19" t="s">
        <v>647</v>
      </c>
      <c r="G212" s="36" t="s">
        <v>648</v>
      </c>
      <c r="H212" s="19" t="s">
        <v>204</v>
      </c>
      <c r="I212" s="12"/>
      <c r="K212" s="25">
        <v>2</v>
      </c>
      <c r="L212" s="25">
        <v>3</v>
      </c>
    </row>
    <row r="213" spans="1:12" ht="18" hidden="1" customHeight="1" outlineLevel="2" x14ac:dyDescent="0.2">
      <c r="A213" s="18"/>
      <c r="B213" s="18"/>
      <c r="C213" s="18"/>
      <c r="D213" s="19" t="s">
        <v>351</v>
      </c>
      <c r="E213" s="32" t="s">
        <v>642</v>
      </c>
      <c r="F213" s="19" t="s">
        <v>649</v>
      </c>
      <c r="G213" s="36" t="s">
        <v>650</v>
      </c>
      <c r="H213" s="19" t="s">
        <v>204</v>
      </c>
      <c r="I213" s="12"/>
      <c r="J213" s="25" t="s">
        <v>375</v>
      </c>
      <c r="K213" s="25">
        <v>4</v>
      </c>
      <c r="L213" s="25">
        <v>6</v>
      </c>
    </row>
    <row r="214" spans="1:12" ht="18" hidden="1" customHeight="1" outlineLevel="2" x14ac:dyDescent="0.2">
      <c r="A214" s="18"/>
      <c r="B214" s="18"/>
      <c r="C214" s="18"/>
      <c r="D214" s="19" t="s">
        <v>351</v>
      </c>
      <c r="E214" s="32" t="s">
        <v>642</v>
      </c>
      <c r="F214" s="19" t="s">
        <v>651</v>
      </c>
      <c r="G214" s="36" t="s">
        <v>652</v>
      </c>
      <c r="H214" s="19" t="s">
        <v>204</v>
      </c>
      <c r="I214" s="12"/>
      <c r="J214" s="25" t="s">
        <v>375</v>
      </c>
      <c r="K214" s="25">
        <v>2</v>
      </c>
      <c r="L214" s="25">
        <v>3</v>
      </c>
    </row>
    <row r="215" spans="1:12" ht="18" hidden="1" customHeight="1" outlineLevel="2" x14ac:dyDescent="0.2">
      <c r="A215" s="18"/>
      <c r="B215" s="18"/>
      <c r="C215" s="18"/>
      <c r="D215" s="19" t="s">
        <v>351</v>
      </c>
      <c r="E215" s="32" t="s">
        <v>642</v>
      </c>
      <c r="F215" s="19" t="s">
        <v>653</v>
      </c>
      <c r="G215" s="36" t="s">
        <v>654</v>
      </c>
      <c r="H215" s="19" t="s">
        <v>204</v>
      </c>
      <c r="I215" s="12"/>
      <c r="J215" s="25" t="s">
        <v>375</v>
      </c>
      <c r="K215" s="25">
        <v>4</v>
      </c>
      <c r="L215" s="25">
        <v>6</v>
      </c>
    </row>
    <row r="216" spans="1:12" ht="18" hidden="1" customHeight="1" outlineLevel="2" x14ac:dyDescent="0.2">
      <c r="A216" s="18"/>
      <c r="B216" s="18"/>
      <c r="C216" s="18"/>
      <c r="D216" s="19" t="s">
        <v>351</v>
      </c>
      <c r="E216" s="32" t="s">
        <v>642</v>
      </c>
      <c r="F216" s="19" t="s">
        <v>655</v>
      </c>
      <c r="G216" s="36" t="s">
        <v>656</v>
      </c>
      <c r="H216" s="19" t="s">
        <v>204</v>
      </c>
      <c r="I216" s="12"/>
      <c r="J216" s="25" t="s">
        <v>375</v>
      </c>
      <c r="K216" s="25">
        <v>4</v>
      </c>
      <c r="L216" s="25">
        <v>6</v>
      </c>
    </row>
    <row r="217" spans="1:12" ht="18" hidden="1" customHeight="1" outlineLevel="2" x14ac:dyDescent="0.2">
      <c r="A217" s="18"/>
      <c r="B217" s="18"/>
      <c r="C217" s="18"/>
      <c r="D217" s="19" t="s">
        <v>351</v>
      </c>
      <c r="E217" s="32" t="s">
        <v>642</v>
      </c>
      <c r="F217" s="19" t="s">
        <v>657</v>
      </c>
      <c r="G217" s="36" t="s">
        <v>648</v>
      </c>
      <c r="H217" s="19" t="s">
        <v>204</v>
      </c>
      <c r="I217" s="12"/>
      <c r="J217" s="25" t="s">
        <v>375</v>
      </c>
      <c r="K217" s="25">
        <v>1</v>
      </c>
      <c r="L217" s="25">
        <v>2</v>
      </c>
    </row>
    <row r="218" spans="1:12" ht="18" hidden="1" customHeight="1" outlineLevel="2" x14ac:dyDescent="0.2">
      <c r="A218" s="18"/>
      <c r="B218" s="18"/>
      <c r="C218" s="18"/>
      <c r="D218" s="19" t="s">
        <v>351</v>
      </c>
      <c r="E218" s="32" t="s">
        <v>658</v>
      </c>
      <c r="F218" s="19" t="s">
        <v>659</v>
      </c>
      <c r="G218" s="36" t="s">
        <v>660</v>
      </c>
      <c r="H218" s="19" t="s">
        <v>204</v>
      </c>
      <c r="I218" s="12"/>
      <c r="J218" s="25" t="s">
        <v>375</v>
      </c>
      <c r="K218" s="25">
        <v>4</v>
      </c>
      <c r="L218" s="25">
        <v>6</v>
      </c>
    </row>
    <row r="219" spans="1:12" ht="18" hidden="1" customHeight="1" outlineLevel="2" x14ac:dyDescent="0.2">
      <c r="A219" s="18"/>
      <c r="B219" s="18"/>
      <c r="C219" s="18"/>
      <c r="D219" s="19" t="s">
        <v>351</v>
      </c>
      <c r="E219" s="32" t="s">
        <v>661</v>
      </c>
      <c r="F219" s="19"/>
      <c r="G219" s="36" t="s">
        <v>662</v>
      </c>
      <c r="H219" s="19" t="s">
        <v>204</v>
      </c>
      <c r="I219" s="12"/>
      <c r="J219" s="25" t="s">
        <v>675</v>
      </c>
      <c r="K219" s="25">
        <v>4</v>
      </c>
      <c r="L219" s="25">
        <v>6</v>
      </c>
    </row>
    <row r="220" spans="1:12" ht="18" hidden="1" customHeight="1" outlineLevel="2" x14ac:dyDescent="0.2">
      <c r="A220" s="18"/>
      <c r="B220" s="18"/>
      <c r="C220" s="18"/>
      <c r="D220" s="19" t="s">
        <v>351</v>
      </c>
      <c r="E220" s="32" t="s">
        <v>663</v>
      </c>
      <c r="F220" s="19" t="s">
        <v>3694</v>
      </c>
      <c r="G220" s="36" t="s">
        <v>664</v>
      </c>
      <c r="H220" s="19" t="s">
        <v>665</v>
      </c>
      <c r="I220" s="12" t="s">
        <v>666</v>
      </c>
      <c r="J220" s="25" t="s">
        <v>673</v>
      </c>
      <c r="K220" s="25">
        <v>20</v>
      </c>
      <c r="L220" s="25">
        <v>30</v>
      </c>
    </row>
    <row r="221" spans="1:12" ht="18" hidden="1" customHeight="1" outlineLevel="2" x14ac:dyDescent="0.2">
      <c r="A221" s="18"/>
      <c r="B221" s="18"/>
      <c r="C221" s="18"/>
      <c r="D221" s="19" t="s">
        <v>351</v>
      </c>
      <c r="E221" s="19" t="s">
        <v>663</v>
      </c>
      <c r="F221" s="19" t="s">
        <v>3695</v>
      </c>
      <c r="G221" s="36" t="s">
        <v>670</v>
      </c>
      <c r="H221" s="19" t="s">
        <v>665</v>
      </c>
      <c r="I221" s="12" t="s">
        <v>671</v>
      </c>
      <c r="J221" s="25" t="s">
        <v>673</v>
      </c>
    </row>
    <row r="222" spans="1:12" ht="18" hidden="1" customHeight="1" outlineLevel="2" x14ac:dyDescent="0.2">
      <c r="A222" s="18"/>
      <c r="B222" s="18"/>
      <c r="C222" s="18"/>
      <c r="D222" s="19" t="s">
        <v>351</v>
      </c>
      <c r="E222" s="32" t="s">
        <v>667</v>
      </c>
      <c r="F222" s="19" t="s">
        <v>668</v>
      </c>
      <c r="G222" s="36" t="s">
        <v>669</v>
      </c>
      <c r="H222" s="19" t="s">
        <v>204</v>
      </c>
      <c r="I222" s="12"/>
      <c r="K222" s="25">
        <v>3</v>
      </c>
      <c r="L222" s="25">
        <v>5</v>
      </c>
    </row>
    <row r="223" spans="1:12" ht="18" hidden="1" customHeight="1" outlineLevel="2" x14ac:dyDescent="0.2">
      <c r="A223" s="18"/>
      <c r="B223" s="18"/>
      <c r="C223" s="18"/>
      <c r="D223" s="19"/>
      <c r="E223" s="19"/>
      <c r="F223" s="19"/>
      <c r="G223" s="36"/>
      <c r="H223" s="19"/>
      <c r="I223" s="23"/>
    </row>
    <row r="224" spans="1:12" ht="18" hidden="1" customHeight="1" outlineLevel="1" collapsed="1" x14ac:dyDescent="0.2">
      <c r="A224" s="119" t="s">
        <v>49</v>
      </c>
      <c r="B224" s="120"/>
      <c r="C224" s="120"/>
      <c r="D224" s="120"/>
      <c r="E224" s="120"/>
      <c r="F224" s="120"/>
      <c r="G224" s="120"/>
      <c r="H224" s="120"/>
      <c r="I224" s="120"/>
      <c r="J224" s="120"/>
      <c r="K224" s="120"/>
      <c r="L224" s="160"/>
    </row>
    <row r="225" spans="1:12" ht="18" hidden="1" customHeight="1" outlineLevel="2" x14ac:dyDescent="0.2">
      <c r="A225" s="18"/>
      <c r="B225" s="18"/>
      <c r="C225" s="18"/>
      <c r="D225" s="19" t="s">
        <v>223</v>
      </c>
      <c r="E225" s="19" t="s">
        <v>676</v>
      </c>
      <c r="F225" s="19" t="s">
        <v>677</v>
      </c>
      <c r="G225" s="36" t="s">
        <v>678</v>
      </c>
      <c r="H225" s="19" t="s">
        <v>679</v>
      </c>
      <c r="I225" s="23" t="s">
        <v>680</v>
      </c>
      <c r="J225" s="25" t="s">
        <v>3066</v>
      </c>
    </row>
    <row r="226" spans="1:12" ht="18" hidden="1" customHeight="1" outlineLevel="2" x14ac:dyDescent="0.2">
      <c r="A226" s="18"/>
      <c r="B226" s="18"/>
      <c r="C226" s="18"/>
      <c r="D226" s="19" t="s">
        <v>3121</v>
      </c>
      <c r="E226" s="19" t="s">
        <v>676</v>
      </c>
      <c r="F226" s="19" t="s">
        <v>681</v>
      </c>
      <c r="G226" s="36" t="s">
        <v>678</v>
      </c>
      <c r="H226" s="19" t="s">
        <v>679</v>
      </c>
      <c r="I226" s="23" t="s">
        <v>680</v>
      </c>
      <c r="J226" s="25" t="s">
        <v>3066</v>
      </c>
    </row>
    <row r="227" spans="1:12" ht="18" hidden="1" customHeight="1" outlineLevel="2" x14ac:dyDescent="0.2">
      <c r="A227" s="18"/>
      <c r="B227" s="18"/>
      <c r="C227" s="18"/>
      <c r="D227" s="19" t="s">
        <v>3122</v>
      </c>
      <c r="E227" s="19" t="s">
        <v>682</v>
      </c>
      <c r="F227" s="19" t="s">
        <v>681</v>
      </c>
      <c r="G227" s="36" t="s">
        <v>678</v>
      </c>
      <c r="H227" s="19" t="s">
        <v>679</v>
      </c>
      <c r="I227" s="23" t="s">
        <v>683</v>
      </c>
      <c r="J227" s="25" t="s">
        <v>3067</v>
      </c>
    </row>
    <row r="228" spans="1:12" ht="18" hidden="1" customHeight="1" outlineLevel="2" x14ac:dyDescent="0.2">
      <c r="A228" s="18"/>
      <c r="B228" s="18"/>
      <c r="C228" s="18"/>
      <c r="D228" s="19" t="s">
        <v>3123</v>
      </c>
      <c r="E228" s="19" t="s">
        <v>676</v>
      </c>
      <c r="F228" s="19" t="s">
        <v>684</v>
      </c>
      <c r="G228" s="36" t="s">
        <v>685</v>
      </c>
      <c r="H228" s="19" t="s">
        <v>679</v>
      </c>
      <c r="I228" s="23" t="s">
        <v>686</v>
      </c>
      <c r="J228" s="25" t="s">
        <v>3068</v>
      </c>
    </row>
    <row r="229" spans="1:12" ht="18" hidden="1" customHeight="1" outlineLevel="2" x14ac:dyDescent="0.2">
      <c r="A229" s="18"/>
      <c r="B229" s="18"/>
      <c r="C229" s="18"/>
      <c r="D229" s="19" t="s">
        <v>3124</v>
      </c>
      <c r="E229" s="19" t="s">
        <v>682</v>
      </c>
      <c r="F229" s="19" t="s">
        <v>684</v>
      </c>
      <c r="G229" s="36" t="s">
        <v>685</v>
      </c>
      <c r="H229" s="19" t="s">
        <v>679</v>
      </c>
      <c r="I229" s="23" t="s">
        <v>683</v>
      </c>
      <c r="J229" s="25" t="s">
        <v>3067</v>
      </c>
    </row>
    <row r="230" spans="1:12" ht="18" hidden="1" customHeight="1" outlineLevel="2" x14ac:dyDescent="0.2">
      <c r="A230" s="18"/>
      <c r="B230" s="18"/>
      <c r="C230" s="18"/>
      <c r="D230" s="19" t="s">
        <v>223</v>
      </c>
      <c r="E230" s="19" t="s">
        <v>676</v>
      </c>
      <c r="F230" s="19" t="s">
        <v>687</v>
      </c>
      <c r="G230" s="36" t="s">
        <v>688</v>
      </c>
      <c r="H230" s="19" t="s">
        <v>679</v>
      </c>
      <c r="I230" s="23" t="s">
        <v>689</v>
      </c>
    </row>
    <row r="231" spans="1:12" ht="18" hidden="1" customHeight="1" outlineLevel="2" x14ac:dyDescent="0.2">
      <c r="A231" s="18"/>
      <c r="B231" s="18"/>
      <c r="C231" s="18"/>
      <c r="D231" s="19" t="s">
        <v>223</v>
      </c>
      <c r="E231" s="19" t="s">
        <v>682</v>
      </c>
      <c r="F231" s="19" t="s">
        <v>687</v>
      </c>
      <c r="G231" s="36" t="s">
        <v>688</v>
      </c>
      <c r="H231" s="19" t="s">
        <v>679</v>
      </c>
      <c r="I231" s="23"/>
    </row>
    <row r="232" spans="1:12" ht="18" hidden="1" customHeight="1" outlineLevel="2" x14ac:dyDescent="0.2">
      <c r="A232" s="18"/>
      <c r="B232" s="18"/>
      <c r="C232" s="18"/>
      <c r="D232" s="19" t="s">
        <v>223</v>
      </c>
      <c r="E232" s="19" t="s">
        <v>676</v>
      </c>
      <c r="F232" s="19" t="s">
        <v>690</v>
      </c>
      <c r="G232" s="36" t="s">
        <v>688</v>
      </c>
      <c r="H232" s="19" t="s">
        <v>679</v>
      </c>
      <c r="I232" s="23" t="s">
        <v>691</v>
      </c>
    </row>
    <row r="233" spans="1:12" ht="18" hidden="1" customHeight="1" outlineLevel="2" x14ac:dyDescent="0.2">
      <c r="A233" s="18"/>
      <c r="B233" s="18"/>
      <c r="C233" s="18"/>
      <c r="D233" s="19" t="s">
        <v>223</v>
      </c>
      <c r="E233" s="19" t="s">
        <v>682</v>
      </c>
      <c r="F233" s="19" t="s">
        <v>690</v>
      </c>
      <c r="G233" s="36" t="s">
        <v>688</v>
      </c>
      <c r="H233" s="19" t="s">
        <v>679</v>
      </c>
      <c r="I233" s="23"/>
    </row>
    <row r="234" spans="1:12" ht="18" hidden="1" customHeight="1" outlineLevel="2" x14ac:dyDescent="0.2">
      <c r="A234" s="18"/>
      <c r="B234" s="18"/>
      <c r="C234" s="18"/>
      <c r="D234" s="19"/>
      <c r="E234" s="19"/>
      <c r="F234" s="19"/>
      <c r="G234" s="36"/>
      <c r="H234" s="19"/>
      <c r="I234" s="23"/>
    </row>
    <row r="235" spans="1:12" ht="18" hidden="1" customHeight="1" outlineLevel="1" collapsed="1" x14ac:dyDescent="0.2">
      <c r="A235" s="119" t="s">
        <v>3692</v>
      </c>
      <c r="B235" s="120"/>
      <c r="C235" s="120"/>
      <c r="D235" s="120"/>
      <c r="E235" s="120"/>
      <c r="F235" s="120"/>
      <c r="G235" s="120"/>
      <c r="H235" s="120"/>
      <c r="I235" s="120"/>
      <c r="J235" s="120"/>
      <c r="K235" s="120"/>
      <c r="L235" s="160"/>
    </row>
    <row r="236" spans="1:12" ht="18" hidden="1" customHeight="1" outlineLevel="2" x14ac:dyDescent="0.2">
      <c r="A236" s="18"/>
      <c r="B236" s="18"/>
      <c r="C236" s="18"/>
      <c r="D236" s="19" t="s">
        <v>3125</v>
      </c>
      <c r="E236" s="19" t="s">
        <v>692</v>
      </c>
      <c r="F236" s="19" t="s">
        <v>693</v>
      </c>
      <c r="G236" s="36" t="s">
        <v>694</v>
      </c>
      <c r="H236" s="19" t="s">
        <v>695</v>
      </c>
      <c r="I236" s="23" t="s">
        <v>3691</v>
      </c>
      <c r="J236" s="25" t="s">
        <v>3069</v>
      </c>
    </row>
    <row r="237" spans="1:12" ht="18" hidden="1" customHeight="1" outlineLevel="2" x14ac:dyDescent="0.2">
      <c r="A237" s="18"/>
      <c r="B237" s="18"/>
      <c r="C237" s="18"/>
      <c r="D237" s="19" t="s">
        <v>223</v>
      </c>
      <c r="E237" s="19" t="s">
        <v>692</v>
      </c>
      <c r="F237" s="19" t="s">
        <v>696</v>
      </c>
      <c r="G237" s="36" t="s">
        <v>697</v>
      </c>
      <c r="H237" s="19" t="s">
        <v>695</v>
      </c>
      <c r="I237" s="23" t="s">
        <v>3691</v>
      </c>
      <c r="J237" s="25" t="s">
        <v>3070</v>
      </c>
    </row>
    <row r="238" spans="1:12" ht="18" hidden="1" customHeight="1" outlineLevel="2" x14ac:dyDescent="0.2">
      <c r="A238" s="18"/>
      <c r="B238" s="18"/>
      <c r="C238" s="18"/>
      <c r="D238" s="19" t="s">
        <v>3126</v>
      </c>
      <c r="E238" s="19" t="s">
        <v>698</v>
      </c>
      <c r="F238" s="19" t="s">
        <v>693</v>
      </c>
      <c r="G238" s="36" t="s">
        <v>694</v>
      </c>
      <c r="H238" s="19" t="s">
        <v>695</v>
      </c>
      <c r="I238" s="23" t="s">
        <v>3691</v>
      </c>
      <c r="J238" s="25" t="s">
        <v>3071</v>
      </c>
    </row>
    <row r="239" spans="1:12" ht="18" hidden="1" customHeight="1" outlineLevel="2" x14ac:dyDescent="0.2">
      <c r="A239" s="18"/>
      <c r="B239" s="18"/>
      <c r="C239" s="18"/>
      <c r="D239" s="19" t="s">
        <v>223</v>
      </c>
      <c r="E239" s="19" t="s">
        <v>698</v>
      </c>
      <c r="F239" s="19" t="s">
        <v>696</v>
      </c>
      <c r="G239" s="36" t="s">
        <v>697</v>
      </c>
      <c r="H239" s="19" t="s">
        <v>695</v>
      </c>
      <c r="I239" s="23" t="s">
        <v>3691</v>
      </c>
      <c r="J239" s="25" t="s">
        <v>3072</v>
      </c>
    </row>
    <row r="240" spans="1:12" ht="18" hidden="1" customHeight="1" outlineLevel="2" x14ac:dyDescent="0.2">
      <c r="A240" s="18"/>
      <c r="B240" s="18"/>
      <c r="C240" s="18"/>
      <c r="D240" s="19" t="s">
        <v>3127</v>
      </c>
      <c r="E240" s="19" t="s">
        <v>699</v>
      </c>
      <c r="F240" s="19" t="s">
        <v>693</v>
      </c>
      <c r="G240" s="36" t="s">
        <v>694</v>
      </c>
      <c r="H240" s="19" t="s">
        <v>695</v>
      </c>
      <c r="I240" s="23"/>
      <c r="J240" s="25" t="s">
        <v>3073</v>
      </c>
    </row>
    <row r="241" spans="1:10" ht="18" hidden="1" customHeight="1" outlineLevel="2" x14ac:dyDescent="0.2">
      <c r="A241" s="18"/>
      <c r="B241" s="18"/>
      <c r="C241" s="18"/>
      <c r="D241" s="19" t="s">
        <v>223</v>
      </c>
      <c r="E241" s="19" t="s">
        <v>699</v>
      </c>
      <c r="F241" s="19" t="s">
        <v>696</v>
      </c>
      <c r="G241" s="36" t="s">
        <v>697</v>
      </c>
      <c r="H241" s="19" t="s">
        <v>695</v>
      </c>
      <c r="I241" s="23"/>
      <c r="J241" s="25" t="s">
        <v>3074</v>
      </c>
    </row>
    <row r="242" spans="1:10" ht="18" hidden="1" customHeight="1" outlineLevel="2" x14ac:dyDescent="0.2">
      <c r="A242" s="18"/>
      <c r="B242" s="18"/>
      <c r="C242" s="18"/>
      <c r="D242" s="19" t="s">
        <v>3696</v>
      </c>
      <c r="E242" s="19" t="s">
        <v>1264</v>
      </c>
      <c r="F242" s="19"/>
      <c r="G242" s="36" t="s">
        <v>3697</v>
      </c>
      <c r="H242" s="19" t="s">
        <v>1267</v>
      </c>
      <c r="I242" s="23"/>
    </row>
    <row r="243" spans="1:10" ht="18" hidden="1" customHeight="1" outlineLevel="2" x14ac:dyDescent="0.2">
      <c r="A243" s="18"/>
      <c r="B243" s="18"/>
      <c r="C243" s="18"/>
      <c r="D243" s="19" t="s">
        <v>3240</v>
      </c>
      <c r="E243" s="19" t="s">
        <v>1264</v>
      </c>
      <c r="F243" s="19" t="s">
        <v>1265</v>
      </c>
      <c r="G243" s="36" t="s">
        <v>1266</v>
      </c>
      <c r="H243" s="19" t="s">
        <v>1267</v>
      </c>
      <c r="I243" s="23" t="s">
        <v>1268</v>
      </c>
      <c r="J243" s="25" t="s">
        <v>3081</v>
      </c>
    </row>
    <row r="244" spans="1:10" ht="18" hidden="1" customHeight="1" outlineLevel="2" x14ac:dyDescent="0.2">
      <c r="A244" s="18"/>
      <c r="B244" s="18"/>
      <c r="C244" s="18"/>
      <c r="D244" s="19" t="s">
        <v>3240</v>
      </c>
      <c r="E244" s="19" t="s">
        <v>1264</v>
      </c>
      <c r="F244" s="19" t="s">
        <v>1269</v>
      </c>
      <c r="G244" s="36" t="s">
        <v>1266</v>
      </c>
      <c r="H244" s="19" t="s">
        <v>1267</v>
      </c>
      <c r="I244" s="23"/>
      <c r="J244" s="25" t="s">
        <v>3082</v>
      </c>
    </row>
    <row r="245" spans="1:10" ht="18" hidden="1" customHeight="1" outlineLevel="2" x14ac:dyDescent="0.2">
      <c r="A245" s="18"/>
      <c r="B245" s="18"/>
      <c r="C245" s="18"/>
      <c r="D245" s="19" t="s">
        <v>3241</v>
      </c>
      <c r="E245" s="19" t="s">
        <v>1264</v>
      </c>
      <c r="F245" s="19" t="s">
        <v>1265</v>
      </c>
      <c r="G245" s="36" t="s">
        <v>1270</v>
      </c>
      <c r="H245" s="19" t="s">
        <v>1267</v>
      </c>
      <c r="I245" s="23" t="s">
        <v>1268</v>
      </c>
      <c r="J245" s="25" t="s">
        <v>3081</v>
      </c>
    </row>
    <row r="246" spans="1:10" ht="18" hidden="1" customHeight="1" outlineLevel="2" x14ac:dyDescent="0.2">
      <c r="A246" s="18"/>
      <c r="B246" s="18"/>
      <c r="C246" s="18"/>
      <c r="D246" s="19" t="s">
        <v>3241</v>
      </c>
      <c r="E246" s="19" t="s">
        <v>1264</v>
      </c>
      <c r="F246" s="19" t="s">
        <v>1269</v>
      </c>
      <c r="G246" s="36" t="s">
        <v>1270</v>
      </c>
      <c r="H246" s="19" t="s">
        <v>1267</v>
      </c>
      <c r="I246" s="23"/>
      <c r="J246" s="25" t="s">
        <v>3083</v>
      </c>
    </row>
    <row r="247" spans="1:10" ht="18" hidden="1" customHeight="1" outlineLevel="2" x14ac:dyDescent="0.2">
      <c r="A247" s="18"/>
      <c r="B247" s="18"/>
      <c r="C247" s="18"/>
      <c r="D247" s="19" t="s">
        <v>3242</v>
      </c>
      <c r="E247" s="19" t="s">
        <v>1264</v>
      </c>
      <c r="F247" s="19" t="s">
        <v>1271</v>
      </c>
      <c r="G247" s="36" t="s">
        <v>1272</v>
      </c>
      <c r="H247" s="19" t="s">
        <v>1267</v>
      </c>
      <c r="I247" s="23"/>
      <c r="J247" s="25" t="s">
        <v>232</v>
      </c>
    </row>
    <row r="248" spans="1:10" ht="18" hidden="1" customHeight="1" outlineLevel="2" x14ac:dyDescent="0.2">
      <c r="A248" s="18"/>
      <c r="B248" s="18"/>
      <c r="C248" s="18"/>
      <c r="D248" s="19" t="s">
        <v>3242</v>
      </c>
      <c r="E248" s="19" t="s">
        <v>1264</v>
      </c>
      <c r="F248" s="19" t="s">
        <v>1269</v>
      </c>
      <c r="G248" s="36" t="s">
        <v>1272</v>
      </c>
      <c r="H248" s="19" t="s">
        <v>1267</v>
      </c>
      <c r="I248" s="23"/>
      <c r="J248" s="25" t="s">
        <v>3084</v>
      </c>
    </row>
    <row r="249" spans="1:10" ht="18" hidden="1" customHeight="1" outlineLevel="2" x14ac:dyDescent="0.2">
      <c r="A249" s="18"/>
      <c r="B249" s="18"/>
      <c r="C249" s="18"/>
      <c r="D249" s="19" t="s">
        <v>3243</v>
      </c>
      <c r="E249" s="19" t="s">
        <v>1264</v>
      </c>
      <c r="F249" s="19" t="s">
        <v>1273</v>
      </c>
      <c r="G249" s="36" t="s">
        <v>1274</v>
      </c>
      <c r="H249" s="19" t="s">
        <v>1275</v>
      </c>
      <c r="I249" s="23"/>
    </row>
    <row r="250" spans="1:10" ht="18" hidden="1" customHeight="1" outlineLevel="2" x14ac:dyDescent="0.2">
      <c r="A250" s="18"/>
      <c r="B250" s="18"/>
      <c r="C250" s="18"/>
      <c r="D250" s="19" t="s">
        <v>3244</v>
      </c>
      <c r="E250" s="19" t="s">
        <v>1264</v>
      </c>
      <c r="F250" s="19" t="s">
        <v>1276</v>
      </c>
      <c r="G250" s="36" t="s">
        <v>1277</v>
      </c>
      <c r="H250" s="19" t="s">
        <v>1267</v>
      </c>
      <c r="I250" s="23"/>
    </row>
    <row r="251" spans="1:10" ht="18" hidden="1" customHeight="1" outlineLevel="2" x14ac:dyDescent="0.2">
      <c r="A251" s="18"/>
      <c r="B251" s="18"/>
      <c r="C251" s="18"/>
      <c r="D251" s="19" t="s">
        <v>3245</v>
      </c>
      <c r="E251" s="19" t="s">
        <v>1264</v>
      </c>
      <c r="F251" s="19" t="s">
        <v>1271</v>
      </c>
      <c r="G251" s="36" t="s">
        <v>1278</v>
      </c>
      <c r="H251" s="19" t="s">
        <v>1267</v>
      </c>
      <c r="I251" s="23"/>
      <c r="J251" s="25" t="s">
        <v>232</v>
      </c>
    </row>
    <row r="252" spans="1:10" ht="18" hidden="1" customHeight="1" outlineLevel="2" x14ac:dyDescent="0.2">
      <c r="A252" s="18"/>
      <c r="B252" s="18"/>
      <c r="C252" s="18"/>
      <c r="D252" s="19" t="s">
        <v>3245</v>
      </c>
      <c r="E252" s="19" t="s">
        <v>1264</v>
      </c>
      <c r="F252" s="19" t="s">
        <v>1269</v>
      </c>
      <c r="G252" s="36" t="s">
        <v>1278</v>
      </c>
      <c r="H252" s="19" t="s">
        <v>1267</v>
      </c>
      <c r="I252" s="23"/>
      <c r="J252" s="25" t="s">
        <v>3085</v>
      </c>
    </row>
    <row r="253" spans="1:10" ht="18" hidden="1" customHeight="1" outlineLevel="2" x14ac:dyDescent="0.2">
      <c r="A253" s="18"/>
      <c r="B253" s="18"/>
      <c r="C253" s="18"/>
      <c r="D253" s="19" t="s">
        <v>3246</v>
      </c>
      <c r="E253" s="19" t="s">
        <v>1264</v>
      </c>
      <c r="F253" s="19" t="s">
        <v>1279</v>
      </c>
      <c r="G253" s="36" t="s">
        <v>1280</v>
      </c>
      <c r="H253" s="19" t="s">
        <v>1267</v>
      </c>
      <c r="I253" s="23"/>
    </row>
    <row r="254" spans="1:10" ht="18" hidden="1" customHeight="1" outlineLevel="2" x14ac:dyDescent="0.2">
      <c r="A254" s="18"/>
      <c r="B254" s="18"/>
      <c r="C254" s="18"/>
      <c r="D254" s="19" t="s">
        <v>3246</v>
      </c>
      <c r="E254" s="19" t="s">
        <v>1264</v>
      </c>
      <c r="F254" s="19" t="s">
        <v>1281</v>
      </c>
      <c r="G254" s="36" t="s">
        <v>1280</v>
      </c>
      <c r="H254" s="19" t="s">
        <v>1267</v>
      </c>
      <c r="I254" s="23"/>
    </row>
    <row r="255" spans="1:10" ht="18" hidden="1" customHeight="1" outlineLevel="2" x14ac:dyDescent="0.2">
      <c r="A255" s="18"/>
      <c r="B255" s="18"/>
      <c r="C255" s="18"/>
      <c r="D255" s="19" t="s">
        <v>223</v>
      </c>
      <c r="E255" s="19" t="s">
        <v>1282</v>
      </c>
      <c r="F255" s="19" t="s">
        <v>1271</v>
      </c>
      <c r="G255" s="36" t="s">
        <v>1283</v>
      </c>
      <c r="H255" s="19" t="s">
        <v>1267</v>
      </c>
      <c r="I255" s="23"/>
      <c r="J255" s="25" t="s">
        <v>3086</v>
      </c>
    </row>
    <row r="256" spans="1:10" ht="18" hidden="1" customHeight="1" outlineLevel="2" x14ac:dyDescent="0.2">
      <c r="A256" s="18"/>
      <c r="B256" s="18"/>
      <c r="C256" s="18"/>
      <c r="D256" s="19" t="s">
        <v>223</v>
      </c>
      <c r="E256" s="19" t="s">
        <v>1282</v>
      </c>
      <c r="F256" s="19" t="s">
        <v>1269</v>
      </c>
      <c r="G256" s="36" t="s">
        <v>1284</v>
      </c>
      <c r="H256" s="19" t="s">
        <v>1267</v>
      </c>
      <c r="I256" s="23"/>
      <c r="J256" s="25" t="s">
        <v>3087</v>
      </c>
    </row>
    <row r="257" spans="1:12" ht="18" hidden="1" customHeight="1" outlineLevel="2" x14ac:dyDescent="0.2">
      <c r="A257" s="18"/>
      <c r="B257" s="18"/>
      <c r="C257" s="18"/>
      <c r="D257" s="19"/>
      <c r="E257" s="19"/>
      <c r="F257" s="19"/>
      <c r="G257" s="36"/>
      <c r="H257" s="19"/>
      <c r="I257" s="23"/>
    </row>
    <row r="258" spans="1:12" ht="18" hidden="1" customHeight="1" outlineLevel="1" collapsed="1" x14ac:dyDescent="0.2">
      <c r="A258" s="135" t="s">
        <v>3693</v>
      </c>
      <c r="B258" s="136"/>
      <c r="C258" s="136"/>
      <c r="D258" s="136"/>
      <c r="E258" s="136"/>
      <c r="F258" s="136"/>
      <c r="G258" s="136"/>
      <c r="H258" s="136"/>
      <c r="I258" s="136"/>
      <c r="J258" s="136"/>
      <c r="K258" s="136"/>
      <c r="L258" s="162"/>
    </row>
    <row r="259" spans="1:12" ht="18" hidden="1" customHeight="1" outlineLevel="2" x14ac:dyDescent="0.2">
      <c r="A259" s="18"/>
      <c r="B259" s="18"/>
      <c r="C259" s="18"/>
      <c r="D259" s="19" t="s">
        <v>223</v>
      </c>
      <c r="E259" s="19" t="s">
        <v>1285</v>
      </c>
      <c r="F259" s="19" t="s">
        <v>1286</v>
      </c>
      <c r="G259" s="36" t="s">
        <v>1287</v>
      </c>
      <c r="H259" s="19" t="s">
        <v>1288</v>
      </c>
      <c r="I259" s="23"/>
      <c r="J259" s="25" t="s">
        <v>3088</v>
      </c>
    </row>
    <row r="260" spans="1:12" ht="18" hidden="1" customHeight="1" outlineLevel="2" x14ac:dyDescent="0.2">
      <c r="A260" s="18"/>
      <c r="B260" s="18"/>
      <c r="C260" s="18"/>
      <c r="D260" s="19" t="s">
        <v>223</v>
      </c>
      <c r="E260" s="19" t="s">
        <v>1285</v>
      </c>
      <c r="F260" s="19" t="s">
        <v>1289</v>
      </c>
      <c r="G260" s="36" t="s">
        <v>1287</v>
      </c>
      <c r="H260" s="19" t="s">
        <v>1288</v>
      </c>
      <c r="I260" s="23"/>
      <c r="J260" s="25" t="s">
        <v>1289</v>
      </c>
    </row>
    <row r="261" spans="1:12" ht="18" hidden="1" customHeight="1" outlineLevel="2" x14ac:dyDescent="0.2">
      <c r="A261" s="18"/>
      <c r="B261" s="18"/>
      <c r="C261" s="18"/>
      <c r="D261" s="19" t="s">
        <v>3247</v>
      </c>
      <c r="E261" s="19" t="s">
        <v>1290</v>
      </c>
      <c r="F261" s="19" t="s">
        <v>1286</v>
      </c>
      <c r="G261" s="36" t="s">
        <v>1291</v>
      </c>
      <c r="H261" s="19" t="s">
        <v>1292</v>
      </c>
      <c r="I261" s="23"/>
      <c r="J261" s="25" t="s">
        <v>1286</v>
      </c>
    </row>
    <row r="262" spans="1:12" ht="18" hidden="1" customHeight="1" outlineLevel="2" x14ac:dyDescent="0.2">
      <c r="A262" s="18"/>
      <c r="B262" s="18"/>
      <c r="C262" s="18"/>
      <c r="D262" s="19" t="s">
        <v>3247</v>
      </c>
      <c r="E262" s="19" t="s">
        <v>1290</v>
      </c>
      <c r="F262" s="19" t="s">
        <v>1289</v>
      </c>
      <c r="G262" s="36" t="s">
        <v>1291</v>
      </c>
      <c r="H262" s="19" t="s">
        <v>1292</v>
      </c>
      <c r="I262" s="23"/>
      <c r="J262" s="25" t="s">
        <v>1289</v>
      </c>
    </row>
    <row r="263" spans="1:12" ht="18" hidden="1" customHeight="1" outlineLevel="2" x14ac:dyDescent="0.2">
      <c r="A263" s="18"/>
      <c r="B263" s="18"/>
      <c r="C263" s="18"/>
      <c r="D263" s="19" t="s">
        <v>223</v>
      </c>
      <c r="E263" s="19" t="s">
        <v>1293</v>
      </c>
      <c r="F263" s="19" t="s">
        <v>1286</v>
      </c>
      <c r="G263" s="36" t="s">
        <v>1294</v>
      </c>
      <c r="H263" s="19" t="s">
        <v>1292</v>
      </c>
      <c r="I263" s="23"/>
      <c r="J263" s="25" t="s">
        <v>1286</v>
      </c>
    </row>
    <row r="264" spans="1:12" ht="18" hidden="1" customHeight="1" outlineLevel="2" x14ac:dyDescent="0.2">
      <c r="A264" s="18"/>
      <c r="B264" s="18"/>
      <c r="C264" s="18"/>
      <c r="D264" s="19" t="s">
        <v>223</v>
      </c>
      <c r="E264" s="19" t="s">
        <v>1293</v>
      </c>
      <c r="F264" s="19" t="s">
        <v>1289</v>
      </c>
      <c r="G264" s="36" t="s">
        <v>1294</v>
      </c>
      <c r="H264" s="19" t="s">
        <v>1292</v>
      </c>
      <c r="I264" s="23"/>
      <c r="J264" s="25" t="s">
        <v>1289</v>
      </c>
    </row>
    <row r="265" spans="1:12" ht="18" hidden="1" customHeight="1" outlineLevel="2" x14ac:dyDescent="0.2">
      <c r="A265" s="18"/>
      <c r="B265" s="18"/>
      <c r="C265" s="18"/>
      <c r="D265" s="19" t="s">
        <v>223</v>
      </c>
      <c r="E265" s="19" t="s">
        <v>1295</v>
      </c>
      <c r="F265" s="19" t="s">
        <v>1296</v>
      </c>
      <c r="G265" s="36" t="s">
        <v>1297</v>
      </c>
      <c r="H265" s="19" t="s">
        <v>1298</v>
      </c>
      <c r="I265" s="23" t="s">
        <v>1280</v>
      </c>
      <c r="J265" s="25" t="s">
        <v>1296</v>
      </c>
    </row>
    <row r="266" spans="1:12" ht="18" hidden="1" customHeight="1" outlineLevel="2" x14ac:dyDescent="0.2">
      <c r="A266" s="18"/>
      <c r="B266" s="18"/>
      <c r="C266" s="18"/>
      <c r="D266" s="19" t="s">
        <v>223</v>
      </c>
      <c r="E266" s="19" t="s">
        <v>1295</v>
      </c>
      <c r="F266" s="19" t="s">
        <v>1286</v>
      </c>
      <c r="G266" s="36" t="s">
        <v>1297</v>
      </c>
      <c r="H266" s="19" t="s">
        <v>1298</v>
      </c>
      <c r="I266" s="23" t="s">
        <v>1280</v>
      </c>
      <c r="J266" s="25" t="s">
        <v>1286</v>
      </c>
    </row>
    <row r="267" spans="1:12" ht="18" hidden="1" customHeight="1" outlineLevel="2" x14ac:dyDescent="0.2">
      <c r="A267" s="18"/>
      <c r="B267" s="18"/>
      <c r="C267" s="18"/>
      <c r="D267" s="19" t="s">
        <v>223</v>
      </c>
      <c r="E267" s="19" t="s">
        <v>1299</v>
      </c>
      <c r="F267" s="19" t="s">
        <v>1296</v>
      </c>
      <c r="G267" s="36" t="s">
        <v>1300</v>
      </c>
      <c r="H267" s="19" t="s">
        <v>1298</v>
      </c>
      <c r="I267" s="23" t="s">
        <v>1280</v>
      </c>
      <c r="J267" s="25" t="s">
        <v>1296</v>
      </c>
    </row>
    <row r="268" spans="1:12" ht="18" hidden="1" customHeight="1" outlineLevel="2" x14ac:dyDescent="0.2">
      <c r="A268" s="18"/>
      <c r="B268" s="18"/>
      <c r="C268" s="18"/>
      <c r="D268" s="19" t="s">
        <v>223</v>
      </c>
      <c r="E268" s="19" t="s">
        <v>1299</v>
      </c>
      <c r="F268" s="19" t="s">
        <v>1286</v>
      </c>
      <c r="G268" s="36" t="s">
        <v>1300</v>
      </c>
      <c r="H268" s="19" t="s">
        <v>1298</v>
      </c>
      <c r="I268" s="23" t="s">
        <v>1280</v>
      </c>
      <c r="J268" s="25" t="s">
        <v>1286</v>
      </c>
    </row>
    <row r="269" spans="1:12" ht="18" hidden="1" customHeight="1" outlineLevel="2" x14ac:dyDescent="0.2">
      <c r="A269" s="18"/>
      <c r="B269" s="18"/>
      <c r="C269" s="18"/>
      <c r="D269" s="19" t="s">
        <v>223</v>
      </c>
      <c r="E269" s="19" t="s">
        <v>1299</v>
      </c>
      <c r="F269" s="19"/>
      <c r="G269" s="36" t="s">
        <v>1301</v>
      </c>
      <c r="H269" s="19" t="s">
        <v>1302</v>
      </c>
      <c r="I269" s="23" t="s">
        <v>1280</v>
      </c>
    </row>
    <row r="270" spans="1:12" ht="18" hidden="1" customHeight="1" outlineLevel="2" x14ac:dyDescent="0.2">
      <c r="A270" s="18"/>
      <c r="B270" s="18"/>
      <c r="C270" s="18"/>
      <c r="D270" s="19" t="s">
        <v>3248</v>
      </c>
      <c r="E270" s="19" t="s">
        <v>1303</v>
      </c>
      <c r="F270" s="19" t="s">
        <v>1304</v>
      </c>
      <c r="G270" s="36" t="s">
        <v>1305</v>
      </c>
      <c r="H270" s="19" t="s">
        <v>1298</v>
      </c>
      <c r="I270" s="23" t="s">
        <v>1280</v>
      </c>
      <c r="J270" s="25" t="s">
        <v>1304</v>
      </c>
    </row>
    <row r="271" spans="1:12" ht="18" hidden="1" customHeight="1" outlineLevel="2" x14ac:dyDescent="0.2">
      <c r="A271" s="18"/>
      <c r="B271" s="18"/>
      <c r="C271" s="18"/>
      <c r="D271" s="19"/>
      <c r="E271" s="19"/>
      <c r="F271" s="19"/>
      <c r="G271" s="36"/>
      <c r="H271" s="19"/>
      <c r="I271" s="23"/>
    </row>
    <row r="272" spans="1:12" ht="18" hidden="1" customHeight="1" outlineLevel="1" x14ac:dyDescent="0.2">
      <c r="A272" s="119" t="s">
        <v>46</v>
      </c>
      <c r="B272" s="120"/>
      <c r="C272" s="120"/>
      <c r="D272" s="120"/>
      <c r="E272" s="120"/>
      <c r="F272" s="120"/>
      <c r="G272" s="120"/>
      <c r="H272" s="120"/>
      <c r="I272" s="120"/>
      <c r="J272" s="120"/>
      <c r="K272" s="120"/>
      <c r="L272" s="160"/>
    </row>
    <row r="273" spans="1:12" ht="18" hidden="1" customHeight="1" outlineLevel="2" x14ac:dyDescent="0.2">
      <c r="A273" s="18"/>
      <c r="B273" s="18"/>
      <c r="C273" s="18"/>
      <c r="D273" s="19" t="s">
        <v>3128</v>
      </c>
      <c r="E273" s="19" t="s">
        <v>700</v>
      </c>
      <c r="F273" s="19" t="s">
        <v>701</v>
      </c>
      <c r="G273" s="36"/>
      <c r="H273" s="19"/>
      <c r="I273" s="23"/>
    </row>
    <row r="274" spans="1:12" ht="18" hidden="1" customHeight="1" outlineLevel="2" x14ac:dyDescent="0.2">
      <c r="A274" s="18"/>
      <c r="B274" s="18"/>
      <c r="C274" s="18"/>
      <c r="D274" s="19" t="s">
        <v>3129</v>
      </c>
      <c r="E274" s="19" t="s">
        <v>700</v>
      </c>
      <c r="F274" s="19" t="s">
        <v>702</v>
      </c>
      <c r="G274" s="36" t="s">
        <v>703</v>
      </c>
      <c r="H274" s="19" t="s">
        <v>204</v>
      </c>
      <c r="I274" s="23" t="s">
        <v>704</v>
      </c>
      <c r="J274" s="25" t="s">
        <v>674</v>
      </c>
    </row>
    <row r="275" spans="1:12" ht="18" hidden="1" customHeight="1" outlineLevel="2" x14ac:dyDescent="0.2">
      <c r="A275" s="18"/>
      <c r="B275" s="18"/>
      <c r="C275" s="18"/>
      <c r="D275" s="19" t="s">
        <v>3130</v>
      </c>
      <c r="E275" s="19" t="s">
        <v>705</v>
      </c>
      <c r="F275" s="19" t="s">
        <v>706</v>
      </c>
      <c r="G275" s="36"/>
      <c r="H275" s="19"/>
      <c r="I275" s="23" t="s">
        <v>707</v>
      </c>
    </row>
    <row r="276" spans="1:12" ht="18" hidden="1" customHeight="1" outlineLevel="2" x14ac:dyDescent="0.2">
      <c r="A276" s="18"/>
      <c r="B276" s="18"/>
      <c r="C276" s="18"/>
      <c r="D276" s="19" t="s">
        <v>3131</v>
      </c>
      <c r="E276" s="19" t="s">
        <v>705</v>
      </c>
      <c r="F276" s="19" t="s">
        <v>708</v>
      </c>
      <c r="G276" s="36"/>
      <c r="H276" s="19"/>
      <c r="I276" s="23" t="s">
        <v>707</v>
      </c>
    </row>
    <row r="277" spans="1:12" ht="18" hidden="1" customHeight="1" outlineLevel="2" x14ac:dyDescent="0.2">
      <c r="A277" s="18"/>
      <c r="B277" s="18"/>
      <c r="C277" s="18"/>
      <c r="D277" s="19" t="s">
        <v>351</v>
      </c>
      <c r="E277" s="32" t="s">
        <v>709</v>
      </c>
      <c r="F277" s="19" t="s">
        <v>710</v>
      </c>
      <c r="G277" s="36">
        <v>83100</v>
      </c>
      <c r="H277" s="19" t="s">
        <v>204</v>
      </c>
      <c r="I277" s="23" t="s">
        <v>3698</v>
      </c>
      <c r="J277" s="25" t="s">
        <v>3075</v>
      </c>
      <c r="K277" s="25">
        <v>2</v>
      </c>
      <c r="L277" s="25">
        <v>4</v>
      </c>
    </row>
    <row r="278" spans="1:12" ht="18" hidden="1" customHeight="1" outlineLevel="2" x14ac:dyDescent="0.2">
      <c r="A278" s="18"/>
      <c r="B278" s="18"/>
      <c r="C278" s="18"/>
      <c r="D278" s="19" t="s">
        <v>223</v>
      </c>
      <c r="E278" s="19" t="s">
        <v>3699</v>
      </c>
      <c r="F278" s="19" t="s">
        <v>3700</v>
      </c>
      <c r="G278" s="36" t="s">
        <v>712</v>
      </c>
      <c r="H278" s="19" t="s">
        <v>202</v>
      </c>
      <c r="I278" s="23"/>
      <c r="J278" s="25" t="s">
        <v>674</v>
      </c>
    </row>
    <row r="279" spans="1:12" ht="18" hidden="1" customHeight="1" outlineLevel="2" x14ac:dyDescent="0.2">
      <c r="A279" s="18"/>
      <c r="B279" s="18"/>
      <c r="C279" s="18"/>
      <c r="D279" s="19" t="s">
        <v>3132</v>
      </c>
      <c r="E279" s="19" t="s">
        <v>713</v>
      </c>
      <c r="F279" s="19" t="s">
        <v>714</v>
      </c>
      <c r="G279" s="36"/>
      <c r="H279" s="19"/>
      <c r="I279" s="23"/>
    </row>
    <row r="280" spans="1:12" ht="18" hidden="1" customHeight="1" outlineLevel="2" x14ac:dyDescent="0.2">
      <c r="A280" s="18"/>
      <c r="B280" s="18"/>
      <c r="C280" s="18"/>
      <c r="D280" s="19" t="s">
        <v>3133</v>
      </c>
      <c r="E280" s="19" t="s">
        <v>715</v>
      </c>
      <c r="F280" s="19" t="s">
        <v>716</v>
      </c>
      <c r="G280" s="36" t="s">
        <v>717</v>
      </c>
      <c r="H280" s="19" t="s">
        <v>204</v>
      </c>
      <c r="I280" s="23"/>
    </row>
    <row r="281" spans="1:12" ht="18" hidden="1" customHeight="1" outlineLevel="2" x14ac:dyDescent="0.2">
      <c r="A281" s="18"/>
      <c r="B281" s="18"/>
      <c r="C281" s="18"/>
      <c r="D281" s="19" t="s">
        <v>3134</v>
      </c>
      <c r="E281" s="19" t="s">
        <v>715</v>
      </c>
      <c r="F281" s="19"/>
      <c r="G281" s="36"/>
      <c r="H281" s="19"/>
      <c r="I281" s="23"/>
    </row>
    <row r="282" spans="1:12" ht="18" hidden="1" customHeight="1" outlineLevel="2" x14ac:dyDescent="0.2">
      <c r="A282" s="18"/>
      <c r="B282" s="18"/>
      <c r="C282" s="18"/>
      <c r="D282" s="19" t="s">
        <v>223</v>
      </c>
      <c r="E282" s="19" t="s">
        <v>718</v>
      </c>
      <c r="F282" s="19" t="s">
        <v>719</v>
      </c>
      <c r="G282" s="36" t="s">
        <v>720</v>
      </c>
      <c r="H282" s="19" t="s">
        <v>202</v>
      </c>
      <c r="I282" s="23"/>
      <c r="J282" s="25" t="s">
        <v>3076</v>
      </c>
    </row>
    <row r="283" spans="1:12" ht="18" hidden="1" customHeight="1" outlineLevel="2" x14ac:dyDescent="0.2">
      <c r="A283" s="18"/>
      <c r="B283" s="18"/>
      <c r="C283" s="18"/>
      <c r="D283" s="19" t="s">
        <v>223</v>
      </c>
      <c r="E283" s="19" t="s">
        <v>721</v>
      </c>
      <c r="F283" s="19" t="s">
        <v>722</v>
      </c>
      <c r="G283" s="36" t="s">
        <v>723</v>
      </c>
      <c r="H283" s="19" t="s">
        <v>202</v>
      </c>
      <c r="I283" s="23"/>
      <c r="J283" s="25" t="s">
        <v>3076</v>
      </c>
    </row>
    <row r="284" spans="1:12" ht="18" hidden="1" customHeight="1" outlineLevel="2" x14ac:dyDescent="0.2">
      <c r="A284" s="18"/>
      <c r="B284" s="18"/>
      <c r="C284" s="18"/>
      <c r="D284" s="19" t="s">
        <v>223</v>
      </c>
      <c r="E284" s="19" t="s">
        <v>724</v>
      </c>
      <c r="F284" s="19" t="s">
        <v>725</v>
      </c>
      <c r="G284" s="36" t="s">
        <v>726</v>
      </c>
      <c r="H284" s="19" t="s">
        <v>202</v>
      </c>
      <c r="I284" s="23" t="s">
        <v>727</v>
      </c>
      <c r="J284" s="25" t="s">
        <v>3076</v>
      </c>
    </row>
    <row r="285" spans="1:12" ht="18" hidden="1" customHeight="1" outlineLevel="2" x14ac:dyDescent="0.2">
      <c r="A285" s="18"/>
      <c r="B285" s="18"/>
      <c r="C285" s="18"/>
      <c r="D285" s="19" t="s">
        <v>351</v>
      </c>
      <c r="E285" s="19" t="s">
        <v>728</v>
      </c>
      <c r="F285" s="19" t="s">
        <v>729</v>
      </c>
      <c r="G285" s="36" t="s">
        <v>730</v>
      </c>
      <c r="H285" s="19" t="s">
        <v>204</v>
      </c>
      <c r="I285" s="23"/>
      <c r="J285" s="25" t="s">
        <v>674</v>
      </c>
    </row>
    <row r="286" spans="1:12" ht="18" hidden="1" customHeight="1" outlineLevel="2" x14ac:dyDescent="0.2">
      <c r="A286" s="18"/>
      <c r="B286" s="18"/>
      <c r="C286" s="18"/>
      <c r="D286" s="19" t="s">
        <v>351</v>
      </c>
      <c r="E286" s="19" t="s">
        <v>731</v>
      </c>
      <c r="F286" s="19" t="s">
        <v>732</v>
      </c>
      <c r="G286" s="36" t="s">
        <v>733</v>
      </c>
      <c r="H286" s="19" t="s">
        <v>204</v>
      </c>
      <c r="I286" s="23"/>
      <c r="J286" s="25" t="s">
        <v>674</v>
      </c>
    </row>
    <row r="287" spans="1:12" ht="18" hidden="1" customHeight="1" outlineLevel="2" x14ac:dyDescent="0.2">
      <c r="A287" s="18"/>
      <c r="B287" s="18"/>
      <c r="C287" s="18"/>
      <c r="D287" s="19" t="s">
        <v>351</v>
      </c>
      <c r="E287" s="19" t="s">
        <v>734</v>
      </c>
      <c r="F287" s="19"/>
      <c r="G287" s="36" t="s">
        <v>735</v>
      </c>
      <c r="H287" s="19" t="s">
        <v>204</v>
      </c>
      <c r="I287" s="23"/>
      <c r="J287" s="25" t="s">
        <v>1866</v>
      </c>
    </row>
    <row r="288" spans="1:12" ht="18" hidden="1" customHeight="1" outlineLevel="2" x14ac:dyDescent="0.2">
      <c r="A288" s="18"/>
      <c r="B288" s="18"/>
      <c r="C288" s="18"/>
      <c r="D288" s="19" t="s">
        <v>351</v>
      </c>
      <c r="E288" s="19" t="s">
        <v>736</v>
      </c>
      <c r="F288" s="19" t="s">
        <v>737</v>
      </c>
      <c r="G288" s="36" t="s">
        <v>738</v>
      </c>
      <c r="H288" s="19" t="s">
        <v>204</v>
      </c>
      <c r="I288" s="23"/>
    </row>
    <row r="289" spans="1:14" ht="18" hidden="1" customHeight="1" outlineLevel="2" x14ac:dyDescent="0.2">
      <c r="A289" s="18"/>
      <c r="B289" s="18"/>
      <c r="C289" s="18"/>
      <c r="D289" s="19"/>
      <c r="E289" s="19"/>
      <c r="F289" s="19"/>
      <c r="G289" s="36"/>
      <c r="H289" s="19"/>
      <c r="I289" s="23"/>
    </row>
    <row r="290" spans="1:14" ht="18" customHeight="1" collapsed="1" x14ac:dyDescent="0.2">
      <c r="A290" s="137" t="s">
        <v>3850</v>
      </c>
      <c r="B290" s="138"/>
      <c r="C290" s="138"/>
      <c r="D290" s="138" t="s">
        <v>3135</v>
      </c>
      <c r="E290" s="138"/>
      <c r="F290" s="138"/>
      <c r="G290" s="138"/>
      <c r="H290" s="138"/>
      <c r="I290" s="138"/>
      <c r="J290" s="138"/>
      <c r="K290" s="138"/>
      <c r="L290" s="163"/>
    </row>
    <row r="291" spans="1:14" ht="18" hidden="1" customHeight="1" outlineLevel="1" collapsed="1" x14ac:dyDescent="0.2">
      <c r="A291" s="119" t="s">
        <v>3709</v>
      </c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  <c r="L291" s="160"/>
    </row>
    <row r="292" spans="1:14" ht="18" hidden="1" customHeight="1" outlineLevel="2" x14ac:dyDescent="0.2">
      <c r="A292" s="18"/>
      <c r="B292" s="18"/>
      <c r="C292" s="18"/>
      <c r="D292" s="19" t="s">
        <v>3146</v>
      </c>
      <c r="E292" s="32" t="s">
        <v>762</v>
      </c>
      <c r="F292" s="19" t="s">
        <v>763</v>
      </c>
      <c r="G292" s="36" t="s">
        <v>764</v>
      </c>
      <c r="H292" s="19" t="s">
        <v>765</v>
      </c>
      <c r="I292" s="23" t="s">
        <v>766</v>
      </c>
      <c r="K292" s="25">
        <v>10</v>
      </c>
      <c r="L292" s="25">
        <v>20</v>
      </c>
    </row>
    <row r="293" spans="1:14" ht="18" hidden="1" customHeight="1" outlineLevel="2" x14ac:dyDescent="0.2">
      <c r="A293" s="18"/>
      <c r="B293" s="19"/>
      <c r="C293" s="19"/>
      <c r="D293" s="19" t="s">
        <v>223</v>
      </c>
      <c r="E293" s="18" t="s">
        <v>859</v>
      </c>
      <c r="F293" s="19" t="s">
        <v>860</v>
      </c>
      <c r="G293" s="36" t="s">
        <v>861</v>
      </c>
      <c r="H293" s="19" t="s">
        <v>742</v>
      </c>
      <c r="I293" s="18" t="s">
        <v>485</v>
      </c>
      <c r="J293" s="25" t="s">
        <v>211</v>
      </c>
    </row>
    <row r="294" spans="1:14" ht="18" hidden="1" customHeight="1" outlineLevel="2" x14ac:dyDescent="0.2">
      <c r="A294" s="18"/>
      <c r="B294" s="19"/>
      <c r="C294" s="19"/>
      <c r="D294" s="19" t="s">
        <v>223</v>
      </c>
      <c r="E294" s="18" t="s">
        <v>862</v>
      </c>
      <c r="F294" s="19" t="s">
        <v>860</v>
      </c>
      <c r="G294" s="36" t="s">
        <v>863</v>
      </c>
      <c r="H294" s="19" t="s">
        <v>742</v>
      </c>
      <c r="I294" s="18" t="s">
        <v>864</v>
      </c>
      <c r="J294" s="25" t="s">
        <v>211</v>
      </c>
    </row>
    <row r="295" spans="1:14" ht="18" hidden="1" customHeight="1" outlineLevel="2" x14ac:dyDescent="0.2">
      <c r="A295" s="18"/>
      <c r="B295" s="19"/>
      <c r="C295" s="19"/>
      <c r="D295" s="19" t="s">
        <v>223</v>
      </c>
      <c r="E295" s="18" t="s">
        <v>865</v>
      </c>
      <c r="F295" s="19" t="s">
        <v>866</v>
      </c>
      <c r="G295" s="36" t="s">
        <v>867</v>
      </c>
      <c r="H295" s="19" t="s">
        <v>742</v>
      </c>
      <c r="I295" s="18"/>
      <c r="J295" s="25" t="s">
        <v>350</v>
      </c>
    </row>
    <row r="296" spans="1:14" ht="18" hidden="1" customHeight="1" outlineLevel="2" x14ac:dyDescent="0.2">
      <c r="A296" s="25"/>
      <c r="B296" s="25"/>
      <c r="C296" s="25"/>
      <c r="D296" s="25"/>
      <c r="E296" s="65" t="s">
        <v>3851</v>
      </c>
      <c r="F296" s="25" t="s">
        <v>2129</v>
      </c>
      <c r="G296" s="25" t="s">
        <v>2130</v>
      </c>
      <c r="H296" s="25" t="s">
        <v>773</v>
      </c>
      <c r="I296" s="25"/>
    </row>
    <row r="297" spans="1:14" ht="18" hidden="1" customHeight="1" outlineLevel="2" x14ac:dyDescent="0.2">
      <c r="A297" s="18"/>
      <c r="B297" s="18"/>
      <c r="C297" s="18"/>
      <c r="D297" s="19"/>
      <c r="E297" s="19"/>
      <c r="F297" s="19"/>
      <c r="G297" s="36"/>
      <c r="H297" s="19"/>
      <c r="I297" s="23"/>
    </row>
    <row r="298" spans="1:14" ht="18" hidden="1" customHeight="1" outlineLevel="1" collapsed="1" x14ac:dyDescent="0.2">
      <c r="A298" s="119" t="s">
        <v>3704</v>
      </c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  <c r="L298" s="160"/>
    </row>
    <row r="299" spans="1:14" ht="18" hidden="1" customHeight="1" outlineLevel="2" x14ac:dyDescent="0.2">
      <c r="A299" s="18"/>
      <c r="B299" s="18"/>
      <c r="C299" s="18"/>
      <c r="D299" s="19" t="s">
        <v>3143</v>
      </c>
      <c r="E299" s="32" t="s">
        <v>739</v>
      </c>
      <c r="F299" s="19" t="s">
        <v>756</v>
      </c>
      <c r="G299" s="36" t="s">
        <v>757</v>
      </c>
      <c r="H299" s="19" t="s">
        <v>742</v>
      </c>
      <c r="I299" s="23" t="s">
        <v>743</v>
      </c>
      <c r="J299" s="25" t="s">
        <v>3077</v>
      </c>
      <c r="K299" s="25" t="s">
        <v>266</v>
      </c>
      <c r="L299" s="25" t="s">
        <v>3111</v>
      </c>
    </row>
    <row r="300" spans="1:14" ht="18" hidden="1" customHeight="1" outlineLevel="2" x14ac:dyDescent="0.2">
      <c r="A300" s="18"/>
      <c r="B300" s="18"/>
      <c r="C300" s="18"/>
      <c r="D300" s="19" t="s">
        <v>3147</v>
      </c>
      <c r="E300" s="32" t="s">
        <v>767</v>
      </c>
      <c r="F300" s="19" t="s">
        <v>768</v>
      </c>
      <c r="G300" s="36" t="s">
        <v>769</v>
      </c>
      <c r="H300" s="19" t="s">
        <v>742</v>
      </c>
      <c r="I300" s="23" t="s">
        <v>3706</v>
      </c>
      <c r="J300" s="25" t="s">
        <v>674</v>
      </c>
      <c r="K300" s="25">
        <v>50</v>
      </c>
      <c r="L300" s="25">
        <v>75</v>
      </c>
      <c r="N300" s="9" t="s">
        <v>3038</v>
      </c>
    </row>
    <row r="301" spans="1:14" ht="18" hidden="1" customHeight="1" outlineLevel="2" x14ac:dyDescent="0.2">
      <c r="A301" s="18"/>
      <c r="B301" s="18"/>
      <c r="C301" s="18"/>
      <c r="D301" s="19" t="s">
        <v>3148</v>
      </c>
      <c r="E301" s="32" t="s">
        <v>771</v>
      </c>
      <c r="F301" s="19" t="s">
        <v>768</v>
      </c>
      <c r="G301" s="36" t="s">
        <v>772</v>
      </c>
      <c r="H301" s="19" t="s">
        <v>773</v>
      </c>
      <c r="I301" s="23"/>
      <c r="J301" s="25" t="s">
        <v>376</v>
      </c>
      <c r="K301" s="25" t="s">
        <v>241</v>
      </c>
      <c r="L301" s="25" t="s">
        <v>236</v>
      </c>
    </row>
    <row r="302" spans="1:14" ht="18" hidden="1" customHeight="1" outlineLevel="2" x14ac:dyDescent="0.2">
      <c r="A302" s="18"/>
      <c r="B302" s="18"/>
      <c r="C302" s="18"/>
      <c r="D302" s="19" t="s">
        <v>223</v>
      </c>
      <c r="E302" s="19" t="s">
        <v>774</v>
      </c>
      <c r="F302" s="19" t="s">
        <v>775</v>
      </c>
      <c r="G302" s="36">
        <v>1684</v>
      </c>
      <c r="H302" s="19" t="s">
        <v>742</v>
      </c>
      <c r="I302" s="23" t="s">
        <v>3702</v>
      </c>
    </row>
    <row r="303" spans="1:14" ht="18" hidden="1" customHeight="1" outlineLevel="2" x14ac:dyDescent="0.2">
      <c r="A303" s="18"/>
      <c r="B303" s="18"/>
      <c r="C303" s="18"/>
      <c r="D303" s="19" t="s">
        <v>3149</v>
      </c>
      <c r="E303" s="32" t="s">
        <v>776</v>
      </c>
      <c r="F303" s="19" t="s">
        <v>777</v>
      </c>
      <c r="G303" s="36" t="s">
        <v>778</v>
      </c>
      <c r="H303" s="19" t="s">
        <v>742</v>
      </c>
      <c r="I303" s="23" t="s">
        <v>770</v>
      </c>
      <c r="J303" s="25" t="s">
        <v>376</v>
      </c>
      <c r="K303" s="25">
        <v>80</v>
      </c>
      <c r="L303" s="25">
        <v>100</v>
      </c>
    </row>
    <row r="304" spans="1:14" ht="18" hidden="1" customHeight="1" outlineLevel="2" x14ac:dyDescent="0.2">
      <c r="A304" s="18"/>
      <c r="B304" s="18"/>
      <c r="C304" s="18"/>
      <c r="D304" s="19" t="s">
        <v>3150</v>
      </c>
      <c r="E304" s="32" t="s">
        <v>779</v>
      </c>
      <c r="F304" s="19" t="s">
        <v>777</v>
      </c>
      <c r="G304" s="36" t="s">
        <v>780</v>
      </c>
      <c r="H304" s="19" t="s">
        <v>742</v>
      </c>
      <c r="I304" s="23" t="s">
        <v>770</v>
      </c>
      <c r="J304" s="25" t="s">
        <v>376</v>
      </c>
      <c r="K304" s="25">
        <v>80</v>
      </c>
      <c r="L304" s="25">
        <v>100</v>
      </c>
    </row>
    <row r="305" spans="1:12" ht="18" hidden="1" customHeight="1" outlineLevel="2" x14ac:dyDescent="0.2">
      <c r="A305" s="18"/>
      <c r="B305" s="18"/>
      <c r="C305" s="18"/>
      <c r="D305" s="19" t="s">
        <v>3151</v>
      </c>
      <c r="E305" s="32" t="s">
        <v>781</v>
      </c>
      <c r="F305" s="19" t="s">
        <v>782</v>
      </c>
      <c r="G305" s="36" t="s">
        <v>783</v>
      </c>
      <c r="H305" s="19" t="s">
        <v>742</v>
      </c>
      <c r="I305" s="23" t="s">
        <v>770</v>
      </c>
      <c r="J305" s="25" t="s">
        <v>376</v>
      </c>
      <c r="K305" s="25">
        <v>50</v>
      </c>
      <c r="L305" s="25">
        <v>70</v>
      </c>
    </row>
    <row r="306" spans="1:12" ht="18" hidden="1" customHeight="1" outlineLevel="2" x14ac:dyDescent="0.2">
      <c r="A306" s="18"/>
      <c r="B306" s="18"/>
      <c r="C306" s="18"/>
      <c r="D306" s="19" t="s">
        <v>3152</v>
      </c>
      <c r="E306" s="32" t="s">
        <v>784</v>
      </c>
      <c r="F306" s="19" t="s">
        <v>777</v>
      </c>
      <c r="G306" s="36" t="s">
        <v>785</v>
      </c>
      <c r="H306" s="19" t="s">
        <v>742</v>
      </c>
      <c r="I306" s="23" t="s">
        <v>770</v>
      </c>
      <c r="J306" s="25" t="s">
        <v>376</v>
      </c>
      <c r="K306" s="25">
        <v>50</v>
      </c>
      <c r="L306" s="25">
        <v>70</v>
      </c>
    </row>
    <row r="307" spans="1:12" ht="18" hidden="1" customHeight="1" outlineLevel="2" x14ac:dyDescent="0.2">
      <c r="A307" s="18"/>
      <c r="B307" s="18"/>
      <c r="C307" s="18"/>
      <c r="D307" s="19" t="s">
        <v>3153</v>
      </c>
      <c r="E307" s="32" t="s">
        <v>784</v>
      </c>
      <c r="F307" s="19" t="s">
        <v>782</v>
      </c>
      <c r="G307" s="36" t="s">
        <v>786</v>
      </c>
      <c r="H307" s="19" t="s">
        <v>742</v>
      </c>
      <c r="I307" s="23" t="s">
        <v>770</v>
      </c>
      <c r="J307" s="25" t="s">
        <v>376</v>
      </c>
      <c r="K307" s="25">
        <v>50</v>
      </c>
      <c r="L307" s="25">
        <v>70</v>
      </c>
    </row>
    <row r="308" spans="1:12" ht="18" hidden="1" customHeight="1" outlineLevel="2" x14ac:dyDescent="0.2">
      <c r="A308" s="18"/>
      <c r="B308" s="18"/>
      <c r="C308" s="18"/>
      <c r="D308" s="19" t="s">
        <v>3154</v>
      </c>
      <c r="E308" s="32" t="s">
        <v>787</v>
      </c>
      <c r="F308" s="19"/>
      <c r="G308" s="36" t="s">
        <v>788</v>
      </c>
      <c r="H308" s="19" t="s">
        <v>742</v>
      </c>
      <c r="I308" s="23" t="s">
        <v>770</v>
      </c>
      <c r="J308" s="25" t="s">
        <v>674</v>
      </c>
      <c r="K308" s="25">
        <v>50</v>
      </c>
      <c r="L308" s="25">
        <v>70</v>
      </c>
    </row>
    <row r="309" spans="1:12" ht="18" hidden="1" customHeight="1" outlineLevel="2" x14ac:dyDescent="0.2">
      <c r="A309" s="18"/>
      <c r="B309" s="18"/>
      <c r="C309" s="18"/>
      <c r="D309" s="19" t="s">
        <v>223</v>
      </c>
      <c r="E309" s="19" t="s">
        <v>789</v>
      </c>
      <c r="F309" s="19" t="s">
        <v>790</v>
      </c>
      <c r="G309" s="36" t="s">
        <v>791</v>
      </c>
      <c r="H309" s="19" t="s">
        <v>742</v>
      </c>
      <c r="I309" s="23" t="s">
        <v>770</v>
      </c>
    </row>
    <row r="310" spans="1:12" ht="18" hidden="1" customHeight="1" outlineLevel="2" x14ac:dyDescent="0.2">
      <c r="A310" s="18"/>
      <c r="B310" s="18"/>
      <c r="C310" s="18"/>
      <c r="D310" s="19" t="s">
        <v>223</v>
      </c>
      <c r="E310" s="19" t="s">
        <v>789</v>
      </c>
      <c r="F310" s="19" t="s">
        <v>792</v>
      </c>
      <c r="G310" s="36" t="s">
        <v>793</v>
      </c>
      <c r="H310" s="19" t="s">
        <v>742</v>
      </c>
      <c r="I310" s="23" t="s">
        <v>770</v>
      </c>
    </row>
    <row r="311" spans="1:12" ht="18" hidden="1" customHeight="1" outlineLevel="2" x14ac:dyDescent="0.2">
      <c r="A311" s="18"/>
      <c r="B311" s="18"/>
      <c r="C311" s="18"/>
      <c r="D311" s="19" t="s">
        <v>3155</v>
      </c>
      <c r="E311" s="32" t="s">
        <v>789</v>
      </c>
      <c r="F311" s="19" t="s">
        <v>794</v>
      </c>
      <c r="G311" s="36" t="s">
        <v>795</v>
      </c>
      <c r="H311" s="19" t="s">
        <v>742</v>
      </c>
      <c r="I311" s="23" t="s">
        <v>770</v>
      </c>
      <c r="K311" s="25">
        <v>50</v>
      </c>
      <c r="L311" s="25">
        <v>70</v>
      </c>
    </row>
    <row r="312" spans="1:12" ht="18" hidden="1" customHeight="1" outlineLevel="2" x14ac:dyDescent="0.2">
      <c r="A312" s="18"/>
      <c r="B312" s="18"/>
      <c r="C312" s="18"/>
      <c r="D312" s="19" t="s">
        <v>3156</v>
      </c>
      <c r="E312" s="19" t="s">
        <v>796</v>
      </c>
      <c r="F312" s="19" t="s">
        <v>797</v>
      </c>
      <c r="G312" s="36" t="s">
        <v>798</v>
      </c>
      <c r="H312" s="19" t="s">
        <v>742</v>
      </c>
      <c r="I312" s="23" t="s">
        <v>770</v>
      </c>
    </row>
    <row r="313" spans="1:12" ht="18" hidden="1" customHeight="1" outlineLevel="2" x14ac:dyDescent="0.2">
      <c r="A313" s="18"/>
      <c r="B313" s="18"/>
      <c r="C313" s="18"/>
      <c r="D313" s="19" t="s">
        <v>3157</v>
      </c>
      <c r="E313" s="32" t="s">
        <v>799</v>
      </c>
      <c r="F313" s="19" t="s">
        <v>768</v>
      </c>
      <c r="G313" s="36" t="s">
        <v>800</v>
      </c>
      <c r="H313" s="19" t="s">
        <v>742</v>
      </c>
      <c r="I313" s="23" t="s">
        <v>770</v>
      </c>
      <c r="K313" s="25">
        <v>50</v>
      </c>
      <c r="L313" s="25">
        <v>70</v>
      </c>
    </row>
    <row r="314" spans="1:12" ht="18" hidden="1" customHeight="1" outlineLevel="2" x14ac:dyDescent="0.2">
      <c r="A314" s="18"/>
      <c r="B314" s="18"/>
      <c r="C314" s="18"/>
      <c r="D314" s="19" t="s">
        <v>3158</v>
      </c>
      <c r="E314" s="32" t="s">
        <v>801</v>
      </c>
      <c r="F314" s="19" t="s">
        <v>802</v>
      </c>
      <c r="G314" s="36" t="s">
        <v>803</v>
      </c>
      <c r="H314" s="19" t="s">
        <v>742</v>
      </c>
      <c r="I314" s="23" t="s">
        <v>770</v>
      </c>
      <c r="K314" s="25">
        <v>50</v>
      </c>
      <c r="L314" s="25">
        <v>70</v>
      </c>
    </row>
    <row r="315" spans="1:12" ht="18" hidden="1" customHeight="1" outlineLevel="2" x14ac:dyDescent="0.2">
      <c r="A315" s="18"/>
      <c r="B315" s="18"/>
      <c r="C315" s="18"/>
      <c r="D315" s="19" t="s">
        <v>3159</v>
      </c>
      <c r="E315" s="32" t="s">
        <v>804</v>
      </c>
      <c r="F315" s="19" t="s">
        <v>777</v>
      </c>
      <c r="G315" s="36" t="s">
        <v>805</v>
      </c>
      <c r="H315" s="19" t="s">
        <v>742</v>
      </c>
      <c r="I315" s="23" t="s">
        <v>770</v>
      </c>
      <c r="K315" s="25">
        <v>5</v>
      </c>
      <c r="L315" s="25">
        <v>7</v>
      </c>
    </row>
    <row r="316" spans="1:12" ht="18" hidden="1" customHeight="1" outlineLevel="2" x14ac:dyDescent="0.2">
      <c r="A316" s="18"/>
      <c r="B316" s="18"/>
      <c r="C316" s="18"/>
      <c r="D316" s="19" t="s">
        <v>3160</v>
      </c>
      <c r="E316" s="32" t="s">
        <v>806</v>
      </c>
      <c r="F316" s="19" t="s">
        <v>807</v>
      </c>
      <c r="G316" s="36" t="s">
        <v>808</v>
      </c>
      <c r="H316" s="19" t="s">
        <v>742</v>
      </c>
      <c r="I316" s="23" t="s">
        <v>770</v>
      </c>
      <c r="K316" s="25">
        <v>20</v>
      </c>
      <c r="L316" s="25">
        <v>30</v>
      </c>
    </row>
    <row r="317" spans="1:12" ht="18" hidden="1" customHeight="1" outlineLevel="2" x14ac:dyDescent="0.2">
      <c r="A317" s="18"/>
      <c r="B317" s="18"/>
      <c r="C317" s="18"/>
      <c r="D317" s="19" t="s">
        <v>3161</v>
      </c>
      <c r="E317" s="32" t="s">
        <v>809</v>
      </c>
      <c r="F317" s="19" t="s">
        <v>810</v>
      </c>
      <c r="G317" s="36" t="s">
        <v>811</v>
      </c>
      <c r="H317" s="19" t="s">
        <v>742</v>
      </c>
      <c r="I317" s="23" t="s">
        <v>770</v>
      </c>
      <c r="K317" s="25">
        <v>5</v>
      </c>
      <c r="L317" s="25">
        <v>7</v>
      </c>
    </row>
    <row r="318" spans="1:12" ht="18" hidden="1" customHeight="1" outlineLevel="2" x14ac:dyDescent="0.2">
      <c r="A318" s="18"/>
      <c r="B318" s="18"/>
      <c r="C318" s="18"/>
      <c r="D318" s="19" t="s">
        <v>223</v>
      </c>
      <c r="E318" s="19" t="s">
        <v>812</v>
      </c>
      <c r="F318" s="19" t="s">
        <v>802</v>
      </c>
      <c r="G318" s="36">
        <v>56115</v>
      </c>
      <c r="H318" s="19" t="s">
        <v>742</v>
      </c>
      <c r="I318" s="23" t="s">
        <v>770</v>
      </c>
    </row>
    <row r="319" spans="1:12" ht="18" hidden="1" customHeight="1" outlineLevel="2" x14ac:dyDescent="0.2">
      <c r="A319" s="18"/>
      <c r="B319" s="18"/>
      <c r="C319" s="18"/>
      <c r="D319" s="19" t="s">
        <v>3162</v>
      </c>
      <c r="E319" s="32" t="s">
        <v>813</v>
      </c>
      <c r="F319" s="19" t="s">
        <v>814</v>
      </c>
      <c r="G319" s="36">
        <v>10236</v>
      </c>
      <c r="H319" s="19" t="s">
        <v>742</v>
      </c>
      <c r="I319" s="23"/>
      <c r="K319" s="25">
        <v>20</v>
      </c>
      <c r="L319" s="25">
        <v>30</v>
      </c>
    </row>
    <row r="320" spans="1:12" ht="18" hidden="1" customHeight="1" outlineLevel="2" x14ac:dyDescent="0.2">
      <c r="A320" s="18"/>
      <c r="B320" s="18"/>
      <c r="C320" s="18"/>
      <c r="D320" s="19"/>
      <c r="E320" s="19"/>
      <c r="F320" s="19"/>
      <c r="G320" s="36"/>
      <c r="H320" s="19"/>
      <c r="I320" s="23"/>
    </row>
    <row r="321" spans="1:14" ht="18" hidden="1" customHeight="1" outlineLevel="1" collapsed="1" x14ac:dyDescent="0.2">
      <c r="A321" s="119" t="s">
        <v>3703</v>
      </c>
      <c r="B321" s="120"/>
      <c r="C321" s="120"/>
      <c r="D321" s="120"/>
      <c r="E321" s="120"/>
      <c r="F321" s="120"/>
      <c r="G321" s="120"/>
      <c r="H321" s="120"/>
      <c r="I321" s="120"/>
      <c r="J321" s="120"/>
      <c r="K321" s="120"/>
      <c r="L321" s="160"/>
    </row>
    <row r="322" spans="1:14" ht="18" hidden="1" customHeight="1" outlineLevel="2" x14ac:dyDescent="0.2">
      <c r="A322" s="18"/>
      <c r="B322" s="18"/>
      <c r="C322" s="18"/>
      <c r="D322" s="19" t="s">
        <v>3144</v>
      </c>
      <c r="E322" s="32" t="s">
        <v>758</v>
      </c>
      <c r="F322" s="19" t="s">
        <v>756</v>
      </c>
      <c r="G322" s="36" t="s">
        <v>759</v>
      </c>
      <c r="H322" s="19" t="s">
        <v>742</v>
      </c>
      <c r="I322" s="23" t="s">
        <v>743</v>
      </c>
      <c r="J322" s="25" t="s">
        <v>743</v>
      </c>
      <c r="K322" s="25" t="s">
        <v>3077</v>
      </c>
      <c r="L322" s="25" t="s">
        <v>267</v>
      </c>
    </row>
    <row r="323" spans="1:14" ht="18" hidden="1" customHeight="1" outlineLevel="2" x14ac:dyDescent="0.2">
      <c r="A323" s="18"/>
      <c r="B323" s="18"/>
      <c r="C323" s="18"/>
      <c r="D323" s="19" t="s">
        <v>3163</v>
      </c>
      <c r="E323" s="32" t="s">
        <v>767</v>
      </c>
      <c r="F323" s="19" t="s">
        <v>768</v>
      </c>
      <c r="G323" s="36" t="s">
        <v>815</v>
      </c>
      <c r="H323" s="19" t="s">
        <v>742</v>
      </c>
      <c r="I323" s="23" t="s">
        <v>3705</v>
      </c>
      <c r="K323" s="25">
        <v>50</v>
      </c>
      <c r="L323" s="25">
        <v>70</v>
      </c>
      <c r="N323" s="9" t="s">
        <v>3038</v>
      </c>
    </row>
    <row r="324" spans="1:14" ht="18" hidden="1" customHeight="1" outlineLevel="2" x14ac:dyDescent="0.2">
      <c r="A324" s="18"/>
      <c r="B324" s="18"/>
      <c r="C324" s="18"/>
      <c r="D324" s="19" t="s">
        <v>3164</v>
      </c>
      <c r="E324" s="32" t="s">
        <v>817</v>
      </c>
      <c r="F324" s="19" t="s">
        <v>777</v>
      </c>
      <c r="G324" s="36" t="s">
        <v>818</v>
      </c>
      <c r="H324" s="19" t="s">
        <v>742</v>
      </c>
      <c r="I324" s="23" t="s">
        <v>816</v>
      </c>
      <c r="K324" s="25">
        <v>50</v>
      </c>
      <c r="L324" s="25">
        <v>70</v>
      </c>
    </row>
    <row r="325" spans="1:14" ht="18" hidden="1" customHeight="1" outlineLevel="2" x14ac:dyDescent="0.2">
      <c r="A325" s="18"/>
      <c r="B325" s="18"/>
      <c r="C325" s="18"/>
      <c r="D325" s="19" t="s">
        <v>3165</v>
      </c>
      <c r="E325" s="32" t="s">
        <v>779</v>
      </c>
      <c r="F325" s="19" t="s">
        <v>777</v>
      </c>
      <c r="G325" s="36" t="s">
        <v>819</v>
      </c>
      <c r="H325" s="19" t="s">
        <v>742</v>
      </c>
      <c r="I325" s="23" t="s">
        <v>816</v>
      </c>
      <c r="K325" s="25">
        <v>50</v>
      </c>
      <c r="L325" s="25">
        <v>70</v>
      </c>
    </row>
    <row r="326" spans="1:14" ht="18" hidden="1" customHeight="1" outlineLevel="2" x14ac:dyDescent="0.2">
      <c r="A326" s="18"/>
      <c r="B326" s="18"/>
      <c r="C326" s="18"/>
      <c r="D326" s="19" t="s">
        <v>3166</v>
      </c>
      <c r="E326" s="32" t="s">
        <v>781</v>
      </c>
      <c r="F326" s="19" t="s">
        <v>782</v>
      </c>
      <c r="G326" s="36" t="s">
        <v>820</v>
      </c>
      <c r="H326" s="19" t="s">
        <v>742</v>
      </c>
      <c r="I326" s="23" t="s">
        <v>816</v>
      </c>
      <c r="K326" s="25">
        <v>50</v>
      </c>
      <c r="L326" s="25">
        <v>70</v>
      </c>
    </row>
    <row r="327" spans="1:14" ht="18" hidden="1" customHeight="1" outlineLevel="2" x14ac:dyDescent="0.2">
      <c r="A327" s="18"/>
      <c r="B327" s="18"/>
      <c r="C327" s="18"/>
      <c r="D327" s="19" t="s">
        <v>3167</v>
      </c>
      <c r="E327" s="32" t="s">
        <v>784</v>
      </c>
      <c r="F327" s="19" t="s">
        <v>777</v>
      </c>
      <c r="G327" s="36" t="s">
        <v>821</v>
      </c>
      <c r="H327" s="19" t="s">
        <v>742</v>
      </c>
      <c r="I327" s="23" t="s">
        <v>816</v>
      </c>
      <c r="K327" s="25">
        <v>50</v>
      </c>
      <c r="L327" s="25">
        <v>70</v>
      </c>
    </row>
    <row r="328" spans="1:14" ht="18" hidden="1" customHeight="1" outlineLevel="2" x14ac:dyDescent="0.2">
      <c r="A328" s="18"/>
      <c r="B328" s="18"/>
      <c r="C328" s="18"/>
      <c r="D328" s="19" t="s">
        <v>3168</v>
      </c>
      <c r="E328" s="32" t="s">
        <v>784</v>
      </c>
      <c r="F328" s="19" t="s">
        <v>782</v>
      </c>
      <c r="G328" s="36" t="s">
        <v>822</v>
      </c>
      <c r="H328" s="19" t="s">
        <v>742</v>
      </c>
      <c r="I328" s="23" t="s">
        <v>816</v>
      </c>
      <c r="K328" s="25">
        <v>50</v>
      </c>
      <c r="L328" s="25">
        <v>70</v>
      </c>
    </row>
    <row r="329" spans="1:14" ht="18" hidden="1" customHeight="1" outlineLevel="2" x14ac:dyDescent="0.2">
      <c r="A329" s="18"/>
      <c r="B329" s="18"/>
      <c r="C329" s="18"/>
      <c r="D329" s="19" t="s">
        <v>3169</v>
      </c>
      <c r="E329" s="32" t="s">
        <v>799</v>
      </c>
      <c r="F329" s="19" t="s">
        <v>768</v>
      </c>
      <c r="G329" s="36" t="s">
        <v>823</v>
      </c>
      <c r="H329" s="19" t="s">
        <v>742</v>
      </c>
      <c r="I329" s="23" t="s">
        <v>816</v>
      </c>
      <c r="K329" s="25">
        <v>50</v>
      </c>
      <c r="L329" s="25">
        <v>70</v>
      </c>
    </row>
    <row r="330" spans="1:14" ht="18" hidden="1" customHeight="1" outlineLevel="2" x14ac:dyDescent="0.2">
      <c r="A330" s="18"/>
      <c r="B330" s="18"/>
      <c r="C330" s="18"/>
      <c r="D330" s="19" t="s">
        <v>3170</v>
      </c>
      <c r="E330" s="32" t="s">
        <v>801</v>
      </c>
      <c r="F330" s="19" t="s">
        <v>802</v>
      </c>
      <c r="G330" s="36" t="s">
        <v>824</v>
      </c>
      <c r="H330" s="19" t="s">
        <v>742</v>
      </c>
      <c r="I330" s="23" t="s">
        <v>816</v>
      </c>
      <c r="K330" s="25">
        <v>50</v>
      </c>
      <c r="L330" s="25">
        <v>70</v>
      </c>
    </row>
    <row r="331" spans="1:14" ht="18" hidden="1" customHeight="1" outlineLevel="2" x14ac:dyDescent="0.2">
      <c r="A331" s="18"/>
      <c r="B331" s="18"/>
      <c r="C331" s="18"/>
      <c r="D331" s="19" t="s">
        <v>223</v>
      </c>
      <c r="E331" s="19" t="s">
        <v>825</v>
      </c>
      <c r="F331" s="19"/>
      <c r="G331" s="36">
        <v>51478</v>
      </c>
      <c r="H331" s="19" t="s">
        <v>742</v>
      </c>
      <c r="I331" s="23" t="s">
        <v>816</v>
      </c>
    </row>
    <row r="332" spans="1:14" ht="18" hidden="1" customHeight="1" outlineLevel="2" x14ac:dyDescent="0.2">
      <c r="A332" s="18"/>
      <c r="B332" s="18"/>
      <c r="C332" s="18"/>
      <c r="D332" s="19" t="s">
        <v>223</v>
      </c>
      <c r="E332" s="32" t="s">
        <v>806</v>
      </c>
      <c r="F332" s="19" t="s">
        <v>826</v>
      </c>
      <c r="G332" s="36">
        <v>59909</v>
      </c>
      <c r="H332" s="19" t="s">
        <v>742</v>
      </c>
      <c r="I332" s="23" t="s">
        <v>816</v>
      </c>
      <c r="K332" s="25">
        <v>10</v>
      </c>
      <c r="L332" s="25">
        <v>12</v>
      </c>
    </row>
    <row r="333" spans="1:14" ht="18" hidden="1" customHeight="1" outlineLevel="2" x14ac:dyDescent="0.2">
      <c r="A333" s="18"/>
      <c r="B333" s="18"/>
      <c r="C333" s="18"/>
      <c r="D333" s="19"/>
      <c r="E333" s="19"/>
      <c r="F333" s="19"/>
      <c r="G333" s="36"/>
      <c r="H333" s="19"/>
      <c r="I333" s="23"/>
    </row>
    <row r="334" spans="1:14" ht="18" hidden="1" customHeight="1" outlineLevel="1" collapsed="1" x14ac:dyDescent="0.2">
      <c r="A334" s="119" t="s">
        <v>3707</v>
      </c>
      <c r="B334" s="120"/>
      <c r="C334" s="120"/>
      <c r="D334" s="120"/>
      <c r="E334" s="120"/>
      <c r="F334" s="120"/>
      <c r="G334" s="120"/>
      <c r="H334" s="120"/>
      <c r="I334" s="120"/>
      <c r="J334" s="120"/>
      <c r="K334" s="120"/>
      <c r="L334" s="160"/>
    </row>
    <row r="335" spans="1:14" ht="18" hidden="1" customHeight="1" outlineLevel="2" x14ac:dyDescent="0.2">
      <c r="A335" s="18"/>
      <c r="B335" s="18"/>
      <c r="C335" s="18"/>
      <c r="D335" s="19" t="s">
        <v>3145</v>
      </c>
      <c r="E335" s="32" t="s">
        <v>739</v>
      </c>
      <c r="F335" s="19" t="s">
        <v>760</v>
      </c>
      <c r="G335" s="36" t="s">
        <v>761</v>
      </c>
      <c r="H335" s="19" t="s">
        <v>742</v>
      </c>
      <c r="I335" s="23" t="s">
        <v>743</v>
      </c>
      <c r="J335" s="25" t="s">
        <v>1982</v>
      </c>
      <c r="K335" s="25" t="s">
        <v>267</v>
      </c>
      <c r="L335" s="25" t="s">
        <v>3112</v>
      </c>
    </row>
    <row r="336" spans="1:14" ht="18" hidden="1" customHeight="1" outlineLevel="2" x14ac:dyDescent="0.2">
      <c r="A336" s="18"/>
      <c r="B336" s="18"/>
      <c r="C336" s="18"/>
      <c r="D336" s="19" t="s">
        <v>3171</v>
      </c>
      <c r="E336" s="32" t="s">
        <v>767</v>
      </c>
      <c r="F336" s="19" t="s">
        <v>827</v>
      </c>
      <c r="G336" s="36" t="s">
        <v>828</v>
      </c>
      <c r="H336" s="19" t="s">
        <v>742</v>
      </c>
      <c r="I336" s="23" t="s">
        <v>3706</v>
      </c>
      <c r="K336" s="25">
        <v>50</v>
      </c>
      <c r="L336" s="25">
        <v>70</v>
      </c>
    </row>
    <row r="337" spans="1:12" ht="18" hidden="1" customHeight="1" outlineLevel="2" x14ac:dyDescent="0.2">
      <c r="A337" s="18"/>
      <c r="B337" s="18"/>
      <c r="C337" s="18"/>
      <c r="D337" s="18" t="s">
        <v>3172</v>
      </c>
      <c r="E337" s="33" t="s">
        <v>829</v>
      </c>
      <c r="F337" s="18" t="s">
        <v>827</v>
      </c>
      <c r="G337" s="36" t="s">
        <v>830</v>
      </c>
      <c r="H337" s="18" t="s">
        <v>831</v>
      </c>
      <c r="I337" s="18"/>
      <c r="J337" s="25" t="s">
        <v>376</v>
      </c>
      <c r="K337" s="25" t="s">
        <v>237</v>
      </c>
      <c r="L337" s="25" t="s">
        <v>238</v>
      </c>
    </row>
    <row r="338" spans="1:12" ht="18" hidden="1" customHeight="1" outlineLevel="2" x14ac:dyDescent="0.2">
      <c r="A338" s="18"/>
      <c r="B338" s="18"/>
      <c r="C338" s="18"/>
      <c r="D338" s="18" t="s">
        <v>3173</v>
      </c>
      <c r="E338" s="33" t="s">
        <v>832</v>
      </c>
      <c r="F338" s="18" t="s">
        <v>833</v>
      </c>
      <c r="G338" s="36" t="s">
        <v>834</v>
      </c>
      <c r="H338" s="18" t="s">
        <v>742</v>
      </c>
      <c r="I338" s="18" t="s">
        <v>770</v>
      </c>
      <c r="K338" s="25">
        <v>50</v>
      </c>
      <c r="L338" s="25">
        <v>70</v>
      </c>
    </row>
    <row r="339" spans="1:12" ht="18" hidden="1" customHeight="1" outlineLevel="2" x14ac:dyDescent="0.2">
      <c r="A339" s="18"/>
      <c r="B339" s="18"/>
      <c r="C339" s="18"/>
      <c r="D339" s="18" t="s">
        <v>3174</v>
      </c>
      <c r="E339" s="33" t="s">
        <v>779</v>
      </c>
      <c r="F339" s="18" t="s">
        <v>833</v>
      </c>
      <c r="G339" s="36" t="s">
        <v>835</v>
      </c>
      <c r="H339" s="18" t="s">
        <v>742</v>
      </c>
      <c r="I339" s="18" t="s">
        <v>770</v>
      </c>
      <c r="K339" s="25">
        <v>50</v>
      </c>
      <c r="L339" s="25">
        <v>70</v>
      </c>
    </row>
    <row r="340" spans="1:12" ht="18" hidden="1" customHeight="1" outlineLevel="2" x14ac:dyDescent="0.2">
      <c r="A340" s="18"/>
      <c r="B340" s="18"/>
      <c r="C340" s="18"/>
      <c r="D340" s="18" t="s">
        <v>3175</v>
      </c>
      <c r="E340" s="33" t="s">
        <v>781</v>
      </c>
      <c r="F340" s="18" t="s">
        <v>836</v>
      </c>
      <c r="G340" s="36" t="s">
        <v>837</v>
      </c>
      <c r="H340" s="18" t="s">
        <v>742</v>
      </c>
      <c r="I340" s="18" t="s">
        <v>770</v>
      </c>
      <c r="K340" s="25">
        <v>50</v>
      </c>
      <c r="L340" s="25">
        <v>70</v>
      </c>
    </row>
    <row r="341" spans="1:12" ht="18" hidden="1" customHeight="1" outlineLevel="2" x14ac:dyDescent="0.2">
      <c r="A341" s="18"/>
      <c r="B341" s="18"/>
      <c r="C341" s="18"/>
      <c r="D341" s="18" t="s">
        <v>3176</v>
      </c>
      <c r="E341" s="33" t="s">
        <v>784</v>
      </c>
      <c r="F341" s="18" t="s">
        <v>833</v>
      </c>
      <c r="G341" s="36" t="s">
        <v>838</v>
      </c>
      <c r="H341" s="18" t="s">
        <v>742</v>
      </c>
      <c r="I341" s="18" t="s">
        <v>770</v>
      </c>
      <c r="K341" s="25">
        <v>50</v>
      </c>
      <c r="L341" s="25">
        <v>70</v>
      </c>
    </row>
    <row r="342" spans="1:12" ht="18" hidden="1" customHeight="1" outlineLevel="2" x14ac:dyDescent="0.2">
      <c r="A342" s="18"/>
      <c r="B342" s="18"/>
      <c r="C342" s="18"/>
      <c r="D342" s="18" t="s">
        <v>3177</v>
      </c>
      <c r="E342" s="33" t="s">
        <v>784</v>
      </c>
      <c r="F342" s="18" t="s">
        <v>836</v>
      </c>
      <c r="G342" s="36" t="s">
        <v>839</v>
      </c>
      <c r="H342" s="18" t="s">
        <v>742</v>
      </c>
      <c r="I342" s="18" t="s">
        <v>770</v>
      </c>
      <c r="K342" s="25">
        <v>50</v>
      </c>
      <c r="L342" s="25">
        <v>70</v>
      </c>
    </row>
    <row r="343" spans="1:12" ht="18" hidden="1" customHeight="1" outlineLevel="2" x14ac:dyDescent="0.2">
      <c r="A343" s="18"/>
      <c r="B343" s="18"/>
      <c r="C343" s="18"/>
      <c r="D343" s="18" t="s">
        <v>3178</v>
      </c>
      <c r="E343" s="33" t="s">
        <v>840</v>
      </c>
      <c r="F343" s="18" t="s">
        <v>827</v>
      </c>
      <c r="G343" s="36" t="s">
        <v>841</v>
      </c>
      <c r="H343" s="18" t="s">
        <v>742</v>
      </c>
      <c r="I343" s="18" t="s">
        <v>770</v>
      </c>
      <c r="K343" s="25">
        <v>50</v>
      </c>
      <c r="L343" s="25">
        <v>70</v>
      </c>
    </row>
    <row r="344" spans="1:12" ht="18" hidden="1" customHeight="1" outlineLevel="2" x14ac:dyDescent="0.2">
      <c r="A344" s="18"/>
      <c r="B344" s="18"/>
      <c r="C344" s="18"/>
      <c r="D344" s="18" t="s">
        <v>3179</v>
      </c>
      <c r="E344" s="33" t="s">
        <v>842</v>
      </c>
      <c r="F344" s="18" t="s">
        <v>843</v>
      </c>
      <c r="G344" s="36" t="s">
        <v>844</v>
      </c>
      <c r="H344" s="18" t="s">
        <v>742</v>
      </c>
      <c r="I344" s="18" t="s">
        <v>770</v>
      </c>
      <c r="K344" s="25">
        <v>20</v>
      </c>
      <c r="L344" s="25">
        <v>30</v>
      </c>
    </row>
    <row r="345" spans="1:12" ht="18" hidden="1" customHeight="1" outlineLevel="2" x14ac:dyDescent="0.2">
      <c r="A345" s="18"/>
      <c r="B345" s="18"/>
      <c r="C345" s="18"/>
      <c r="D345" s="18" t="s">
        <v>3180</v>
      </c>
      <c r="E345" s="18" t="s">
        <v>804</v>
      </c>
      <c r="F345" s="18" t="s">
        <v>843</v>
      </c>
      <c r="G345" s="36" t="s">
        <v>845</v>
      </c>
      <c r="H345" s="18" t="s">
        <v>742</v>
      </c>
      <c r="I345" s="18" t="s">
        <v>770</v>
      </c>
    </row>
    <row r="346" spans="1:12" ht="18" hidden="1" customHeight="1" outlineLevel="2" x14ac:dyDescent="0.2">
      <c r="A346" s="18"/>
      <c r="B346" s="18"/>
      <c r="C346" s="18"/>
      <c r="D346" s="18" t="s">
        <v>3181</v>
      </c>
      <c r="E346" s="33" t="s">
        <v>813</v>
      </c>
      <c r="F346" s="18" t="s">
        <v>846</v>
      </c>
      <c r="G346" s="36" t="s">
        <v>847</v>
      </c>
      <c r="H346" s="18" t="s">
        <v>742</v>
      </c>
      <c r="I346" s="18" t="s">
        <v>770</v>
      </c>
      <c r="K346" s="25">
        <v>10</v>
      </c>
      <c r="L346" s="25">
        <v>13</v>
      </c>
    </row>
    <row r="347" spans="1:12" ht="18" hidden="1" customHeight="1" outlineLevel="2" x14ac:dyDescent="0.2">
      <c r="A347" s="18"/>
      <c r="B347" s="18"/>
      <c r="C347" s="18"/>
      <c r="D347" s="18" t="s">
        <v>223</v>
      </c>
      <c r="E347" s="33" t="s">
        <v>848</v>
      </c>
      <c r="F347" s="18" t="s">
        <v>849</v>
      </c>
      <c r="G347" s="36">
        <v>3011</v>
      </c>
      <c r="H347" s="18" t="s">
        <v>742</v>
      </c>
      <c r="I347" s="18" t="s">
        <v>851</v>
      </c>
      <c r="K347" s="25">
        <v>20</v>
      </c>
      <c r="L347" s="25">
        <v>25</v>
      </c>
    </row>
    <row r="348" spans="1:12" ht="18" hidden="1" customHeight="1" outlineLevel="2" x14ac:dyDescent="0.2">
      <c r="A348" s="18"/>
      <c r="B348" s="18"/>
      <c r="C348" s="18"/>
      <c r="D348" s="18" t="s">
        <v>3182</v>
      </c>
      <c r="E348" s="18" t="s">
        <v>806</v>
      </c>
      <c r="F348" s="18" t="s">
        <v>852</v>
      </c>
      <c r="G348" s="36" t="s">
        <v>853</v>
      </c>
      <c r="H348" s="18" t="s">
        <v>742</v>
      </c>
      <c r="I348" s="18" t="s">
        <v>770</v>
      </c>
    </row>
    <row r="349" spans="1:12" ht="18" hidden="1" customHeight="1" outlineLevel="2" x14ac:dyDescent="0.2">
      <c r="A349" s="18"/>
      <c r="B349" s="18"/>
      <c r="C349" s="18"/>
      <c r="D349" s="18"/>
      <c r="E349" s="18"/>
      <c r="F349" s="18"/>
      <c r="G349" s="36"/>
      <c r="H349" s="18"/>
      <c r="I349" s="31"/>
    </row>
    <row r="350" spans="1:12" ht="18" hidden="1" customHeight="1" outlineLevel="1" collapsed="1" x14ac:dyDescent="0.2">
      <c r="A350" s="119" t="s">
        <v>3708</v>
      </c>
      <c r="B350" s="120"/>
      <c r="C350" s="120"/>
      <c r="D350" s="120"/>
      <c r="E350" s="120"/>
      <c r="F350" s="120"/>
      <c r="G350" s="120"/>
      <c r="H350" s="120"/>
      <c r="I350" s="120"/>
      <c r="J350" s="120"/>
      <c r="K350" s="120"/>
      <c r="L350" s="160"/>
    </row>
    <row r="351" spans="1:12" ht="18" hidden="1" customHeight="1" outlineLevel="2" x14ac:dyDescent="0.2">
      <c r="A351" s="18"/>
      <c r="B351" s="18"/>
      <c r="C351" s="18"/>
      <c r="D351" s="19" t="s">
        <v>3136</v>
      </c>
      <c r="E351" s="19" t="s">
        <v>739</v>
      </c>
      <c r="F351" s="19" t="s">
        <v>740</v>
      </c>
      <c r="G351" s="36" t="s">
        <v>741</v>
      </c>
      <c r="H351" s="19" t="s">
        <v>742</v>
      </c>
      <c r="I351" s="23" t="s">
        <v>743</v>
      </c>
    </row>
    <row r="352" spans="1:12" ht="18" hidden="1" customHeight="1" outlineLevel="2" x14ac:dyDescent="0.2">
      <c r="A352" s="18"/>
      <c r="B352" s="18"/>
      <c r="C352" s="18"/>
      <c r="D352" s="19" t="s">
        <v>3137</v>
      </c>
      <c r="E352" s="19" t="s">
        <v>739</v>
      </c>
      <c r="F352" s="19" t="s">
        <v>744</v>
      </c>
      <c r="G352" s="36" t="s">
        <v>745</v>
      </c>
      <c r="H352" s="19" t="s">
        <v>742</v>
      </c>
      <c r="I352" s="23" t="s">
        <v>743</v>
      </c>
    </row>
    <row r="353" spans="1:12" ht="18" hidden="1" customHeight="1" outlineLevel="2" x14ac:dyDescent="0.2">
      <c r="A353" s="18"/>
      <c r="B353" s="18"/>
      <c r="C353" s="18"/>
      <c r="D353" s="19" t="s">
        <v>3138</v>
      </c>
      <c r="E353" s="32" t="s">
        <v>739</v>
      </c>
      <c r="F353" s="19" t="s">
        <v>746</v>
      </c>
      <c r="G353" s="36" t="s">
        <v>747</v>
      </c>
      <c r="H353" s="19" t="s">
        <v>742</v>
      </c>
      <c r="I353" s="23" t="s">
        <v>743</v>
      </c>
      <c r="K353" s="25" t="s">
        <v>404</v>
      </c>
      <c r="L353" s="25" t="s">
        <v>3103</v>
      </c>
    </row>
    <row r="354" spans="1:12" ht="18" hidden="1" customHeight="1" outlineLevel="2" x14ac:dyDescent="0.2">
      <c r="A354" s="18"/>
      <c r="B354" s="18"/>
      <c r="C354" s="18"/>
      <c r="D354" s="19" t="s">
        <v>3139</v>
      </c>
      <c r="E354" s="32" t="s">
        <v>739</v>
      </c>
      <c r="F354" s="19" t="s">
        <v>748</v>
      </c>
      <c r="G354" s="36" t="s">
        <v>749</v>
      </c>
      <c r="H354" s="19" t="s">
        <v>742</v>
      </c>
      <c r="I354" s="23" t="s">
        <v>743</v>
      </c>
      <c r="K354" s="25" t="s">
        <v>3103</v>
      </c>
      <c r="L354" s="25" t="s">
        <v>3110</v>
      </c>
    </row>
    <row r="355" spans="1:12" ht="18" hidden="1" customHeight="1" outlineLevel="2" x14ac:dyDescent="0.2">
      <c r="A355" s="18"/>
      <c r="B355" s="18"/>
      <c r="C355" s="18"/>
      <c r="D355" s="19" t="s">
        <v>3140</v>
      </c>
      <c r="E355" s="32" t="s">
        <v>739</v>
      </c>
      <c r="F355" s="19" t="s">
        <v>750</v>
      </c>
      <c r="G355" s="36" t="s">
        <v>751</v>
      </c>
      <c r="H355" s="19" t="s">
        <v>742</v>
      </c>
      <c r="I355" s="23" t="s">
        <v>743</v>
      </c>
      <c r="K355" s="25" t="s">
        <v>404</v>
      </c>
      <c r="L355" s="25" t="s">
        <v>3103</v>
      </c>
    </row>
    <row r="356" spans="1:12" ht="18" hidden="1" customHeight="1" outlineLevel="2" x14ac:dyDescent="0.2">
      <c r="A356" s="18"/>
      <c r="B356" s="18"/>
      <c r="C356" s="18"/>
      <c r="D356" s="19" t="s">
        <v>3141</v>
      </c>
      <c r="E356" s="32" t="s">
        <v>739</v>
      </c>
      <c r="F356" s="19" t="s">
        <v>752</v>
      </c>
      <c r="G356" s="36" t="s">
        <v>753</v>
      </c>
      <c r="H356" s="19" t="s">
        <v>742</v>
      </c>
      <c r="I356" s="23" t="s">
        <v>743</v>
      </c>
      <c r="K356" s="25" t="s">
        <v>404</v>
      </c>
      <c r="L356" s="25" t="s">
        <v>3103</v>
      </c>
    </row>
    <row r="357" spans="1:12" ht="18" hidden="1" customHeight="1" outlineLevel="2" x14ac:dyDescent="0.2">
      <c r="A357" s="18"/>
      <c r="B357" s="18"/>
      <c r="C357" s="18"/>
      <c r="D357" s="19" t="s">
        <v>3142</v>
      </c>
      <c r="E357" s="32" t="s">
        <v>739</v>
      </c>
      <c r="F357" s="19" t="s">
        <v>754</v>
      </c>
      <c r="G357" s="36" t="s">
        <v>755</v>
      </c>
      <c r="H357" s="19" t="s">
        <v>742</v>
      </c>
      <c r="I357" s="23" t="s">
        <v>743</v>
      </c>
      <c r="K357" s="25" t="s">
        <v>404</v>
      </c>
      <c r="L357" s="25" t="s">
        <v>3103</v>
      </c>
    </row>
    <row r="358" spans="1:12" ht="18" hidden="1" customHeight="1" outlineLevel="2" x14ac:dyDescent="0.2">
      <c r="A358" s="18"/>
      <c r="B358" s="18"/>
      <c r="C358" s="18"/>
      <c r="D358" s="19" t="s">
        <v>223</v>
      </c>
      <c r="E358" s="18" t="s">
        <v>817</v>
      </c>
      <c r="F358" s="19" t="s">
        <v>854</v>
      </c>
      <c r="G358" s="36"/>
      <c r="H358" s="19"/>
      <c r="I358" s="23" t="s">
        <v>770</v>
      </c>
    </row>
    <row r="359" spans="1:12" ht="18" hidden="1" customHeight="1" outlineLevel="2" x14ac:dyDescent="0.2">
      <c r="A359" s="18"/>
      <c r="B359" s="18"/>
      <c r="C359" s="18"/>
      <c r="D359" s="19" t="s">
        <v>223</v>
      </c>
      <c r="E359" s="18" t="s">
        <v>779</v>
      </c>
      <c r="F359" s="19" t="s">
        <v>854</v>
      </c>
      <c r="G359" s="36"/>
      <c r="H359" s="19"/>
      <c r="I359" s="23" t="s">
        <v>770</v>
      </c>
    </row>
    <row r="360" spans="1:12" ht="18" hidden="1" customHeight="1" outlineLevel="2" x14ac:dyDescent="0.2">
      <c r="A360" s="18"/>
      <c r="B360" s="18"/>
      <c r="C360" s="18"/>
      <c r="D360" s="19" t="s">
        <v>223</v>
      </c>
      <c r="E360" s="18" t="s">
        <v>781</v>
      </c>
      <c r="F360" s="19" t="s">
        <v>855</v>
      </c>
      <c r="G360" s="36"/>
      <c r="H360" s="19"/>
      <c r="I360" s="23" t="s">
        <v>770</v>
      </c>
    </row>
    <row r="361" spans="1:12" ht="18" hidden="1" customHeight="1" outlineLevel="2" x14ac:dyDescent="0.2">
      <c r="A361" s="18"/>
      <c r="B361" s="18"/>
      <c r="C361" s="18"/>
      <c r="D361" s="19" t="s">
        <v>223</v>
      </c>
      <c r="E361" s="18" t="s">
        <v>784</v>
      </c>
      <c r="F361" s="19" t="s">
        <v>854</v>
      </c>
      <c r="G361" s="36"/>
      <c r="H361" s="19"/>
      <c r="I361" s="23" t="s">
        <v>770</v>
      </c>
    </row>
    <row r="362" spans="1:12" ht="18" hidden="1" customHeight="1" outlineLevel="2" x14ac:dyDescent="0.2">
      <c r="A362" s="18"/>
      <c r="B362" s="18"/>
      <c r="C362" s="18"/>
      <c r="D362" s="19" t="s">
        <v>223</v>
      </c>
      <c r="E362" s="18" t="s">
        <v>784</v>
      </c>
      <c r="F362" s="19" t="s">
        <v>855</v>
      </c>
      <c r="G362" s="36"/>
      <c r="H362" s="19"/>
      <c r="I362" s="23" t="s">
        <v>770</v>
      </c>
    </row>
    <row r="363" spans="1:12" ht="18" hidden="1" customHeight="1" outlineLevel="2" x14ac:dyDescent="0.2">
      <c r="A363" s="18"/>
      <c r="B363" s="18"/>
      <c r="C363" s="18"/>
      <c r="D363" s="19" t="s">
        <v>223</v>
      </c>
      <c r="E363" s="18" t="s">
        <v>799</v>
      </c>
      <c r="F363" s="19" t="s">
        <v>856</v>
      </c>
      <c r="G363" s="36"/>
      <c r="H363" s="19"/>
      <c r="I363" s="23" t="s">
        <v>770</v>
      </c>
    </row>
    <row r="364" spans="1:12" ht="18" hidden="1" customHeight="1" outlineLevel="2" x14ac:dyDescent="0.2">
      <c r="A364" s="18"/>
      <c r="B364" s="18"/>
      <c r="C364" s="18"/>
      <c r="D364" s="19" t="s">
        <v>223</v>
      </c>
      <c r="E364" s="18" t="s">
        <v>801</v>
      </c>
      <c r="F364" s="19" t="s">
        <v>857</v>
      </c>
      <c r="G364" s="36"/>
      <c r="H364" s="19"/>
      <c r="I364" s="23" t="s">
        <v>770</v>
      </c>
    </row>
    <row r="365" spans="1:12" ht="18" hidden="1" customHeight="1" outlineLevel="2" x14ac:dyDescent="0.2">
      <c r="A365" s="18"/>
      <c r="B365" s="18"/>
      <c r="C365" s="18"/>
      <c r="D365" s="19" t="s">
        <v>223</v>
      </c>
      <c r="E365" s="18" t="s">
        <v>774</v>
      </c>
      <c r="F365" s="19" t="s">
        <v>857</v>
      </c>
      <c r="G365" s="36" t="s">
        <v>858</v>
      </c>
      <c r="H365" s="19" t="s">
        <v>742</v>
      </c>
      <c r="I365" s="23" t="s">
        <v>770</v>
      </c>
    </row>
    <row r="366" spans="1:12" ht="18" hidden="1" customHeight="1" outlineLevel="2" x14ac:dyDescent="0.2">
      <c r="A366" s="18"/>
      <c r="B366" s="18"/>
      <c r="C366" s="18"/>
      <c r="D366" s="19" t="s">
        <v>223</v>
      </c>
      <c r="E366" s="18" t="s">
        <v>868</v>
      </c>
      <c r="F366" s="19" t="s">
        <v>869</v>
      </c>
      <c r="G366" s="36" t="s">
        <v>870</v>
      </c>
      <c r="H366" s="19" t="s">
        <v>742</v>
      </c>
      <c r="I366" s="23" t="s">
        <v>871</v>
      </c>
    </row>
    <row r="367" spans="1:12" ht="18" hidden="1" customHeight="1" outlineLevel="2" x14ac:dyDescent="0.2">
      <c r="A367" s="18"/>
      <c r="B367" s="18"/>
      <c r="C367" s="18"/>
      <c r="D367" s="19" t="s">
        <v>223</v>
      </c>
      <c r="E367" s="18" t="s">
        <v>868</v>
      </c>
      <c r="F367" s="19" t="s">
        <v>872</v>
      </c>
      <c r="G367" s="36"/>
      <c r="H367" s="19"/>
      <c r="I367" s="23" t="s">
        <v>871</v>
      </c>
    </row>
    <row r="368" spans="1:12" ht="18" hidden="1" customHeight="1" outlineLevel="2" x14ac:dyDescent="0.2">
      <c r="A368" s="18"/>
      <c r="B368" s="18"/>
      <c r="C368" s="18"/>
      <c r="D368" s="19" t="s">
        <v>223</v>
      </c>
      <c r="E368" s="18" t="s">
        <v>868</v>
      </c>
      <c r="F368" s="19" t="s">
        <v>873</v>
      </c>
      <c r="G368" s="36"/>
      <c r="H368" s="19"/>
      <c r="I368" s="23" t="s">
        <v>871</v>
      </c>
    </row>
    <row r="369" spans="1:12" ht="18" hidden="1" customHeight="1" outlineLevel="2" x14ac:dyDescent="0.2">
      <c r="A369" s="18"/>
      <c r="B369" s="18"/>
      <c r="C369" s="18"/>
      <c r="D369" s="19"/>
      <c r="E369" s="19"/>
      <c r="F369" s="19"/>
      <c r="G369" s="36"/>
      <c r="H369" s="19"/>
      <c r="I369" s="23"/>
    </row>
    <row r="370" spans="1:12" ht="18" hidden="1" customHeight="1" outlineLevel="1" collapsed="1" x14ac:dyDescent="0.2">
      <c r="A370" s="119" t="s">
        <v>61</v>
      </c>
      <c r="B370" s="120"/>
      <c r="C370" s="120"/>
      <c r="D370" s="120" t="s">
        <v>3183</v>
      </c>
      <c r="E370" s="120"/>
      <c r="F370" s="120"/>
      <c r="G370" s="120"/>
      <c r="H370" s="120"/>
      <c r="I370" s="120"/>
      <c r="J370" s="120"/>
      <c r="K370" s="120"/>
      <c r="L370" s="160"/>
    </row>
    <row r="371" spans="1:12" ht="18" hidden="1" customHeight="1" outlineLevel="2" x14ac:dyDescent="0.2">
      <c r="A371" s="18"/>
      <c r="B371" s="18"/>
      <c r="C371" s="18"/>
      <c r="D371" s="19" t="s">
        <v>223</v>
      </c>
      <c r="E371" s="18" t="s">
        <v>874</v>
      </c>
      <c r="F371" s="19" t="s">
        <v>875</v>
      </c>
      <c r="G371" s="36" t="s">
        <v>876</v>
      </c>
      <c r="H371" s="19" t="s">
        <v>742</v>
      </c>
      <c r="I371" s="23" t="s">
        <v>877</v>
      </c>
    </row>
    <row r="372" spans="1:12" ht="18" hidden="1" customHeight="1" outlineLevel="2" x14ac:dyDescent="0.2">
      <c r="A372" s="18"/>
      <c r="B372" s="18"/>
      <c r="C372" s="18"/>
      <c r="D372" s="19" t="s">
        <v>223</v>
      </c>
      <c r="E372" s="18" t="s">
        <v>874</v>
      </c>
      <c r="F372" s="19" t="s">
        <v>878</v>
      </c>
      <c r="G372" s="36" t="s">
        <v>879</v>
      </c>
      <c r="H372" s="19" t="s">
        <v>742</v>
      </c>
      <c r="I372" s="23" t="s">
        <v>877</v>
      </c>
    </row>
    <row r="373" spans="1:12" ht="18" hidden="1" customHeight="1" outlineLevel="2" x14ac:dyDescent="0.2">
      <c r="A373" s="18"/>
      <c r="B373" s="18"/>
      <c r="C373" s="18"/>
      <c r="D373" s="19" t="s">
        <v>223</v>
      </c>
      <c r="E373" s="18" t="s">
        <v>874</v>
      </c>
      <c r="F373" s="19" t="s">
        <v>880</v>
      </c>
      <c r="G373" s="36" t="s">
        <v>881</v>
      </c>
      <c r="H373" s="19" t="s">
        <v>742</v>
      </c>
      <c r="I373" s="23" t="s">
        <v>877</v>
      </c>
    </row>
    <row r="374" spans="1:12" ht="18" hidden="1" customHeight="1" outlineLevel="2" x14ac:dyDescent="0.2">
      <c r="A374" s="18"/>
      <c r="B374" s="18"/>
      <c r="C374" s="18"/>
      <c r="D374" s="19" t="s">
        <v>223</v>
      </c>
      <c r="E374" s="18" t="s">
        <v>874</v>
      </c>
      <c r="F374" s="19" t="s">
        <v>827</v>
      </c>
      <c r="G374" s="36" t="s">
        <v>882</v>
      </c>
      <c r="H374" s="19" t="s">
        <v>742</v>
      </c>
      <c r="I374" s="23" t="s">
        <v>883</v>
      </c>
    </row>
    <row r="375" spans="1:12" ht="18" hidden="1" customHeight="1" outlineLevel="2" x14ac:dyDescent="0.2">
      <c r="A375" s="18"/>
      <c r="B375" s="18"/>
      <c r="C375" s="18"/>
      <c r="D375" s="19" t="s">
        <v>223</v>
      </c>
      <c r="E375" s="18" t="s">
        <v>874</v>
      </c>
      <c r="F375" s="19" t="s">
        <v>768</v>
      </c>
      <c r="G375" s="36" t="s">
        <v>884</v>
      </c>
      <c r="H375" s="19" t="s">
        <v>742</v>
      </c>
      <c r="I375" s="23" t="s">
        <v>883</v>
      </c>
    </row>
    <row r="376" spans="1:12" ht="18" hidden="1" customHeight="1" outlineLevel="2" x14ac:dyDescent="0.2">
      <c r="A376" s="18"/>
      <c r="B376" s="18"/>
      <c r="C376" s="18"/>
      <c r="D376" s="19" t="s">
        <v>223</v>
      </c>
      <c r="E376" s="18" t="s">
        <v>874</v>
      </c>
      <c r="F376" s="19" t="s">
        <v>885</v>
      </c>
      <c r="G376" s="36" t="s">
        <v>886</v>
      </c>
      <c r="H376" s="19" t="s">
        <v>742</v>
      </c>
      <c r="I376" s="23" t="s">
        <v>883</v>
      </c>
    </row>
    <row r="377" spans="1:12" ht="18" hidden="1" customHeight="1" outlineLevel="2" x14ac:dyDescent="0.2">
      <c r="A377" s="18"/>
      <c r="B377" s="18"/>
      <c r="C377" s="18"/>
      <c r="D377" s="19" t="s">
        <v>223</v>
      </c>
      <c r="E377" s="18" t="s">
        <v>874</v>
      </c>
      <c r="F377" s="19" t="s">
        <v>887</v>
      </c>
      <c r="G377" s="36" t="s">
        <v>888</v>
      </c>
      <c r="H377" s="19" t="s">
        <v>742</v>
      </c>
      <c r="I377" s="23" t="s">
        <v>883</v>
      </c>
    </row>
    <row r="378" spans="1:12" ht="18" hidden="1" customHeight="1" outlineLevel="2" x14ac:dyDescent="0.2">
      <c r="A378" s="18"/>
      <c r="B378" s="18"/>
      <c r="C378" s="18"/>
      <c r="D378" s="19" t="s">
        <v>223</v>
      </c>
      <c r="E378" s="18" t="s">
        <v>874</v>
      </c>
      <c r="F378" s="19" t="s">
        <v>889</v>
      </c>
      <c r="G378" s="36" t="s">
        <v>890</v>
      </c>
      <c r="H378" s="19" t="s">
        <v>742</v>
      </c>
      <c r="I378" s="23" t="s">
        <v>883</v>
      </c>
    </row>
    <row r="379" spans="1:12" ht="18" hidden="1" customHeight="1" outlineLevel="2" x14ac:dyDescent="0.2">
      <c r="A379" s="18"/>
      <c r="B379" s="18"/>
      <c r="C379" s="18"/>
      <c r="D379" s="19" t="s">
        <v>223</v>
      </c>
      <c r="E379" s="18" t="s">
        <v>874</v>
      </c>
      <c r="F379" s="19" t="s">
        <v>891</v>
      </c>
      <c r="G379" s="36" t="s">
        <v>892</v>
      </c>
      <c r="H379" s="19" t="s">
        <v>742</v>
      </c>
      <c r="I379" s="23" t="s">
        <v>893</v>
      </c>
    </row>
    <row r="380" spans="1:12" ht="18" hidden="1" customHeight="1" outlineLevel="2" x14ac:dyDescent="0.2">
      <c r="A380" s="18"/>
      <c r="B380" s="18"/>
      <c r="C380" s="18"/>
      <c r="D380" s="19" t="s">
        <v>223</v>
      </c>
      <c r="E380" s="18"/>
      <c r="F380" s="19"/>
      <c r="G380" s="36"/>
      <c r="H380" s="19"/>
      <c r="I380" s="23"/>
    </row>
    <row r="381" spans="1:12" ht="18" hidden="1" customHeight="1" outlineLevel="2" x14ac:dyDescent="0.2">
      <c r="A381" s="18"/>
      <c r="B381" s="18"/>
      <c r="C381" s="18"/>
      <c r="D381" s="19" t="s">
        <v>223</v>
      </c>
      <c r="E381" s="18" t="s">
        <v>3712</v>
      </c>
      <c r="F381" s="19" t="s">
        <v>894</v>
      </c>
      <c r="G381" s="36" t="s">
        <v>895</v>
      </c>
      <c r="H381" s="19" t="s">
        <v>896</v>
      </c>
      <c r="I381" s="23" t="s">
        <v>897</v>
      </c>
    </row>
    <row r="382" spans="1:12" ht="18" hidden="1" customHeight="1" outlineLevel="2" x14ac:dyDescent="0.2">
      <c r="A382" s="18"/>
      <c r="B382" s="18"/>
      <c r="C382" s="18"/>
      <c r="D382" s="19" t="s">
        <v>223</v>
      </c>
      <c r="E382" s="18" t="s">
        <v>898</v>
      </c>
      <c r="F382" s="19" t="s">
        <v>894</v>
      </c>
      <c r="G382" s="36" t="s">
        <v>899</v>
      </c>
      <c r="H382" s="19" t="s">
        <v>742</v>
      </c>
      <c r="I382" s="23"/>
    </row>
    <row r="383" spans="1:12" ht="18" hidden="1" customHeight="1" outlineLevel="2" x14ac:dyDescent="0.2">
      <c r="A383" s="18"/>
      <c r="B383" s="18"/>
      <c r="C383" s="18"/>
      <c r="D383" s="19" t="s">
        <v>223</v>
      </c>
      <c r="E383" s="18" t="s">
        <v>900</v>
      </c>
      <c r="F383" s="19" t="s">
        <v>894</v>
      </c>
      <c r="G383" s="36" t="s">
        <v>901</v>
      </c>
      <c r="H383" s="19" t="s">
        <v>742</v>
      </c>
      <c r="I383" s="23"/>
    </row>
    <row r="384" spans="1:12" ht="18" hidden="1" customHeight="1" outlineLevel="2" x14ac:dyDescent="0.2">
      <c r="A384" s="18"/>
      <c r="B384" s="18"/>
      <c r="C384" s="18"/>
      <c r="D384" s="19" t="s">
        <v>223</v>
      </c>
      <c r="E384" s="18" t="s">
        <v>902</v>
      </c>
      <c r="F384" s="19" t="s">
        <v>903</v>
      </c>
      <c r="G384" s="36" t="s">
        <v>904</v>
      </c>
      <c r="H384" s="19" t="s">
        <v>742</v>
      </c>
      <c r="I384" s="23"/>
    </row>
    <row r="385" spans="1:9" ht="18" hidden="1" customHeight="1" outlineLevel="2" x14ac:dyDescent="0.2">
      <c r="A385" s="18"/>
      <c r="B385" s="18"/>
      <c r="C385" s="18"/>
      <c r="D385" s="19" t="s">
        <v>223</v>
      </c>
      <c r="E385" s="18" t="s">
        <v>905</v>
      </c>
      <c r="F385" s="19" t="s">
        <v>906</v>
      </c>
      <c r="G385" s="36" t="s">
        <v>907</v>
      </c>
      <c r="H385" s="19" t="s">
        <v>742</v>
      </c>
      <c r="I385" s="23"/>
    </row>
    <row r="386" spans="1:9" ht="18" hidden="1" customHeight="1" outlineLevel="2" x14ac:dyDescent="0.2">
      <c r="A386" s="18"/>
      <c r="B386" s="18"/>
      <c r="C386" s="18"/>
      <c r="D386" s="19"/>
      <c r="E386" s="18"/>
      <c r="F386" s="19"/>
      <c r="G386" s="36"/>
      <c r="H386" s="19"/>
      <c r="I386" s="23"/>
    </row>
    <row r="387" spans="1:9" ht="18" hidden="1" customHeight="1" outlineLevel="2" x14ac:dyDescent="0.2">
      <c r="A387" s="18"/>
      <c r="B387" s="18"/>
      <c r="C387" s="18"/>
      <c r="D387" s="19" t="s">
        <v>223</v>
      </c>
      <c r="E387" s="18" t="s">
        <v>908</v>
      </c>
      <c r="F387" s="19" t="s">
        <v>909</v>
      </c>
      <c r="G387" s="36" t="s">
        <v>910</v>
      </c>
      <c r="H387" s="19" t="s">
        <v>742</v>
      </c>
      <c r="I387" s="23" t="s">
        <v>911</v>
      </c>
    </row>
    <row r="388" spans="1:9" ht="18" hidden="1" customHeight="1" outlineLevel="2" x14ac:dyDescent="0.2">
      <c r="A388" s="18"/>
      <c r="B388" s="18"/>
      <c r="C388" s="18"/>
      <c r="D388" s="19" t="s">
        <v>223</v>
      </c>
      <c r="E388" s="18" t="s">
        <v>908</v>
      </c>
      <c r="F388" s="19" t="s">
        <v>912</v>
      </c>
      <c r="G388" s="36" t="s">
        <v>913</v>
      </c>
      <c r="H388" s="19" t="s">
        <v>742</v>
      </c>
      <c r="I388" s="23" t="s">
        <v>911</v>
      </c>
    </row>
    <row r="389" spans="1:9" ht="18" hidden="1" customHeight="1" outlineLevel="2" x14ac:dyDescent="0.2">
      <c r="A389" s="18"/>
      <c r="B389" s="18"/>
      <c r="C389" s="18"/>
      <c r="D389" s="19" t="s">
        <v>223</v>
      </c>
      <c r="E389" s="18" t="s">
        <v>908</v>
      </c>
      <c r="F389" s="19" t="s">
        <v>914</v>
      </c>
      <c r="G389" s="36" t="s">
        <v>915</v>
      </c>
      <c r="H389" s="19" t="s">
        <v>742</v>
      </c>
      <c r="I389" s="23" t="s">
        <v>911</v>
      </c>
    </row>
    <row r="390" spans="1:9" ht="18" hidden="1" customHeight="1" outlineLevel="2" x14ac:dyDescent="0.2">
      <c r="A390" s="18"/>
      <c r="B390" s="18"/>
      <c r="C390" s="18"/>
      <c r="D390" s="19" t="s">
        <v>223</v>
      </c>
      <c r="E390" s="18" t="s">
        <v>908</v>
      </c>
      <c r="F390" s="19" t="s">
        <v>916</v>
      </c>
      <c r="G390" s="36" t="s">
        <v>917</v>
      </c>
      <c r="H390" s="19" t="s">
        <v>742</v>
      </c>
      <c r="I390" s="23" t="s">
        <v>911</v>
      </c>
    </row>
    <row r="391" spans="1:9" ht="18" hidden="1" customHeight="1" outlineLevel="2" x14ac:dyDescent="0.2">
      <c r="A391" s="18"/>
      <c r="B391" s="18"/>
      <c r="C391" s="18"/>
      <c r="D391" s="19" t="s">
        <v>223</v>
      </c>
      <c r="E391" s="18" t="s">
        <v>908</v>
      </c>
      <c r="F391" s="19" t="s">
        <v>918</v>
      </c>
      <c r="G391" s="36" t="s">
        <v>919</v>
      </c>
      <c r="H391" s="19" t="s">
        <v>742</v>
      </c>
      <c r="I391" s="23" t="s">
        <v>911</v>
      </c>
    </row>
    <row r="392" spans="1:9" ht="18" hidden="1" customHeight="1" outlineLevel="2" x14ac:dyDescent="0.2">
      <c r="A392" s="18"/>
      <c r="B392" s="18"/>
      <c r="C392" s="18"/>
      <c r="D392" s="19" t="s">
        <v>223</v>
      </c>
      <c r="E392" s="18" t="s">
        <v>908</v>
      </c>
      <c r="F392" s="19" t="s">
        <v>920</v>
      </c>
      <c r="G392" s="36" t="s">
        <v>921</v>
      </c>
      <c r="H392" s="19" t="s">
        <v>742</v>
      </c>
      <c r="I392" s="23" t="s">
        <v>911</v>
      </c>
    </row>
    <row r="393" spans="1:9" ht="18" hidden="1" customHeight="1" outlineLevel="2" x14ac:dyDescent="0.2">
      <c r="A393" s="18"/>
      <c r="B393" s="18"/>
      <c r="C393" s="18"/>
      <c r="D393" s="19" t="s">
        <v>223</v>
      </c>
      <c r="E393" s="18" t="s">
        <v>908</v>
      </c>
      <c r="F393" s="19" t="s">
        <v>922</v>
      </c>
      <c r="G393" s="36" t="s">
        <v>923</v>
      </c>
      <c r="H393" s="19" t="s">
        <v>742</v>
      </c>
      <c r="I393" s="23" t="s">
        <v>911</v>
      </c>
    </row>
    <row r="394" spans="1:9" ht="18" hidden="1" customHeight="1" outlineLevel="2" x14ac:dyDescent="0.2">
      <c r="A394" s="18"/>
      <c r="B394" s="18"/>
      <c r="C394" s="18"/>
      <c r="D394" s="19" t="s">
        <v>223</v>
      </c>
      <c r="E394" s="18" t="s">
        <v>908</v>
      </c>
      <c r="F394" s="19" t="s">
        <v>924</v>
      </c>
      <c r="G394" s="36" t="s">
        <v>925</v>
      </c>
      <c r="H394" s="19" t="s">
        <v>742</v>
      </c>
      <c r="I394" s="23" t="s">
        <v>911</v>
      </c>
    </row>
    <row r="395" spans="1:9" ht="18" hidden="1" customHeight="1" outlineLevel="2" x14ac:dyDescent="0.2">
      <c r="A395" s="18"/>
      <c r="B395" s="18"/>
      <c r="C395" s="18"/>
      <c r="D395" s="19" t="s">
        <v>223</v>
      </c>
      <c r="E395" s="18" t="s">
        <v>908</v>
      </c>
      <c r="F395" s="19" t="s">
        <v>926</v>
      </c>
      <c r="G395" s="36" t="s">
        <v>927</v>
      </c>
      <c r="H395" s="19" t="s">
        <v>742</v>
      </c>
      <c r="I395" s="23" t="s">
        <v>911</v>
      </c>
    </row>
    <row r="396" spans="1:9" ht="18" hidden="1" customHeight="1" outlineLevel="2" x14ac:dyDescent="0.2">
      <c r="A396" s="18"/>
      <c r="B396" s="18"/>
      <c r="C396" s="18"/>
      <c r="D396" s="19"/>
      <c r="E396" s="18"/>
      <c r="F396" s="19"/>
      <c r="G396" s="36"/>
      <c r="H396" s="19"/>
      <c r="I396" s="23"/>
    </row>
    <row r="397" spans="1:9" ht="18" hidden="1" customHeight="1" outlineLevel="2" x14ac:dyDescent="0.2">
      <c r="A397" s="18"/>
      <c r="B397" s="18"/>
      <c r="C397" s="18"/>
      <c r="D397" s="19" t="s">
        <v>223</v>
      </c>
      <c r="E397" s="18" t="s">
        <v>928</v>
      </c>
      <c r="F397" s="19" t="s">
        <v>912</v>
      </c>
      <c r="G397" s="36" t="s">
        <v>929</v>
      </c>
      <c r="H397" s="19" t="s">
        <v>742</v>
      </c>
      <c r="I397" s="23" t="s">
        <v>930</v>
      </c>
    </row>
    <row r="398" spans="1:9" ht="18" hidden="1" customHeight="1" outlineLevel="2" x14ac:dyDescent="0.2">
      <c r="A398" s="18"/>
      <c r="B398" s="18"/>
      <c r="C398" s="18"/>
      <c r="D398" s="19" t="s">
        <v>223</v>
      </c>
      <c r="E398" s="18" t="s">
        <v>928</v>
      </c>
      <c r="F398" s="19" t="s">
        <v>914</v>
      </c>
      <c r="G398" s="36" t="s">
        <v>931</v>
      </c>
      <c r="H398" s="19" t="s">
        <v>742</v>
      </c>
      <c r="I398" s="23" t="s">
        <v>930</v>
      </c>
    </row>
    <row r="399" spans="1:9" ht="18" hidden="1" customHeight="1" outlineLevel="2" x14ac:dyDescent="0.2">
      <c r="A399" s="18"/>
      <c r="B399" s="18"/>
      <c r="C399" s="18"/>
      <c r="D399" s="19" t="s">
        <v>223</v>
      </c>
      <c r="E399" s="18" t="s">
        <v>928</v>
      </c>
      <c r="F399" s="19" t="s">
        <v>916</v>
      </c>
      <c r="G399" s="36" t="s">
        <v>932</v>
      </c>
      <c r="H399" s="19" t="s">
        <v>742</v>
      </c>
      <c r="I399" s="23" t="s">
        <v>930</v>
      </c>
    </row>
    <row r="400" spans="1:9" ht="18" hidden="1" customHeight="1" outlineLevel="2" x14ac:dyDescent="0.2">
      <c r="A400" s="18"/>
      <c r="B400" s="18"/>
      <c r="C400" s="18"/>
      <c r="D400" s="19" t="s">
        <v>223</v>
      </c>
      <c r="E400" s="18" t="s">
        <v>928</v>
      </c>
      <c r="F400" s="19" t="s">
        <v>918</v>
      </c>
      <c r="G400" s="36" t="s">
        <v>933</v>
      </c>
      <c r="H400" s="19" t="s">
        <v>742</v>
      </c>
      <c r="I400" s="23" t="s">
        <v>930</v>
      </c>
    </row>
    <row r="401" spans="1:9" ht="18" hidden="1" customHeight="1" outlineLevel="2" x14ac:dyDescent="0.2">
      <c r="A401" s="18"/>
      <c r="B401" s="18"/>
      <c r="C401" s="18"/>
      <c r="D401" s="19" t="s">
        <v>223</v>
      </c>
      <c r="E401" s="18" t="s">
        <v>928</v>
      </c>
      <c r="F401" s="19" t="s">
        <v>920</v>
      </c>
      <c r="G401" s="36" t="s">
        <v>934</v>
      </c>
      <c r="H401" s="19" t="s">
        <v>742</v>
      </c>
      <c r="I401" s="23" t="s">
        <v>930</v>
      </c>
    </row>
    <row r="402" spans="1:9" ht="18" hidden="1" customHeight="1" outlineLevel="2" x14ac:dyDescent="0.2">
      <c r="A402" s="18"/>
      <c r="B402" s="18"/>
      <c r="C402" s="18"/>
      <c r="D402" s="19" t="s">
        <v>223</v>
      </c>
      <c r="E402" s="18" t="s">
        <v>928</v>
      </c>
      <c r="F402" s="19" t="s">
        <v>922</v>
      </c>
      <c r="G402" s="36" t="s">
        <v>935</v>
      </c>
      <c r="H402" s="19" t="s">
        <v>742</v>
      </c>
      <c r="I402" s="23" t="s">
        <v>930</v>
      </c>
    </row>
    <row r="403" spans="1:9" ht="18" hidden="1" customHeight="1" outlineLevel="2" x14ac:dyDescent="0.2">
      <c r="A403" s="18"/>
      <c r="B403" s="18"/>
      <c r="C403" s="18"/>
      <c r="D403" s="19" t="s">
        <v>223</v>
      </c>
      <c r="E403" s="18" t="s">
        <v>928</v>
      </c>
      <c r="F403" s="19" t="s">
        <v>924</v>
      </c>
      <c r="G403" s="36" t="s">
        <v>936</v>
      </c>
      <c r="H403" s="19" t="s">
        <v>742</v>
      </c>
      <c r="I403" s="23" t="s">
        <v>930</v>
      </c>
    </row>
    <row r="404" spans="1:9" ht="18" hidden="1" customHeight="1" outlineLevel="2" x14ac:dyDescent="0.2">
      <c r="A404" s="18"/>
      <c r="B404" s="18"/>
      <c r="C404" s="18"/>
      <c r="D404" s="19" t="s">
        <v>223</v>
      </c>
      <c r="E404" s="18" t="s">
        <v>928</v>
      </c>
      <c r="F404" s="19" t="s">
        <v>926</v>
      </c>
      <c r="G404" s="36" t="s">
        <v>937</v>
      </c>
      <c r="H404" s="19" t="s">
        <v>742</v>
      </c>
      <c r="I404" s="23" t="s">
        <v>930</v>
      </c>
    </row>
    <row r="405" spans="1:9" ht="18" hidden="1" customHeight="1" outlineLevel="2" x14ac:dyDescent="0.2">
      <c r="A405" s="18"/>
      <c r="B405" s="18"/>
      <c r="C405" s="18"/>
      <c r="D405" s="19"/>
      <c r="E405" s="18"/>
      <c r="F405" s="19"/>
      <c r="G405" s="36"/>
      <c r="H405" s="19"/>
      <c r="I405" s="23"/>
    </row>
    <row r="406" spans="1:9" ht="18" hidden="1" customHeight="1" outlineLevel="2" x14ac:dyDescent="0.2">
      <c r="A406" s="18"/>
      <c r="B406" s="18"/>
      <c r="C406" s="18"/>
      <c r="D406" s="19" t="s">
        <v>223</v>
      </c>
      <c r="E406" s="18" t="s">
        <v>938</v>
      </c>
      <c r="F406" s="19" t="s">
        <v>909</v>
      </c>
      <c r="G406" s="36" t="s">
        <v>939</v>
      </c>
      <c r="H406" s="19" t="s">
        <v>742</v>
      </c>
      <c r="I406" s="23"/>
    </row>
    <row r="407" spans="1:9" ht="18" hidden="1" customHeight="1" outlineLevel="2" x14ac:dyDescent="0.2">
      <c r="A407" s="18"/>
      <c r="B407" s="18"/>
      <c r="C407" s="18"/>
      <c r="D407" s="19" t="s">
        <v>223</v>
      </c>
      <c r="E407" s="18" t="s">
        <v>938</v>
      </c>
      <c r="F407" s="19" t="s">
        <v>912</v>
      </c>
      <c r="G407" s="36" t="s">
        <v>940</v>
      </c>
      <c r="H407" s="19" t="s">
        <v>742</v>
      </c>
      <c r="I407" s="23"/>
    </row>
    <row r="408" spans="1:9" ht="18" hidden="1" customHeight="1" outlineLevel="2" x14ac:dyDescent="0.2">
      <c r="A408" s="18"/>
      <c r="B408" s="18"/>
      <c r="C408" s="18"/>
      <c r="D408" s="19" t="s">
        <v>223</v>
      </c>
      <c r="E408" s="18" t="s">
        <v>938</v>
      </c>
      <c r="F408" s="19" t="s">
        <v>914</v>
      </c>
      <c r="G408" s="36" t="s">
        <v>941</v>
      </c>
      <c r="H408" s="19" t="s">
        <v>742</v>
      </c>
      <c r="I408" s="23"/>
    </row>
    <row r="409" spans="1:9" ht="18" hidden="1" customHeight="1" outlineLevel="2" x14ac:dyDescent="0.2">
      <c r="A409" s="18"/>
      <c r="B409" s="18"/>
      <c r="C409" s="18"/>
      <c r="D409" s="19" t="s">
        <v>223</v>
      </c>
      <c r="E409" s="18" t="s">
        <v>938</v>
      </c>
      <c r="F409" s="19" t="s">
        <v>916</v>
      </c>
      <c r="G409" s="36" t="s">
        <v>942</v>
      </c>
      <c r="H409" s="19" t="s">
        <v>742</v>
      </c>
      <c r="I409" s="23"/>
    </row>
    <row r="410" spans="1:9" ht="18" hidden="1" customHeight="1" outlineLevel="2" x14ac:dyDescent="0.2">
      <c r="A410" s="18"/>
      <c r="B410" s="18"/>
      <c r="C410" s="18"/>
      <c r="D410" s="19" t="s">
        <v>223</v>
      </c>
      <c r="E410" s="18" t="s">
        <v>938</v>
      </c>
      <c r="F410" s="19" t="s">
        <v>918</v>
      </c>
      <c r="G410" s="36" t="s">
        <v>943</v>
      </c>
      <c r="H410" s="19" t="s">
        <v>742</v>
      </c>
      <c r="I410" s="23"/>
    </row>
    <row r="411" spans="1:9" ht="18" hidden="1" customHeight="1" outlineLevel="2" x14ac:dyDescent="0.2">
      <c r="A411" s="18"/>
      <c r="B411" s="18"/>
      <c r="C411" s="18"/>
      <c r="D411" s="19" t="s">
        <v>223</v>
      </c>
      <c r="E411" s="18" t="s">
        <v>938</v>
      </c>
      <c r="F411" s="19" t="s">
        <v>920</v>
      </c>
      <c r="G411" s="36" t="s">
        <v>944</v>
      </c>
      <c r="H411" s="19" t="s">
        <v>742</v>
      </c>
      <c r="I411" s="23"/>
    </row>
    <row r="412" spans="1:9" ht="18" hidden="1" customHeight="1" outlineLevel="2" x14ac:dyDescent="0.2">
      <c r="A412" s="18"/>
      <c r="B412" s="18"/>
      <c r="C412" s="18"/>
      <c r="D412" s="19" t="s">
        <v>223</v>
      </c>
      <c r="E412" s="18" t="s">
        <v>938</v>
      </c>
      <c r="F412" s="19" t="s">
        <v>922</v>
      </c>
      <c r="G412" s="36" t="s">
        <v>945</v>
      </c>
      <c r="H412" s="19" t="s">
        <v>742</v>
      </c>
      <c r="I412" s="23"/>
    </row>
    <row r="413" spans="1:9" ht="18" hidden="1" customHeight="1" outlineLevel="2" x14ac:dyDescent="0.2">
      <c r="A413" s="18"/>
      <c r="B413" s="18"/>
      <c r="C413" s="18"/>
      <c r="D413" s="19" t="s">
        <v>223</v>
      </c>
      <c r="E413" s="18" t="s">
        <v>938</v>
      </c>
      <c r="F413" s="19" t="s">
        <v>924</v>
      </c>
      <c r="G413" s="36" t="s">
        <v>946</v>
      </c>
      <c r="H413" s="19" t="s">
        <v>742</v>
      </c>
      <c r="I413" s="23"/>
    </row>
    <row r="414" spans="1:9" ht="18" hidden="1" customHeight="1" outlineLevel="2" x14ac:dyDescent="0.2">
      <c r="A414" s="18"/>
      <c r="B414" s="18"/>
      <c r="C414" s="18"/>
      <c r="D414" s="19" t="s">
        <v>223</v>
      </c>
      <c r="E414" s="18" t="s">
        <v>938</v>
      </c>
      <c r="F414" s="19" t="s">
        <v>926</v>
      </c>
      <c r="G414" s="36" t="s">
        <v>947</v>
      </c>
      <c r="H414" s="19" t="s">
        <v>742</v>
      </c>
      <c r="I414" s="23"/>
    </row>
    <row r="415" spans="1:9" ht="18" hidden="1" customHeight="1" outlineLevel="2" x14ac:dyDescent="0.2">
      <c r="A415" s="18"/>
      <c r="B415" s="18"/>
      <c r="C415" s="18"/>
      <c r="D415" s="19"/>
      <c r="E415" s="18"/>
      <c r="F415" s="19"/>
      <c r="G415" s="36"/>
      <c r="H415" s="19"/>
      <c r="I415" s="23"/>
    </row>
    <row r="416" spans="1:9" ht="18" hidden="1" customHeight="1" outlineLevel="2" x14ac:dyDescent="0.2">
      <c r="A416" s="18"/>
      <c r="B416" s="18"/>
      <c r="C416" s="18"/>
      <c r="D416" s="19" t="s">
        <v>223</v>
      </c>
      <c r="E416" s="18" t="s">
        <v>948</v>
      </c>
      <c r="F416" s="19" t="s">
        <v>949</v>
      </c>
      <c r="G416" s="36" t="s">
        <v>950</v>
      </c>
      <c r="H416" s="19" t="s">
        <v>742</v>
      </c>
      <c r="I416" s="23"/>
    </row>
    <row r="417" spans="1:9" ht="18" hidden="1" customHeight="1" outlineLevel="2" x14ac:dyDescent="0.2">
      <c r="A417" s="18"/>
      <c r="B417" s="18"/>
      <c r="C417" s="18"/>
      <c r="D417" s="19" t="s">
        <v>223</v>
      </c>
      <c r="E417" s="18" t="s">
        <v>948</v>
      </c>
      <c r="F417" s="19" t="s">
        <v>951</v>
      </c>
      <c r="G417" s="36" t="s">
        <v>952</v>
      </c>
      <c r="H417" s="19" t="s">
        <v>742</v>
      </c>
      <c r="I417" s="23"/>
    </row>
    <row r="418" spans="1:9" ht="18" hidden="1" customHeight="1" outlineLevel="2" x14ac:dyDescent="0.2">
      <c r="A418" s="18"/>
      <c r="B418" s="18"/>
      <c r="C418" s="18"/>
      <c r="D418" s="19" t="s">
        <v>223</v>
      </c>
      <c r="E418" s="18" t="s">
        <v>948</v>
      </c>
      <c r="F418" s="19" t="s">
        <v>953</v>
      </c>
      <c r="G418" s="36" t="s">
        <v>954</v>
      </c>
      <c r="H418" s="19" t="s">
        <v>742</v>
      </c>
      <c r="I418" s="23"/>
    </row>
    <row r="419" spans="1:9" ht="18" hidden="1" customHeight="1" outlineLevel="2" x14ac:dyDescent="0.2">
      <c r="A419" s="18"/>
      <c r="B419" s="18"/>
      <c r="C419" s="18"/>
      <c r="D419" s="19" t="s">
        <v>223</v>
      </c>
      <c r="E419" s="18" t="s">
        <v>948</v>
      </c>
      <c r="F419" s="19" t="s">
        <v>955</v>
      </c>
      <c r="G419" s="36" t="s">
        <v>956</v>
      </c>
      <c r="H419" s="19" t="s">
        <v>742</v>
      </c>
      <c r="I419" s="23"/>
    </row>
    <row r="420" spans="1:9" ht="18" hidden="1" customHeight="1" outlineLevel="2" x14ac:dyDescent="0.2">
      <c r="A420" s="18"/>
      <c r="B420" s="18"/>
      <c r="C420" s="18"/>
      <c r="D420" s="19" t="s">
        <v>223</v>
      </c>
      <c r="E420" s="18" t="s">
        <v>948</v>
      </c>
      <c r="F420" s="19" t="s">
        <v>957</v>
      </c>
      <c r="G420" s="36" t="s">
        <v>958</v>
      </c>
      <c r="H420" s="19" t="s">
        <v>742</v>
      </c>
      <c r="I420" s="23"/>
    </row>
    <row r="421" spans="1:9" ht="18" hidden="1" customHeight="1" outlineLevel="2" x14ac:dyDescent="0.2">
      <c r="A421" s="18"/>
      <c r="B421" s="18"/>
      <c r="C421" s="18"/>
      <c r="D421" s="19" t="s">
        <v>223</v>
      </c>
      <c r="E421" s="18" t="s">
        <v>948</v>
      </c>
      <c r="F421" s="19" t="s">
        <v>959</v>
      </c>
      <c r="G421" s="36" t="s">
        <v>960</v>
      </c>
      <c r="H421" s="19" t="s">
        <v>742</v>
      </c>
      <c r="I421" s="23"/>
    </row>
    <row r="422" spans="1:9" ht="18" hidden="1" customHeight="1" outlineLevel="2" x14ac:dyDescent="0.2">
      <c r="A422" s="18"/>
      <c r="B422" s="18"/>
      <c r="C422" s="18"/>
      <c r="D422" s="19" t="s">
        <v>223</v>
      </c>
      <c r="E422" s="18" t="s">
        <v>948</v>
      </c>
      <c r="F422" s="19" t="s">
        <v>961</v>
      </c>
      <c r="G422" s="36" t="s">
        <v>962</v>
      </c>
      <c r="H422" s="19" t="s">
        <v>742</v>
      </c>
      <c r="I422" s="23"/>
    </row>
    <row r="423" spans="1:9" ht="18" hidden="1" customHeight="1" outlineLevel="2" x14ac:dyDescent="0.2">
      <c r="A423" s="18"/>
      <c r="B423" s="18"/>
      <c r="C423" s="18"/>
      <c r="D423" s="19" t="s">
        <v>223</v>
      </c>
      <c r="E423" s="18" t="s">
        <v>948</v>
      </c>
      <c r="F423" s="19" t="s">
        <v>963</v>
      </c>
      <c r="G423" s="36" t="s">
        <v>964</v>
      </c>
      <c r="H423" s="19" t="s">
        <v>742</v>
      </c>
      <c r="I423" s="23"/>
    </row>
    <row r="424" spans="1:9" ht="18" hidden="1" customHeight="1" outlineLevel="2" x14ac:dyDescent="0.2">
      <c r="A424" s="18"/>
      <c r="B424" s="18"/>
      <c r="C424" s="18"/>
      <c r="D424" s="19" t="s">
        <v>223</v>
      </c>
      <c r="E424" s="18" t="s">
        <v>948</v>
      </c>
      <c r="F424" s="19" t="s">
        <v>965</v>
      </c>
      <c r="G424" s="36" t="s">
        <v>966</v>
      </c>
      <c r="H424" s="19" t="s">
        <v>742</v>
      </c>
      <c r="I424" s="23"/>
    </row>
    <row r="425" spans="1:9" ht="18" hidden="1" customHeight="1" outlineLevel="2" x14ac:dyDescent="0.2">
      <c r="A425" s="18"/>
      <c r="B425" s="18"/>
      <c r="C425" s="18"/>
      <c r="D425" s="19"/>
      <c r="E425" s="18"/>
      <c r="F425" s="19"/>
      <c r="G425" s="36"/>
      <c r="H425" s="19"/>
      <c r="I425" s="23"/>
    </row>
    <row r="426" spans="1:9" ht="18" hidden="1" customHeight="1" outlineLevel="2" x14ac:dyDescent="0.2">
      <c r="A426" s="18"/>
      <c r="B426" s="18"/>
      <c r="C426" s="18"/>
      <c r="D426" s="19" t="s">
        <v>223</v>
      </c>
      <c r="E426" s="18" t="s">
        <v>848</v>
      </c>
      <c r="F426" s="19" t="s">
        <v>967</v>
      </c>
      <c r="G426" s="36" t="s">
        <v>968</v>
      </c>
      <c r="H426" s="19" t="s">
        <v>742</v>
      </c>
      <c r="I426" s="23"/>
    </row>
    <row r="427" spans="1:9" ht="18" hidden="1" customHeight="1" outlineLevel="2" x14ac:dyDescent="0.2">
      <c r="A427" s="18"/>
      <c r="B427" s="18"/>
      <c r="C427" s="18"/>
      <c r="D427" s="19" t="s">
        <v>223</v>
      </c>
      <c r="E427" s="18" t="s">
        <v>848</v>
      </c>
      <c r="F427" s="19" t="s">
        <v>969</v>
      </c>
      <c r="G427" s="36" t="s">
        <v>970</v>
      </c>
      <c r="H427" s="19" t="s">
        <v>742</v>
      </c>
      <c r="I427" s="23"/>
    </row>
    <row r="428" spans="1:9" ht="18" hidden="1" customHeight="1" outlineLevel="2" x14ac:dyDescent="0.2">
      <c r="A428" s="18"/>
      <c r="B428" s="18"/>
      <c r="C428" s="18"/>
      <c r="D428" s="19" t="s">
        <v>223</v>
      </c>
      <c r="E428" s="18" t="s">
        <v>848</v>
      </c>
      <c r="F428" s="19" t="s">
        <v>971</v>
      </c>
      <c r="G428" s="36" t="s">
        <v>972</v>
      </c>
      <c r="H428" s="19" t="s">
        <v>742</v>
      </c>
      <c r="I428" s="23"/>
    </row>
    <row r="429" spans="1:9" ht="18" hidden="1" customHeight="1" outlineLevel="2" x14ac:dyDescent="0.2">
      <c r="A429" s="18"/>
      <c r="B429" s="18"/>
      <c r="C429" s="18"/>
      <c r="D429" s="19" t="s">
        <v>223</v>
      </c>
      <c r="E429" s="18" t="s">
        <v>848</v>
      </c>
      <c r="F429" s="19" t="s">
        <v>849</v>
      </c>
      <c r="G429" s="36" t="s">
        <v>850</v>
      </c>
      <c r="H429" s="19" t="s">
        <v>742</v>
      </c>
      <c r="I429" s="23" t="s">
        <v>851</v>
      </c>
    </row>
    <row r="430" spans="1:9" ht="18" hidden="1" customHeight="1" outlineLevel="2" x14ac:dyDescent="0.2">
      <c r="A430" s="18"/>
      <c r="B430" s="18"/>
      <c r="C430" s="18"/>
      <c r="D430" s="19" t="s">
        <v>223</v>
      </c>
      <c r="E430" s="18" t="s">
        <v>848</v>
      </c>
      <c r="F430" s="19" t="s">
        <v>973</v>
      </c>
      <c r="G430" s="36" t="s">
        <v>974</v>
      </c>
      <c r="H430" s="19" t="s">
        <v>742</v>
      </c>
      <c r="I430" s="23"/>
    </row>
    <row r="431" spans="1:9" ht="18" hidden="1" customHeight="1" outlineLevel="2" x14ac:dyDescent="0.2">
      <c r="A431" s="18"/>
      <c r="B431" s="18"/>
      <c r="C431" s="18"/>
      <c r="D431" s="19" t="s">
        <v>223</v>
      </c>
      <c r="E431" s="18" t="s">
        <v>848</v>
      </c>
      <c r="F431" s="19" t="s">
        <v>975</v>
      </c>
      <c r="G431" s="36" t="s">
        <v>976</v>
      </c>
      <c r="H431" s="19" t="s">
        <v>742</v>
      </c>
      <c r="I431" s="23"/>
    </row>
    <row r="432" spans="1:9" ht="18" hidden="1" customHeight="1" outlineLevel="2" x14ac:dyDescent="0.2">
      <c r="A432" s="18"/>
      <c r="B432" s="18"/>
      <c r="C432" s="18"/>
      <c r="D432" s="19" t="s">
        <v>223</v>
      </c>
      <c r="E432" s="18" t="s">
        <v>848</v>
      </c>
      <c r="F432" s="19" t="s">
        <v>977</v>
      </c>
      <c r="G432" s="36" t="s">
        <v>978</v>
      </c>
      <c r="H432" s="19" t="s">
        <v>742</v>
      </c>
      <c r="I432" s="23"/>
    </row>
    <row r="433" spans="1:9" ht="18" hidden="1" customHeight="1" outlineLevel="2" x14ac:dyDescent="0.2">
      <c r="A433" s="18"/>
      <c r="B433" s="18"/>
      <c r="C433" s="18"/>
      <c r="D433" s="19" t="s">
        <v>223</v>
      </c>
      <c r="E433" s="18" t="s">
        <v>848</v>
      </c>
      <c r="F433" s="19" t="s">
        <v>979</v>
      </c>
      <c r="G433" s="36" t="s">
        <v>980</v>
      </c>
      <c r="H433" s="19" t="s">
        <v>742</v>
      </c>
      <c r="I433" s="23"/>
    </row>
    <row r="434" spans="1:9" ht="18" hidden="1" customHeight="1" outlineLevel="2" x14ac:dyDescent="0.2">
      <c r="A434" s="18"/>
      <c r="B434" s="18"/>
      <c r="C434" s="18"/>
      <c r="D434" s="19" t="s">
        <v>223</v>
      </c>
      <c r="E434" s="18" t="s">
        <v>848</v>
      </c>
      <c r="F434" s="19" t="s">
        <v>981</v>
      </c>
      <c r="G434" s="36" t="s">
        <v>982</v>
      </c>
      <c r="H434" s="19" t="s">
        <v>742</v>
      </c>
      <c r="I434" s="23"/>
    </row>
    <row r="435" spans="1:9" ht="18" hidden="1" customHeight="1" outlineLevel="2" x14ac:dyDescent="0.2">
      <c r="A435" s="18"/>
      <c r="B435" s="18"/>
      <c r="C435" s="18"/>
      <c r="D435" s="19" t="s">
        <v>223</v>
      </c>
      <c r="E435" s="18" t="s">
        <v>848</v>
      </c>
      <c r="F435" s="19" t="s">
        <v>983</v>
      </c>
      <c r="G435" s="36" t="s">
        <v>984</v>
      </c>
      <c r="H435" s="19" t="s">
        <v>742</v>
      </c>
      <c r="I435" s="23"/>
    </row>
    <row r="436" spans="1:9" ht="18" hidden="1" customHeight="1" outlineLevel="2" x14ac:dyDescent="0.2">
      <c r="A436" s="18"/>
      <c r="B436" s="18"/>
      <c r="C436" s="18"/>
      <c r="D436" s="19" t="s">
        <v>223</v>
      </c>
      <c r="E436" s="18" t="s">
        <v>848</v>
      </c>
      <c r="F436" s="19" t="s">
        <v>985</v>
      </c>
      <c r="G436" s="36" t="s">
        <v>986</v>
      </c>
      <c r="H436" s="19" t="s">
        <v>742</v>
      </c>
      <c r="I436" s="23"/>
    </row>
    <row r="437" spans="1:9" ht="18" hidden="1" customHeight="1" outlineLevel="2" x14ac:dyDescent="0.2">
      <c r="A437" s="18"/>
      <c r="B437" s="18"/>
      <c r="C437" s="18"/>
      <c r="D437" s="19" t="s">
        <v>223</v>
      </c>
      <c r="E437" s="18" t="s">
        <v>848</v>
      </c>
      <c r="F437" s="19" t="s">
        <v>987</v>
      </c>
      <c r="G437" s="36" t="s">
        <v>988</v>
      </c>
      <c r="H437" s="19" t="s">
        <v>742</v>
      </c>
      <c r="I437" s="23"/>
    </row>
    <row r="438" spans="1:9" ht="18" hidden="1" customHeight="1" outlineLevel="2" x14ac:dyDescent="0.2">
      <c r="A438" s="18"/>
      <c r="B438" s="18"/>
      <c r="C438" s="18"/>
      <c r="D438" s="19" t="s">
        <v>223</v>
      </c>
      <c r="E438" s="18" t="s">
        <v>848</v>
      </c>
      <c r="F438" s="19" t="s">
        <v>989</v>
      </c>
      <c r="G438" s="36" t="s">
        <v>990</v>
      </c>
      <c r="H438" s="19" t="s">
        <v>742</v>
      </c>
      <c r="I438" s="23"/>
    </row>
    <row r="439" spans="1:9" ht="18" hidden="1" customHeight="1" outlineLevel="2" x14ac:dyDescent="0.2">
      <c r="A439" s="18"/>
      <c r="B439" s="18"/>
      <c r="C439" s="18"/>
      <c r="D439" s="19" t="s">
        <v>223</v>
      </c>
      <c r="E439" s="18" t="s">
        <v>848</v>
      </c>
      <c r="F439" s="19" t="s">
        <v>991</v>
      </c>
      <c r="G439" s="36" t="s">
        <v>992</v>
      </c>
      <c r="H439" s="19" t="s">
        <v>742</v>
      </c>
      <c r="I439" s="23"/>
    </row>
    <row r="440" spans="1:9" ht="18" hidden="1" customHeight="1" outlineLevel="2" x14ac:dyDescent="0.2">
      <c r="A440" s="18"/>
      <c r="B440" s="18"/>
      <c r="C440" s="18"/>
      <c r="D440" s="19" t="s">
        <v>223</v>
      </c>
      <c r="E440" s="18" t="s">
        <v>848</v>
      </c>
      <c r="F440" s="19" t="s">
        <v>993</v>
      </c>
      <c r="G440" s="36" t="s">
        <v>994</v>
      </c>
      <c r="H440" s="19" t="s">
        <v>742</v>
      </c>
      <c r="I440" s="23"/>
    </row>
    <row r="441" spans="1:9" ht="18" hidden="1" customHeight="1" outlineLevel="2" x14ac:dyDescent="0.2">
      <c r="A441" s="18"/>
      <c r="B441" s="18"/>
      <c r="C441" s="18"/>
      <c r="D441" s="19" t="s">
        <v>223</v>
      </c>
      <c r="E441" s="18" t="s">
        <v>848</v>
      </c>
      <c r="F441" s="19" t="s">
        <v>995</v>
      </c>
      <c r="G441" s="36" t="s">
        <v>996</v>
      </c>
      <c r="H441" s="19" t="s">
        <v>742</v>
      </c>
      <c r="I441" s="23"/>
    </row>
    <row r="442" spans="1:9" ht="18" hidden="1" customHeight="1" outlineLevel="2" x14ac:dyDescent="0.2">
      <c r="A442" s="18"/>
      <c r="B442" s="18"/>
      <c r="C442" s="18"/>
      <c r="D442" s="19" t="s">
        <v>223</v>
      </c>
      <c r="E442" s="18" t="s">
        <v>848</v>
      </c>
      <c r="F442" s="19" t="s">
        <v>997</v>
      </c>
      <c r="G442" s="36" t="s">
        <v>998</v>
      </c>
      <c r="H442" s="19" t="s">
        <v>742</v>
      </c>
      <c r="I442" s="23"/>
    </row>
    <row r="443" spans="1:9" ht="18" hidden="1" customHeight="1" outlineLevel="2" x14ac:dyDescent="0.2">
      <c r="A443" s="18"/>
      <c r="B443" s="18"/>
      <c r="C443" s="18"/>
      <c r="D443" s="19" t="s">
        <v>223</v>
      </c>
      <c r="E443" s="18" t="s">
        <v>848</v>
      </c>
      <c r="F443" s="19" t="s">
        <v>999</v>
      </c>
      <c r="G443" s="36" t="s">
        <v>1000</v>
      </c>
      <c r="H443" s="19" t="s">
        <v>742</v>
      </c>
      <c r="I443" s="23"/>
    </row>
    <row r="444" spans="1:9" ht="18" hidden="1" customHeight="1" outlineLevel="2" x14ac:dyDescent="0.2">
      <c r="A444" s="18"/>
      <c r="B444" s="18"/>
      <c r="C444" s="18"/>
      <c r="D444" s="19" t="s">
        <v>223</v>
      </c>
      <c r="E444" s="18" t="s">
        <v>848</v>
      </c>
      <c r="F444" s="19" t="s">
        <v>1001</v>
      </c>
      <c r="G444" s="36" t="s">
        <v>1002</v>
      </c>
      <c r="H444" s="19" t="s">
        <v>742</v>
      </c>
      <c r="I444" s="23"/>
    </row>
    <row r="445" spans="1:9" ht="18" hidden="1" customHeight="1" outlineLevel="2" x14ac:dyDescent="0.2">
      <c r="A445" s="18"/>
      <c r="B445" s="18"/>
      <c r="C445" s="18"/>
      <c r="D445" s="19" t="s">
        <v>223</v>
      </c>
      <c r="E445" s="18" t="s">
        <v>848</v>
      </c>
      <c r="F445" s="19" t="s">
        <v>1003</v>
      </c>
      <c r="G445" s="36" t="s">
        <v>1004</v>
      </c>
      <c r="H445" s="19" t="s">
        <v>742</v>
      </c>
      <c r="I445" s="23"/>
    </row>
    <row r="446" spans="1:9" ht="18" hidden="1" customHeight="1" outlineLevel="2" x14ac:dyDescent="0.2">
      <c r="A446" s="18"/>
      <c r="B446" s="18"/>
      <c r="C446" s="18"/>
      <c r="D446" s="19" t="s">
        <v>223</v>
      </c>
      <c r="E446" s="18" t="s">
        <v>848</v>
      </c>
      <c r="F446" s="19" t="s">
        <v>1005</v>
      </c>
      <c r="G446" s="36" t="s">
        <v>1006</v>
      </c>
      <c r="H446" s="19" t="s">
        <v>742</v>
      </c>
      <c r="I446" s="23"/>
    </row>
    <row r="447" spans="1:9" ht="18" hidden="1" customHeight="1" outlineLevel="2" x14ac:dyDescent="0.2">
      <c r="A447" s="18"/>
      <c r="B447" s="18"/>
      <c r="C447" s="18"/>
      <c r="D447" s="19" t="s">
        <v>223</v>
      </c>
      <c r="E447" s="18" t="s">
        <v>848</v>
      </c>
      <c r="F447" s="19" t="s">
        <v>1007</v>
      </c>
      <c r="G447" s="36" t="s">
        <v>1008</v>
      </c>
      <c r="H447" s="19" t="s">
        <v>742</v>
      </c>
      <c r="I447" s="23"/>
    </row>
    <row r="448" spans="1:9" ht="18" hidden="1" customHeight="1" outlineLevel="2" x14ac:dyDescent="0.2">
      <c r="A448" s="18"/>
      <c r="B448" s="18"/>
      <c r="C448" s="18"/>
      <c r="D448" s="19" t="s">
        <v>223</v>
      </c>
      <c r="E448" s="18" t="s">
        <v>848</v>
      </c>
      <c r="F448" s="19" t="s">
        <v>1009</v>
      </c>
      <c r="G448" s="36" t="s">
        <v>1010</v>
      </c>
      <c r="H448" s="19" t="s">
        <v>742</v>
      </c>
      <c r="I448" s="23"/>
    </row>
    <row r="449" spans="1:9" ht="18" hidden="1" customHeight="1" outlineLevel="2" x14ac:dyDescent="0.2">
      <c r="A449" s="18"/>
      <c r="B449" s="18"/>
      <c r="C449" s="18"/>
      <c r="D449" s="19" t="s">
        <v>223</v>
      </c>
      <c r="E449" s="18" t="s">
        <v>848</v>
      </c>
      <c r="F449" s="19" t="s">
        <v>1011</v>
      </c>
      <c r="G449" s="36" t="s">
        <v>1012</v>
      </c>
      <c r="H449" s="19" t="s">
        <v>742</v>
      </c>
      <c r="I449" s="23"/>
    </row>
    <row r="450" spans="1:9" ht="18" hidden="1" customHeight="1" outlineLevel="2" x14ac:dyDescent="0.2">
      <c r="A450" s="18"/>
      <c r="B450" s="18"/>
      <c r="C450" s="18"/>
      <c r="D450" s="19"/>
      <c r="E450" s="18"/>
      <c r="F450" s="19"/>
      <c r="G450" s="36"/>
      <c r="H450" s="19"/>
      <c r="I450" s="23"/>
    </row>
    <row r="451" spans="1:9" ht="18" hidden="1" customHeight="1" outlineLevel="2" x14ac:dyDescent="0.2">
      <c r="A451" s="18"/>
      <c r="B451" s="18"/>
      <c r="C451" s="18"/>
      <c r="D451" s="19" t="s">
        <v>223</v>
      </c>
      <c r="E451" s="18" t="s">
        <v>1013</v>
      </c>
      <c r="F451" s="19" t="s">
        <v>967</v>
      </c>
      <c r="G451" s="36" t="s">
        <v>1014</v>
      </c>
      <c r="H451" s="19" t="s">
        <v>742</v>
      </c>
      <c r="I451" s="23"/>
    </row>
    <row r="452" spans="1:9" ht="18" hidden="1" customHeight="1" outlineLevel="2" x14ac:dyDescent="0.2">
      <c r="A452" s="18"/>
      <c r="B452" s="18"/>
      <c r="C452" s="18"/>
      <c r="D452" s="19" t="s">
        <v>223</v>
      </c>
      <c r="E452" s="18" t="s">
        <v>1013</v>
      </c>
      <c r="F452" s="19" t="s">
        <v>1015</v>
      </c>
      <c r="G452" s="36" t="s">
        <v>1016</v>
      </c>
      <c r="H452" s="19" t="s">
        <v>742</v>
      </c>
      <c r="I452" s="23"/>
    </row>
    <row r="453" spans="1:9" ht="18" hidden="1" customHeight="1" outlineLevel="2" x14ac:dyDescent="0.2">
      <c r="A453" s="18"/>
      <c r="B453" s="18"/>
      <c r="C453" s="18"/>
      <c r="D453" s="19" t="s">
        <v>223</v>
      </c>
      <c r="E453" s="18" t="s">
        <v>1013</v>
      </c>
      <c r="F453" s="19" t="s">
        <v>849</v>
      </c>
      <c r="G453" s="36" t="s">
        <v>1017</v>
      </c>
      <c r="H453" s="19" t="s">
        <v>742</v>
      </c>
      <c r="I453" s="23"/>
    </row>
    <row r="454" spans="1:9" ht="18" hidden="1" customHeight="1" outlineLevel="2" x14ac:dyDescent="0.2">
      <c r="A454" s="18"/>
      <c r="B454" s="18"/>
      <c r="C454" s="18"/>
      <c r="D454" s="19" t="s">
        <v>223</v>
      </c>
      <c r="E454" s="18" t="s">
        <v>1013</v>
      </c>
      <c r="F454" s="19" t="s">
        <v>1018</v>
      </c>
      <c r="G454" s="36" t="s">
        <v>1019</v>
      </c>
      <c r="H454" s="19" t="s">
        <v>742</v>
      </c>
      <c r="I454" s="23"/>
    </row>
    <row r="455" spans="1:9" ht="18" hidden="1" customHeight="1" outlineLevel="2" x14ac:dyDescent="0.2">
      <c r="A455" s="18"/>
      <c r="B455" s="18"/>
      <c r="C455" s="18"/>
      <c r="D455" s="19" t="s">
        <v>223</v>
      </c>
      <c r="E455" s="18" t="s">
        <v>1013</v>
      </c>
      <c r="F455" s="19" t="s">
        <v>975</v>
      </c>
      <c r="G455" s="36" t="s">
        <v>1020</v>
      </c>
      <c r="H455" s="19" t="s">
        <v>742</v>
      </c>
      <c r="I455" s="23"/>
    </row>
    <row r="456" spans="1:9" ht="18" hidden="1" customHeight="1" outlineLevel="2" x14ac:dyDescent="0.2">
      <c r="A456" s="18"/>
      <c r="B456" s="18"/>
      <c r="C456" s="18"/>
      <c r="D456" s="19" t="s">
        <v>223</v>
      </c>
      <c r="E456" s="18" t="s">
        <v>1013</v>
      </c>
      <c r="F456" s="19" t="s">
        <v>977</v>
      </c>
      <c r="G456" s="36" t="s">
        <v>1021</v>
      </c>
      <c r="H456" s="19" t="s">
        <v>742</v>
      </c>
      <c r="I456" s="23"/>
    </row>
    <row r="457" spans="1:9" ht="18" hidden="1" customHeight="1" outlineLevel="2" x14ac:dyDescent="0.2">
      <c r="A457" s="18"/>
      <c r="B457" s="18"/>
      <c r="C457" s="18"/>
      <c r="D457" s="19" t="s">
        <v>223</v>
      </c>
      <c r="E457" s="18" t="s">
        <v>1013</v>
      </c>
      <c r="F457" s="19" t="s">
        <v>1022</v>
      </c>
      <c r="G457" s="36" t="s">
        <v>1023</v>
      </c>
      <c r="H457" s="19" t="s">
        <v>742</v>
      </c>
      <c r="I457" s="23"/>
    </row>
    <row r="458" spans="1:9" ht="18" hidden="1" customHeight="1" outlineLevel="2" x14ac:dyDescent="0.2">
      <c r="A458" s="18"/>
      <c r="B458" s="18"/>
      <c r="C458" s="18"/>
      <c r="D458" s="19" t="s">
        <v>223</v>
      </c>
      <c r="E458" s="18" t="s">
        <v>1013</v>
      </c>
      <c r="F458" s="19" t="s">
        <v>979</v>
      </c>
      <c r="G458" s="36" t="s">
        <v>1024</v>
      </c>
      <c r="H458" s="19" t="s">
        <v>742</v>
      </c>
      <c r="I458" s="23"/>
    </row>
    <row r="459" spans="1:9" ht="18" hidden="1" customHeight="1" outlineLevel="2" x14ac:dyDescent="0.2">
      <c r="A459" s="18"/>
      <c r="B459" s="18"/>
      <c r="C459" s="18"/>
      <c r="D459" s="19" t="s">
        <v>223</v>
      </c>
      <c r="E459" s="18" t="s">
        <v>1013</v>
      </c>
      <c r="F459" s="19" t="s">
        <v>981</v>
      </c>
      <c r="G459" s="36" t="s">
        <v>1025</v>
      </c>
      <c r="H459" s="19" t="s">
        <v>742</v>
      </c>
      <c r="I459" s="23"/>
    </row>
    <row r="460" spans="1:9" ht="18" hidden="1" customHeight="1" outlineLevel="2" x14ac:dyDescent="0.2">
      <c r="A460" s="18"/>
      <c r="B460" s="18"/>
      <c r="C460" s="18"/>
      <c r="D460" s="19" t="s">
        <v>223</v>
      </c>
      <c r="E460" s="18" t="s">
        <v>1013</v>
      </c>
      <c r="F460" s="19" t="s">
        <v>983</v>
      </c>
      <c r="G460" s="36" t="s">
        <v>1026</v>
      </c>
      <c r="H460" s="19" t="s">
        <v>742</v>
      </c>
      <c r="I460" s="23"/>
    </row>
    <row r="461" spans="1:9" ht="18" hidden="1" customHeight="1" outlineLevel="2" x14ac:dyDescent="0.2">
      <c r="A461" s="18"/>
      <c r="B461" s="18"/>
      <c r="C461" s="18"/>
      <c r="D461" s="19" t="s">
        <v>223</v>
      </c>
      <c r="E461" s="18" t="s">
        <v>1013</v>
      </c>
      <c r="F461" s="19" t="s">
        <v>1027</v>
      </c>
      <c r="G461" s="36" t="s">
        <v>1028</v>
      </c>
      <c r="H461" s="19" t="s">
        <v>742</v>
      </c>
      <c r="I461" s="23"/>
    </row>
    <row r="462" spans="1:9" ht="18" hidden="1" customHeight="1" outlineLevel="2" x14ac:dyDescent="0.2">
      <c r="A462" s="18"/>
      <c r="B462" s="18"/>
      <c r="C462" s="18"/>
      <c r="D462" s="19" t="s">
        <v>223</v>
      </c>
      <c r="E462" s="18" t="s">
        <v>1013</v>
      </c>
      <c r="F462" s="19" t="s">
        <v>989</v>
      </c>
      <c r="G462" s="36" t="s">
        <v>1029</v>
      </c>
      <c r="H462" s="19" t="s">
        <v>742</v>
      </c>
      <c r="I462" s="23"/>
    </row>
    <row r="463" spans="1:9" ht="18" hidden="1" customHeight="1" outlineLevel="2" x14ac:dyDescent="0.2">
      <c r="A463" s="18"/>
      <c r="B463" s="18"/>
      <c r="C463" s="18"/>
      <c r="D463" s="19" t="s">
        <v>223</v>
      </c>
      <c r="E463" s="18" t="s">
        <v>1013</v>
      </c>
      <c r="F463" s="19" t="s">
        <v>991</v>
      </c>
      <c r="G463" s="36" t="s">
        <v>1030</v>
      </c>
      <c r="H463" s="19" t="s">
        <v>742</v>
      </c>
      <c r="I463" s="23"/>
    </row>
    <row r="464" spans="1:9" ht="18" hidden="1" customHeight="1" outlineLevel="2" x14ac:dyDescent="0.2">
      <c r="A464" s="18"/>
      <c r="B464" s="18"/>
      <c r="C464" s="18"/>
      <c r="D464" s="19" t="s">
        <v>223</v>
      </c>
      <c r="E464" s="18" t="s">
        <v>1013</v>
      </c>
      <c r="F464" s="19" t="s">
        <v>1031</v>
      </c>
      <c r="G464" s="36" t="s">
        <v>1032</v>
      </c>
      <c r="H464" s="19" t="s">
        <v>742</v>
      </c>
      <c r="I464" s="23"/>
    </row>
    <row r="465" spans="1:9" ht="18" hidden="1" customHeight="1" outlineLevel="2" x14ac:dyDescent="0.2">
      <c r="A465" s="18"/>
      <c r="B465" s="18"/>
      <c r="C465" s="18"/>
      <c r="D465" s="19" t="s">
        <v>223</v>
      </c>
      <c r="E465" s="18" t="s">
        <v>1013</v>
      </c>
      <c r="F465" s="19" t="s">
        <v>1001</v>
      </c>
      <c r="G465" s="36" t="s">
        <v>1033</v>
      </c>
      <c r="H465" s="19" t="s">
        <v>742</v>
      </c>
      <c r="I465" s="23"/>
    </row>
    <row r="466" spans="1:9" ht="18" hidden="1" customHeight="1" outlineLevel="2" x14ac:dyDescent="0.2">
      <c r="A466" s="18"/>
      <c r="B466" s="18"/>
      <c r="C466" s="18"/>
      <c r="D466" s="19" t="s">
        <v>223</v>
      </c>
      <c r="E466" s="18" t="s">
        <v>1013</v>
      </c>
      <c r="F466" s="19" t="s">
        <v>1034</v>
      </c>
      <c r="G466" s="36" t="s">
        <v>1035</v>
      </c>
      <c r="H466" s="19" t="s">
        <v>742</v>
      </c>
      <c r="I466" s="23"/>
    </row>
    <row r="467" spans="1:9" ht="18" hidden="1" customHeight="1" outlineLevel="2" x14ac:dyDescent="0.2">
      <c r="A467" s="18"/>
      <c r="B467" s="18"/>
      <c r="C467" s="18"/>
      <c r="D467" s="19" t="s">
        <v>223</v>
      </c>
      <c r="E467" s="18" t="s">
        <v>1013</v>
      </c>
      <c r="F467" s="19" t="s">
        <v>1009</v>
      </c>
      <c r="G467" s="36" t="s">
        <v>1036</v>
      </c>
      <c r="H467" s="19" t="s">
        <v>742</v>
      </c>
      <c r="I467" s="23"/>
    </row>
    <row r="468" spans="1:9" ht="18" hidden="1" customHeight="1" outlineLevel="2" x14ac:dyDescent="0.2">
      <c r="A468" s="18"/>
      <c r="B468" s="18"/>
      <c r="C468" s="18"/>
      <c r="D468" s="19" t="s">
        <v>223</v>
      </c>
      <c r="E468" s="18" t="s">
        <v>1013</v>
      </c>
      <c r="F468" s="19" t="s">
        <v>1011</v>
      </c>
      <c r="G468" s="36" t="s">
        <v>1037</v>
      </c>
      <c r="H468" s="19" t="s">
        <v>742</v>
      </c>
      <c r="I468" s="23"/>
    </row>
    <row r="469" spans="1:9" ht="18" hidden="1" customHeight="1" outlineLevel="2" x14ac:dyDescent="0.2">
      <c r="A469" s="18"/>
      <c r="B469" s="18"/>
      <c r="C469" s="18"/>
      <c r="D469" s="19" t="s">
        <v>223</v>
      </c>
      <c r="E469" s="18" t="s">
        <v>1013</v>
      </c>
      <c r="F469" s="19" t="s">
        <v>1038</v>
      </c>
      <c r="G469" s="36" t="s">
        <v>1039</v>
      </c>
      <c r="H469" s="19" t="s">
        <v>742</v>
      </c>
      <c r="I469" s="23"/>
    </row>
    <row r="470" spans="1:9" ht="18" hidden="1" customHeight="1" outlineLevel="2" x14ac:dyDescent="0.2">
      <c r="A470" s="18"/>
      <c r="B470" s="18"/>
      <c r="C470" s="18"/>
      <c r="D470" s="19"/>
      <c r="E470" s="18"/>
      <c r="F470" s="19"/>
      <c r="G470" s="36"/>
      <c r="H470" s="19"/>
      <c r="I470" s="23"/>
    </row>
    <row r="471" spans="1:9" ht="18" hidden="1" customHeight="1" outlineLevel="2" x14ac:dyDescent="0.2">
      <c r="A471" s="18"/>
      <c r="B471" s="18"/>
      <c r="C471" s="18"/>
      <c r="D471" s="19" t="s">
        <v>223</v>
      </c>
      <c r="E471" s="18" t="s">
        <v>1040</v>
      </c>
      <c r="F471" s="19" t="s">
        <v>909</v>
      </c>
      <c r="G471" s="36" t="s">
        <v>1041</v>
      </c>
      <c r="H471" s="19" t="s">
        <v>742</v>
      </c>
      <c r="I471" s="23"/>
    </row>
    <row r="472" spans="1:9" ht="18" hidden="1" customHeight="1" outlineLevel="2" x14ac:dyDescent="0.2">
      <c r="A472" s="18"/>
      <c r="B472" s="18"/>
      <c r="C472" s="18"/>
      <c r="D472" s="19" t="s">
        <v>223</v>
      </c>
      <c r="E472" s="18" t="s">
        <v>1040</v>
      </c>
      <c r="F472" s="19" t="s">
        <v>912</v>
      </c>
      <c r="G472" s="36" t="s">
        <v>1042</v>
      </c>
      <c r="H472" s="19" t="s">
        <v>742</v>
      </c>
      <c r="I472" s="23"/>
    </row>
    <row r="473" spans="1:9" ht="18" hidden="1" customHeight="1" outlineLevel="2" x14ac:dyDescent="0.2">
      <c r="A473" s="18"/>
      <c r="B473" s="18"/>
      <c r="C473" s="18"/>
      <c r="D473" s="19" t="s">
        <v>223</v>
      </c>
      <c r="E473" s="18" t="s">
        <v>1040</v>
      </c>
      <c r="F473" s="19" t="s">
        <v>914</v>
      </c>
      <c r="G473" s="36" t="s">
        <v>1043</v>
      </c>
      <c r="H473" s="19" t="s">
        <v>742</v>
      </c>
      <c r="I473" s="23"/>
    </row>
    <row r="474" spans="1:9" ht="18" hidden="1" customHeight="1" outlineLevel="2" x14ac:dyDescent="0.2">
      <c r="A474" s="18"/>
      <c r="B474" s="18"/>
      <c r="C474" s="18"/>
      <c r="D474" s="19" t="s">
        <v>223</v>
      </c>
      <c r="E474" s="18" t="s">
        <v>1040</v>
      </c>
      <c r="F474" s="19" t="s">
        <v>916</v>
      </c>
      <c r="G474" s="36" t="s">
        <v>1044</v>
      </c>
      <c r="H474" s="19" t="s">
        <v>742</v>
      </c>
      <c r="I474" s="23"/>
    </row>
    <row r="475" spans="1:9" ht="18" hidden="1" customHeight="1" outlineLevel="2" x14ac:dyDescent="0.2">
      <c r="A475" s="18"/>
      <c r="B475" s="18"/>
      <c r="C475" s="18"/>
      <c r="D475" s="19" t="s">
        <v>223</v>
      </c>
      <c r="E475" s="18" t="s">
        <v>1040</v>
      </c>
      <c r="F475" s="19" t="s">
        <v>918</v>
      </c>
      <c r="G475" s="36" t="s">
        <v>1045</v>
      </c>
      <c r="H475" s="19" t="s">
        <v>742</v>
      </c>
      <c r="I475" s="23"/>
    </row>
    <row r="476" spans="1:9" ht="18" hidden="1" customHeight="1" outlineLevel="2" x14ac:dyDescent="0.2">
      <c r="A476" s="18"/>
      <c r="B476" s="18"/>
      <c r="C476" s="18"/>
      <c r="D476" s="19" t="s">
        <v>223</v>
      </c>
      <c r="E476" s="18" t="s">
        <v>1040</v>
      </c>
      <c r="F476" s="19" t="s">
        <v>920</v>
      </c>
      <c r="G476" s="36" t="s">
        <v>1046</v>
      </c>
      <c r="H476" s="19" t="s">
        <v>742</v>
      </c>
      <c r="I476" s="23"/>
    </row>
    <row r="477" spans="1:9" ht="18" hidden="1" customHeight="1" outlineLevel="2" x14ac:dyDescent="0.2">
      <c r="A477" s="18"/>
      <c r="B477" s="18"/>
      <c r="C477" s="18"/>
      <c r="D477" s="19" t="s">
        <v>223</v>
      </c>
      <c r="E477" s="18" t="s">
        <v>1040</v>
      </c>
      <c r="F477" s="19" t="s">
        <v>922</v>
      </c>
      <c r="G477" s="36" t="s">
        <v>1047</v>
      </c>
      <c r="H477" s="19" t="s">
        <v>742</v>
      </c>
      <c r="I477" s="23"/>
    </row>
    <row r="478" spans="1:9" ht="18" hidden="1" customHeight="1" outlineLevel="2" x14ac:dyDescent="0.2">
      <c r="A478" s="18"/>
      <c r="B478" s="18"/>
      <c r="C478" s="18"/>
      <c r="D478" s="19" t="s">
        <v>223</v>
      </c>
      <c r="E478" s="18" t="s">
        <v>1040</v>
      </c>
      <c r="F478" s="19" t="s">
        <v>924</v>
      </c>
      <c r="G478" s="36" t="s">
        <v>1048</v>
      </c>
      <c r="H478" s="19" t="s">
        <v>742</v>
      </c>
      <c r="I478" s="23"/>
    </row>
    <row r="479" spans="1:9" ht="18" hidden="1" customHeight="1" outlineLevel="2" x14ac:dyDescent="0.2">
      <c r="A479" s="18"/>
      <c r="B479" s="18"/>
      <c r="C479" s="18"/>
      <c r="D479" s="19" t="s">
        <v>223</v>
      </c>
      <c r="E479" s="18" t="s">
        <v>1040</v>
      </c>
      <c r="F479" s="19" t="s">
        <v>926</v>
      </c>
      <c r="G479" s="36" t="s">
        <v>1049</v>
      </c>
      <c r="H479" s="19" t="s">
        <v>742</v>
      </c>
      <c r="I479" s="23"/>
    </row>
    <row r="480" spans="1:9" ht="18" hidden="1" customHeight="1" outlineLevel="2" x14ac:dyDescent="0.2">
      <c r="A480" s="18"/>
      <c r="B480" s="18"/>
      <c r="C480" s="18"/>
      <c r="D480" s="19"/>
      <c r="E480" s="18"/>
      <c r="F480" s="19"/>
      <c r="G480" s="36"/>
      <c r="H480" s="19"/>
      <c r="I480" s="23"/>
    </row>
    <row r="481" spans="1:9" ht="18" hidden="1" customHeight="1" outlineLevel="2" x14ac:dyDescent="0.2">
      <c r="A481" s="18"/>
      <c r="B481" s="18"/>
      <c r="C481" s="18"/>
      <c r="D481" s="19" t="s">
        <v>223</v>
      </c>
      <c r="E481" s="18" t="s">
        <v>1050</v>
      </c>
      <c r="F481" s="19" t="s">
        <v>1051</v>
      </c>
      <c r="G481" s="36" t="s">
        <v>1052</v>
      </c>
      <c r="H481" s="19" t="s">
        <v>742</v>
      </c>
      <c r="I481" s="23" t="s">
        <v>1053</v>
      </c>
    </row>
    <row r="482" spans="1:9" ht="18" hidden="1" customHeight="1" outlineLevel="2" x14ac:dyDescent="0.2">
      <c r="A482" s="18"/>
      <c r="B482" s="18"/>
      <c r="C482" s="18"/>
      <c r="D482" s="19" t="s">
        <v>223</v>
      </c>
      <c r="E482" s="18" t="s">
        <v>1050</v>
      </c>
      <c r="F482" s="19" t="s">
        <v>1054</v>
      </c>
      <c r="G482" s="36" t="s">
        <v>1055</v>
      </c>
      <c r="H482" s="19" t="s">
        <v>742</v>
      </c>
      <c r="I482" s="23" t="s">
        <v>1053</v>
      </c>
    </row>
    <row r="483" spans="1:9" ht="18" hidden="1" customHeight="1" outlineLevel="2" x14ac:dyDescent="0.2">
      <c r="A483" s="18"/>
      <c r="B483" s="18"/>
      <c r="C483" s="18"/>
      <c r="D483" s="19" t="s">
        <v>223</v>
      </c>
      <c r="E483" s="18" t="s">
        <v>1050</v>
      </c>
      <c r="F483" s="19" t="s">
        <v>1056</v>
      </c>
      <c r="G483" s="36" t="s">
        <v>1057</v>
      </c>
      <c r="H483" s="19" t="s">
        <v>742</v>
      </c>
      <c r="I483" s="23" t="s">
        <v>1053</v>
      </c>
    </row>
    <row r="484" spans="1:9" ht="18" hidden="1" customHeight="1" outlineLevel="2" x14ac:dyDescent="0.2">
      <c r="A484" s="18"/>
      <c r="B484" s="18"/>
      <c r="C484" s="18"/>
      <c r="D484" s="19" t="s">
        <v>223</v>
      </c>
      <c r="E484" s="18" t="s">
        <v>1050</v>
      </c>
      <c r="F484" s="19" t="s">
        <v>1058</v>
      </c>
      <c r="G484" s="36" t="s">
        <v>1059</v>
      </c>
      <c r="H484" s="19" t="s">
        <v>742</v>
      </c>
      <c r="I484" s="23" t="s">
        <v>1053</v>
      </c>
    </row>
    <row r="485" spans="1:9" ht="18" hidden="1" customHeight="1" outlineLevel="2" x14ac:dyDescent="0.2">
      <c r="A485" s="18"/>
      <c r="B485" s="18"/>
      <c r="C485" s="18"/>
      <c r="D485" s="19" t="s">
        <v>223</v>
      </c>
      <c r="E485" s="18" t="s">
        <v>1050</v>
      </c>
      <c r="F485" s="19" t="s">
        <v>1060</v>
      </c>
      <c r="G485" s="36" t="s">
        <v>1061</v>
      </c>
      <c r="H485" s="19" t="s">
        <v>742</v>
      </c>
      <c r="I485" s="23" t="s">
        <v>1053</v>
      </c>
    </row>
    <row r="486" spans="1:9" ht="18" hidden="1" customHeight="1" outlineLevel="2" x14ac:dyDescent="0.2">
      <c r="A486" s="18"/>
      <c r="B486" s="18"/>
      <c r="C486" s="18"/>
      <c r="D486" s="19" t="s">
        <v>223</v>
      </c>
      <c r="E486" s="18" t="s">
        <v>1050</v>
      </c>
      <c r="F486" s="19" t="s">
        <v>1062</v>
      </c>
      <c r="G486" s="36" t="s">
        <v>1063</v>
      </c>
      <c r="H486" s="19" t="s">
        <v>742</v>
      </c>
      <c r="I486" s="23" t="s">
        <v>1053</v>
      </c>
    </row>
    <row r="487" spans="1:9" ht="18" hidden="1" customHeight="1" outlineLevel="2" x14ac:dyDescent="0.2">
      <c r="A487" s="18"/>
      <c r="B487" s="18"/>
      <c r="C487" s="18"/>
      <c r="D487" s="19" t="s">
        <v>223</v>
      </c>
      <c r="E487" s="18" t="s">
        <v>1050</v>
      </c>
      <c r="F487" s="19" t="s">
        <v>1064</v>
      </c>
      <c r="G487" s="36" t="s">
        <v>1065</v>
      </c>
      <c r="H487" s="19" t="s">
        <v>742</v>
      </c>
      <c r="I487" s="23" t="s">
        <v>1053</v>
      </c>
    </row>
    <row r="488" spans="1:9" ht="18" hidden="1" customHeight="1" outlineLevel="2" x14ac:dyDescent="0.2">
      <c r="A488" s="18"/>
      <c r="B488" s="18"/>
      <c r="C488" s="18"/>
      <c r="D488" s="19" t="s">
        <v>223</v>
      </c>
      <c r="E488" s="18" t="s">
        <v>1050</v>
      </c>
      <c r="F488" s="19" t="s">
        <v>1066</v>
      </c>
      <c r="G488" s="36" t="s">
        <v>1067</v>
      </c>
      <c r="H488" s="19" t="s">
        <v>742</v>
      </c>
      <c r="I488" s="23" t="s">
        <v>1053</v>
      </c>
    </row>
    <row r="489" spans="1:9" ht="18" hidden="1" customHeight="1" outlineLevel="2" x14ac:dyDescent="0.2">
      <c r="A489" s="18"/>
      <c r="B489" s="18"/>
      <c r="C489" s="18"/>
      <c r="D489" s="19" t="s">
        <v>223</v>
      </c>
      <c r="E489" s="18" t="s">
        <v>1050</v>
      </c>
      <c r="F489" s="19" t="s">
        <v>1068</v>
      </c>
      <c r="G489" s="36" t="s">
        <v>1069</v>
      </c>
      <c r="H489" s="19" t="s">
        <v>742</v>
      </c>
      <c r="I489" s="23" t="s">
        <v>1053</v>
      </c>
    </row>
    <row r="490" spans="1:9" ht="18" hidden="1" customHeight="1" outlineLevel="2" x14ac:dyDescent="0.2">
      <c r="A490" s="18"/>
      <c r="B490" s="18"/>
      <c r="C490" s="18"/>
      <c r="D490" s="19"/>
      <c r="E490" s="18"/>
      <c r="F490" s="19"/>
      <c r="G490" s="36"/>
      <c r="H490" s="19"/>
      <c r="I490" s="23"/>
    </row>
    <row r="491" spans="1:9" ht="18" hidden="1" customHeight="1" outlineLevel="2" x14ac:dyDescent="0.2">
      <c r="A491" s="18"/>
      <c r="B491" s="18"/>
      <c r="C491" s="18"/>
      <c r="D491" s="19" t="s">
        <v>223</v>
      </c>
      <c r="E491" s="18" t="s">
        <v>1070</v>
      </c>
      <c r="F491" s="19" t="s">
        <v>1071</v>
      </c>
      <c r="G491" s="36" t="s">
        <v>1072</v>
      </c>
      <c r="H491" s="19" t="s">
        <v>742</v>
      </c>
      <c r="I491" s="23" t="s">
        <v>1073</v>
      </c>
    </row>
    <row r="492" spans="1:9" ht="18" hidden="1" customHeight="1" outlineLevel="2" x14ac:dyDescent="0.2">
      <c r="A492" s="18"/>
      <c r="B492" s="18"/>
      <c r="C492" s="18"/>
      <c r="D492" s="19" t="s">
        <v>223</v>
      </c>
      <c r="E492" s="18" t="s">
        <v>1070</v>
      </c>
      <c r="F492" s="19" t="s">
        <v>1074</v>
      </c>
      <c r="G492" s="36" t="s">
        <v>1075</v>
      </c>
      <c r="H492" s="19" t="s">
        <v>742</v>
      </c>
      <c r="I492" s="23" t="s">
        <v>1073</v>
      </c>
    </row>
    <row r="493" spans="1:9" ht="18" hidden="1" customHeight="1" outlineLevel="2" x14ac:dyDescent="0.2">
      <c r="A493" s="18"/>
      <c r="B493" s="18"/>
      <c r="C493" s="18"/>
      <c r="D493" s="19" t="s">
        <v>223</v>
      </c>
      <c r="E493" s="18" t="s">
        <v>1070</v>
      </c>
      <c r="F493" s="19" t="s">
        <v>1076</v>
      </c>
      <c r="G493" s="36" t="s">
        <v>1077</v>
      </c>
      <c r="H493" s="19" t="s">
        <v>742</v>
      </c>
      <c r="I493" s="23" t="s">
        <v>1073</v>
      </c>
    </row>
    <row r="494" spans="1:9" ht="18" hidden="1" customHeight="1" outlineLevel="2" x14ac:dyDescent="0.2">
      <c r="A494" s="18"/>
      <c r="B494" s="18"/>
      <c r="C494" s="18"/>
      <c r="D494" s="19" t="s">
        <v>223</v>
      </c>
      <c r="E494" s="18" t="s">
        <v>1070</v>
      </c>
      <c r="F494" s="19" t="s">
        <v>1078</v>
      </c>
      <c r="G494" s="36" t="s">
        <v>1079</v>
      </c>
      <c r="H494" s="19" t="s">
        <v>742</v>
      </c>
      <c r="I494" s="23" t="s">
        <v>1073</v>
      </c>
    </row>
    <row r="495" spans="1:9" ht="18" hidden="1" customHeight="1" outlineLevel="2" x14ac:dyDescent="0.2">
      <c r="A495" s="18"/>
      <c r="B495" s="18"/>
      <c r="C495" s="18"/>
      <c r="D495" s="19" t="s">
        <v>223</v>
      </c>
      <c r="E495" s="18" t="s">
        <v>1070</v>
      </c>
      <c r="F495" s="19" t="s">
        <v>1080</v>
      </c>
      <c r="G495" s="36" t="s">
        <v>1081</v>
      </c>
      <c r="H495" s="19" t="s">
        <v>742</v>
      </c>
      <c r="I495" s="23" t="s">
        <v>1073</v>
      </c>
    </row>
    <row r="496" spans="1:9" ht="18" hidden="1" customHeight="1" outlineLevel="2" x14ac:dyDescent="0.2">
      <c r="A496" s="18"/>
      <c r="B496" s="18"/>
      <c r="C496" s="18"/>
      <c r="D496" s="19" t="s">
        <v>223</v>
      </c>
      <c r="E496" s="18" t="s">
        <v>1070</v>
      </c>
      <c r="F496" s="19" t="s">
        <v>1082</v>
      </c>
      <c r="G496" s="36" t="s">
        <v>1083</v>
      </c>
      <c r="H496" s="19" t="s">
        <v>742</v>
      </c>
      <c r="I496" s="23" t="s">
        <v>1073</v>
      </c>
    </row>
    <row r="497" spans="1:9" ht="18" hidden="1" customHeight="1" outlineLevel="2" x14ac:dyDescent="0.2">
      <c r="A497" s="18"/>
      <c r="B497" s="18"/>
      <c r="C497" s="18"/>
      <c r="D497" s="19" t="s">
        <v>223</v>
      </c>
      <c r="E497" s="18" t="s">
        <v>1070</v>
      </c>
      <c r="F497" s="19" t="s">
        <v>1084</v>
      </c>
      <c r="G497" s="36" t="s">
        <v>1085</v>
      </c>
      <c r="H497" s="19" t="s">
        <v>742</v>
      </c>
      <c r="I497" s="23" t="s">
        <v>1073</v>
      </c>
    </row>
    <row r="498" spans="1:9" ht="18" hidden="1" customHeight="1" outlineLevel="2" x14ac:dyDescent="0.2">
      <c r="A498" s="18"/>
      <c r="B498" s="18"/>
      <c r="C498" s="18"/>
      <c r="D498" s="19"/>
      <c r="E498" s="18"/>
      <c r="F498" s="19"/>
      <c r="G498" s="36"/>
      <c r="H498" s="19"/>
      <c r="I498" s="23"/>
    </row>
    <row r="499" spans="1:9" ht="18" hidden="1" customHeight="1" outlineLevel="2" x14ac:dyDescent="0.2">
      <c r="A499" s="18"/>
      <c r="B499" s="18"/>
      <c r="C499" s="18"/>
      <c r="D499" s="19" t="s">
        <v>223</v>
      </c>
      <c r="E499" s="18" t="s">
        <v>1086</v>
      </c>
      <c r="F499" s="19" t="s">
        <v>1087</v>
      </c>
      <c r="G499" s="36" t="s">
        <v>1088</v>
      </c>
      <c r="H499" s="19" t="s">
        <v>742</v>
      </c>
      <c r="I499" s="23" t="s">
        <v>1073</v>
      </c>
    </row>
    <row r="500" spans="1:9" ht="18" hidden="1" customHeight="1" outlineLevel="2" x14ac:dyDescent="0.2">
      <c r="A500" s="18"/>
      <c r="B500" s="18"/>
      <c r="C500" s="18"/>
      <c r="D500" s="19" t="s">
        <v>223</v>
      </c>
      <c r="E500" s="18" t="s">
        <v>1086</v>
      </c>
      <c r="F500" s="19" t="s">
        <v>1074</v>
      </c>
      <c r="G500" s="36" t="s">
        <v>1089</v>
      </c>
      <c r="H500" s="19" t="s">
        <v>742</v>
      </c>
      <c r="I500" s="23" t="s">
        <v>1073</v>
      </c>
    </row>
    <row r="501" spans="1:9" ht="18" hidden="1" customHeight="1" outlineLevel="2" x14ac:dyDescent="0.2">
      <c r="A501" s="18"/>
      <c r="B501" s="18"/>
      <c r="C501" s="18"/>
      <c r="D501" s="19" t="s">
        <v>223</v>
      </c>
      <c r="E501" s="18" t="s">
        <v>1086</v>
      </c>
      <c r="F501" s="19" t="s">
        <v>1076</v>
      </c>
      <c r="G501" s="36" t="s">
        <v>1090</v>
      </c>
      <c r="H501" s="19" t="s">
        <v>742</v>
      </c>
      <c r="I501" s="23" t="s">
        <v>1073</v>
      </c>
    </row>
    <row r="502" spans="1:9" ht="18" hidden="1" customHeight="1" outlineLevel="2" x14ac:dyDescent="0.2">
      <c r="A502" s="18"/>
      <c r="B502" s="18"/>
      <c r="C502" s="18"/>
      <c r="D502" s="19" t="s">
        <v>223</v>
      </c>
      <c r="E502" s="18" t="s">
        <v>1086</v>
      </c>
      <c r="F502" s="19" t="s">
        <v>1078</v>
      </c>
      <c r="G502" s="36" t="s">
        <v>1091</v>
      </c>
      <c r="H502" s="19" t="s">
        <v>742</v>
      </c>
      <c r="I502" s="23" t="s">
        <v>1073</v>
      </c>
    </row>
    <row r="503" spans="1:9" ht="18" hidden="1" customHeight="1" outlineLevel="2" x14ac:dyDescent="0.2">
      <c r="A503" s="18"/>
      <c r="B503" s="18"/>
      <c r="C503" s="18"/>
      <c r="D503" s="19" t="s">
        <v>223</v>
      </c>
      <c r="E503" s="18" t="s">
        <v>1086</v>
      </c>
      <c r="F503" s="19" t="s">
        <v>1080</v>
      </c>
      <c r="G503" s="36" t="s">
        <v>1092</v>
      </c>
      <c r="H503" s="19" t="s">
        <v>742</v>
      </c>
      <c r="I503" s="23" t="s">
        <v>1073</v>
      </c>
    </row>
    <row r="504" spans="1:9" ht="18" hidden="1" customHeight="1" outlineLevel="2" x14ac:dyDescent="0.2">
      <c r="A504" s="18"/>
      <c r="B504" s="18"/>
      <c r="C504" s="18"/>
      <c r="D504" s="19" t="s">
        <v>223</v>
      </c>
      <c r="E504" s="18" t="s">
        <v>1086</v>
      </c>
      <c r="F504" s="19" t="s">
        <v>1082</v>
      </c>
      <c r="G504" s="36" t="s">
        <v>1093</v>
      </c>
      <c r="H504" s="19" t="s">
        <v>742</v>
      </c>
      <c r="I504" s="23" t="s">
        <v>1073</v>
      </c>
    </row>
    <row r="505" spans="1:9" ht="18" hidden="1" customHeight="1" outlineLevel="2" x14ac:dyDescent="0.2">
      <c r="A505" s="18"/>
      <c r="B505" s="18"/>
      <c r="C505" s="18"/>
      <c r="D505" s="19" t="s">
        <v>223</v>
      </c>
      <c r="E505" s="18" t="s">
        <v>1086</v>
      </c>
      <c r="F505" s="19" t="s">
        <v>1094</v>
      </c>
      <c r="G505" s="36" t="s">
        <v>1095</v>
      </c>
      <c r="H505" s="19" t="s">
        <v>742</v>
      </c>
      <c r="I505" s="23" t="s">
        <v>1073</v>
      </c>
    </row>
    <row r="506" spans="1:9" ht="18" hidden="1" customHeight="1" outlineLevel="2" x14ac:dyDescent="0.2">
      <c r="A506" s="18"/>
      <c r="B506" s="18"/>
      <c r="C506" s="18"/>
      <c r="D506" s="19" t="s">
        <v>223</v>
      </c>
      <c r="E506" s="18" t="s">
        <v>1086</v>
      </c>
      <c r="F506" s="19" t="s">
        <v>1096</v>
      </c>
      <c r="G506" s="36" t="s">
        <v>1097</v>
      </c>
      <c r="H506" s="19" t="s">
        <v>742</v>
      </c>
      <c r="I506" s="23" t="s">
        <v>1073</v>
      </c>
    </row>
    <row r="507" spans="1:9" ht="18" hidden="1" customHeight="1" outlineLevel="2" x14ac:dyDescent="0.2">
      <c r="A507" s="18"/>
      <c r="B507" s="18"/>
      <c r="C507" s="18"/>
      <c r="D507" s="19" t="s">
        <v>223</v>
      </c>
      <c r="E507" s="18" t="s">
        <v>1086</v>
      </c>
      <c r="F507" s="19" t="s">
        <v>1098</v>
      </c>
      <c r="G507" s="36" t="s">
        <v>1099</v>
      </c>
      <c r="H507" s="19" t="s">
        <v>742</v>
      </c>
      <c r="I507" s="23" t="s">
        <v>1073</v>
      </c>
    </row>
    <row r="508" spans="1:9" ht="18" hidden="1" customHeight="1" outlineLevel="2" x14ac:dyDescent="0.2">
      <c r="A508" s="18"/>
      <c r="B508" s="18"/>
      <c r="C508" s="18"/>
      <c r="D508" s="19" t="s">
        <v>223</v>
      </c>
      <c r="E508" s="18" t="s">
        <v>1086</v>
      </c>
      <c r="F508" s="19" t="s">
        <v>1100</v>
      </c>
      <c r="G508" s="36" t="s">
        <v>1101</v>
      </c>
      <c r="H508" s="19" t="s">
        <v>742</v>
      </c>
      <c r="I508" s="23" t="s">
        <v>1073</v>
      </c>
    </row>
    <row r="509" spans="1:9" ht="18" hidden="1" customHeight="1" outlineLevel="2" x14ac:dyDescent="0.2">
      <c r="A509" s="18"/>
      <c r="B509" s="18"/>
      <c r="C509" s="18"/>
      <c r="D509" s="19"/>
      <c r="E509" s="18"/>
      <c r="F509" s="19"/>
      <c r="G509" s="36"/>
      <c r="H509" s="19"/>
      <c r="I509" s="23"/>
    </row>
    <row r="510" spans="1:9" ht="18" hidden="1" customHeight="1" outlineLevel="2" x14ac:dyDescent="0.2">
      <c r="A510" s="18"/>
      <c r="B510" s="18"/>
      <c r="C510" s="18"/>
      <c r="D510" s="19" t="s">
        <v>223</v>
      </c>
      <c r="E510" s="18" t="s">
        <v>1070</v>
      </c>
      <c r="F510" s="19" t="s">
        <v>1071</v>
      </c>
      <c r="G510" s="36" t="s">
        <v>1102</v>
      </c>
      <c r="H510" s="19" t="s">
        <v>742</v>
      </c>
      <c r="I510" s="23" t="s">
        <v>1103</v>
      </c>
    </row>
    <row r="511" spans="1:9" ht="18" hidden="1" customHeight="1" outlineLevel="2" x14ac:dyDescent="0.2">
      <c r="A511" s="18"/>
      <c r="B511" s="18"/>
      <c r="C511" s="18"/>
      <c r="D511" s="19" t="s">
        <v>223</v>
      </c>
      <c r="E511" s="18" t="s">
        <v>1070</v>
      </c>
      <c r="F511" s="19" t="s">
        <v>1074</v>
      </c>
      <c r="G511" s="36" t="s">
        <v>1104</v>
      </c>
      <c r="H511" s="19" t="s">
        <v>742</v>
      </c>
      <c r="I511" s="23" t="s">
        <v>1103</v>
      </c>
    </row>
    <row r="512" spans="1:9" ht="18" hidden="1" customHeight="1" outlineLevel="2" x14ac:dyDescent="0.2">
      <c r="A512" s="18"/>
      <c r="B512" s="18"/>
      <c r="C512" s="18"/>
      <c r="D512" s="19" t="s">
        <v>223</v>
      </c>
      <c r="E512" s="18" t="s">
        <v>1070</v>
      </c>
      <c r="F512" s="19" t="s">
        <v>1076</v>
      </c>
      <c r="G512" s="36" t="s">
        <v>1105</v>
      </c>
      <c r="H512" s="19" t="s">
        <v>742</v>
      </c>
      <c r="I512" s="23" t="s">
        <v>1103</v>
      </c>
    </row>
    <row r="513" spans="1:9" ht="18" hidden="1" customHeight="1" outlineLevel="2" x14ac:dyDescent="0.2">
      <c r="A513" s="18"/>
      <c r="B513" s="18"/>
      <c r="C513" s="18"/>
      <c r="D513" s="19" t="s">
        <v>223</v>
      </c>
      <c r="E513" s="18" t="s">
        <v>1070</v>
      </c>
      <c r="F513" s="19" t="s">
        <v>1078</v>
      </c>
      <c r="G513" s="36" t="s">
        <v>1106</v>
      </c>
      <c r="H513" s="19" t="s">
        <v>742</v>
      </c>
      <c r="I513" s="23" t="s">
        <v>1103</v>
      </c>
    </row>
    <row r="514" spans="1:9" ht="18" hidden="1" customHeight="1" outlineLevel="2" x14ac:dyDescent="0.2">
      <c r="A514" s="18"/>
      <c r="B514" s="18"/>
      <c r="C514" s="18"/>
      <c r="D514" s="19" t="s">
        <v>223</v>
      </c>
      <c r="E514" s="18" t="s">
        <v>1070</v>
      </c>
      <c r="F514" s="19" t="s">
        <v>1080</v>
      </c>
      <c r="G514" s="36" t="s">
        <v>1107</v>
      </c>
      <c r="H514" s="19" t="s">
        <v>742</v>
      </c>
      <c r="I514" s="23" t="s">
        <v>1103</v>
      </c>
    </row>
    <row r="515" spans="1:9" ht="18" hidden="1" customHeight="1" outlineLevel="2" x14ac:dyDescent="0.2">
      <c r="A515" s="18"/>
      <c r="B515" s="18"/>
      <c r="C515" s="18"/>
      <c r="D515" s="19" t="s">
        <v>223</v>
      </c>
      <c r="E515" s="18" t="s">
        <v>1070</v>
      </c>
      <c r="F515" s="19" t="s">
        <v>1082</v>
      </c>
      <c r="G515" s="36" t="s">
        <v>1108</v>
      </c>
      <c r="H515" s="19" t="s">
        <v>742</v>
      </c>
      <c r="I515" s="23" t="s">
        <v>1103</v>
      </c>
    </row>
    <row r="516" spans="1:9" ht="18" hidden="1" customHeight="1" outlineLevel="2" x14ac:dyDescent="0.2">
      <c r="A516" s="18"/>
      <c r="B516" s="18"/>
      <c r="C516" s="18"/>
      <c r="D516" s="19" t="s">
        <v>223</v>
      </c>
      <c r="E516" s="18" t="s">
        <v>1070</v>
      </c>
      <c r="F516" s="19" t="s">
        <v>1109</v>
      </c>
      <c r="G516" s="36" t="s">
        <v>1110</v>
      </c>
      <c r="H516" s="19" t="s">
        <v>742</v>
      </c>
      <c r="I516" s="23" t="s">
        <v>1103</v>
      </c>
    </row>
    <row r="517" spans="1:9" ht="18" hidden="1" customHeight="1" outlineLevel="2" x14ac:dyDescent="0.2">
      <c r="A517" s="18"/>
      <c r="B517" s="18"/>
      <c r="C517" s="18"/>
      <c r="D517" s="19"/>
      <c r="E517" s="18"/>
      <c r="F517" s="19"/>
      <c r="G517" s="36"/>
      <c r="H517" s="19"/>
      <c r="I517" s="23"/>
    </row>
    <row r="518" spans="1:9" ht="18" hidden="1" customHeight="1" outlineLevel="2" x14ac:dyDescent="0.2">
      <c r="A518" s="18"/>
      <c r="B518" s="18"/>
      <c r="C518" s="18"/>
      <c r="D518" s="19" t="s">
        <v>223</v>
      </c>
      <c r="E518" s="18" t="s">
        <v>1086</v>
      </c>
      <c r="F518" s="19" t="s">
        <v>1087</v>
      </c>
      <c r="G518" s="36" t="s">
        <v>1111</v>
      </c>
      <c r="H518" s="19" t="s">
        <v>742</v>
      </c>
      <c r="I518" s="23" t="s">
        <v>1103</v>
      </c>
    </row>
    <row r="519" spans="1:9" ht="18" hidden="1" customHeight="1" outlineLevel="2" x14ac:dyDescent="0.2">
      <c r="A519" s="18"/>
      <c r="B519" s="18"/>
      <c r="C519" s="18"/>
      <c r="D519" s="19" t="s">
        <v>223</v>
      </c>
      <c r="E519" s="18" t="s">
        <v>1086</v>
      </c>
      <c r="F519" s="19" t="s">
        <v>1074</v>
      </c>
      <c r="G519" s="36" t="s">
        <v>1112</v>
      </c>
      <c r="H519" s="19" t="s">
        <v>742</v>
      </c>
      <c r="I519" s="23" t="s">
        <v>1103</v>
      </c>
    </row>
    <row r="520" spans="1:9" ht="18" hidden="1" customHeight="1" outlineLevel="2" x14ac:dyDescent="0.2">
      <c r="A520" s="18"/>
      <c r="B520" s="18"/>
      <c r="C520" s="18"/>
      <c r="D520" s="19" t="s">
        <v>223</v>
      </c>
      <c r="E520" s="18" t="s">
        <v>1086</v>
      </c>
      <c r="F520" s="19" t="s">
        <v>1076</v>
      </c>
      <c r="G520" s="36" t="s">
        <v>1113</v>
      </c>
      <c r="H520" s="19" t="s">
        <v>742</v>
      </c>
      <c r="I520" s="23" t="s">
        <v>1103</v>
      </c>
    </row>
    <row r="521" spans="1:9" ht="18" hidden="1" customHeight="1" outlineLevel="2" x14ac:dyDescent="0.2">
      <c r="A521" s="18"/>
      <c r="B521" s="18"/>
      <c r="C521" s="18"/>
      <c r="D521" s="19" t="s">
        <v>223</v>
      </c>
      <c r="E521" s="18" t="s">
        <v>1086</v>
      </c>
      <c r="F521" s="19" t="s">
        <v>1078</v>
      </c>
      <c r="G521" s="36" t="s">
        <v>1114</v>
      </c>
      <c r="H521" s="19" t="s">
        <v>742</v>
      </c>
      <c r="I521" s="23" t="s">
        <v>1103</v>
      </c>
    </row>
    <row r="522" spans="1:9" ht="18" hidden="1" customHeight="1" outlineLevel="2" x14ac:dyDescent="0.2">
      <c r="A522" s="18"/>
      <c r="B522" s="18"/>
      <c r="C522" s="18"/>
      <c r="D522" s="19" t="s">
        <v>223</v>
      </c>
      <c r="E522" s="18" t="s">
        <v>1086</v>
      </c>
      <c r="F522" s="19" t="s">
        <v>1080</v>
      </c>
      <c r="G522" s="36" t="s">
        <v>1115</v>
      </c>
      <c r="H522" s="19" t="s">
        <v>742</v>
      </c>
      <c r="I522" s="23" t="s">
        <v>1103</v>
      </c>
    </row>
    <row r="523" spans="1:9" ht="18" hidden="1" customHeight="1" outlineLevel="2" x14ac:dyDescent="0.2">
      <c r="A523" s="18"/>
      <c r="B523" s="18"/>
      <c r="C523" s="18"/>
      <c r="D523" s="19" t="s">
        <v>223</v>
      </c>
      <c r="E523" s="18" t="s">
        <v>1086</v>
      </c>
      <c r="F523" s="19" t="s">
        <v>1082</v>
      </c>
      <c r="G523" s="36" t="s">
        <v>1116</v>
      </c>
      <c r="H523" s="19" t="s">
        <v>742</v>
      </c>
      <c r="I523" s="23" t="s">
        <v>1103</v>
      </c>
    </row>
    <row r="524" spans="1:9" ht="18" hidden="1" customHeight="1" outlineLevel="2" x14ac:dyDescent="0.2">
      <c r="A524" s="18"/>
      <c r="B524" s="18"/>
      <c r="C524" s="18"/>
      <c r="D524" s="19" t="s">
        <v>223</v>
      </c>
      <c r="E524" s="18" t="s">
        <v>1086</v>
      </c>
      <c r="F524" s="19" t="s">
        <v>1094</v>
      </c>
      <c r="G524" s="36" t="s">
        <v>1117</v>
      </c>
      <c r="H524" s="19" t="s">
        <v>742</v>
      </c>
      <c r="I524" s="23" t="s">
        <v>1103</v>
      </c>
    </row>
    <row r="525" spans="1:9" ht="18" hidden="1" customHeight="1" outlineLevel="2" x14ac:dyDescent="0.2">
      <c r="A525" s="18"/>
      <c r="B525" s="18"/>
      <c r="C525" s="18"/>
      <c r="D525" s="19"/>
      <c r="E525" s="18"/>
      <c r="F525" s="19"/>
      <c r="G525" s="36"/>
      <c r="H525" s="19"/>
      <c r="I525" s="23"/>
    </row>
    <row r="526" spans="1:9" ht="18" hidden="1" customHeight="1" outlineLevel="2" x14ac:dyDescent="0.2">
      <c r="A526" s="18"/>
      <c r="B526" s="18"/>
      <c r="C526" s="18"/>
      <c r="D526" s="19" t="s">
        <v>223</v>
      </c>
      <c r="E526" s="18" t="s">
        <v>1118</v>
      </c>
      <c r="F526" s="19" t="s">
        <v>1119</v>
      </c>
      <c r="G526" s="36" t="s">
        <v>1120</v>
      </c>
      <c r="H526" s="19" t="s">
        <v>742</v>
      </c>
      <c r="I526" s="23" t="s">
        <v>1121</v>
      </c>
    </row>
    <row r="527" spans="1:9" ht="18" hidden="1" customHeight="1" outlineLevel="2" x14ac:dyDescent="0.2">
      <c r="A527" s="18"/>
      <c r="B527" s="18"/>
      <c r="C527" s="18"/>
      <c r="D527" s="19" t="s">
        <v>223</v>
      </c>
      <c r="E527" s="18" t="s">
        <v>1118</v>
      </c>
      <c r="F527" s="19" t="s">
        <v>1122</v>
      </c>
      <c r="G527" s="36" t="s">
        <v>1123</v>
      </c>
      <c r="H527" s="19" t="s">
        <v>742</v>
      </c>
      <c r="I527" s="23" t="s">
        <v>1121</v>
      </c>
    </row>
    <row r="528" spans="1:9" ht="18" hidden="1" customHeight="1" outlineLevel="2" x14ac:dyDescent="0.2">
      <c r="A528" s="18"/>
      <c r="B528" s="18"/>
      <c r="C528" s="18"/>
      <c r="D528" s="19" t="s">
        <v>223</v>
      </c>
      <c r="E528" s="18" t="s">
        <v>1118</v>
      </c>
      <c r="F528" s="19" t="s">
        <v>1124</v>
      </c>
      <c r="G528" s="36" t="s">
        <v>1125</v>
      </c>
      <c r="H528" s="19" t="s">
        <v>742</v>
      </c>
      <c r="I528" s="23" t="s">
        <v>1121</v>
      </c>
    </row>
    <row r="529" spans="1:9" ht="18" hidden="1" customHeight="1" outlineLevel="2" x14ac:dyDescent="0.2">
      <c r="A529" s="18"/>
      <c r="B529" s="18"/>
      <c r="C529" s="18"/>
      <c r="D529" s="19" t="s">
        <v>223</v>
      </c>
      <c r="E529" s="18" t="s">
        <v>1118</v>
      </c>
      <c r="F529" s="19" t="s">
        <v>1126</v>
      </c>
      <c r="G529" s="36" t="s">
        <v>1127</v>
      </c>
      <c r="H529" s="19" t="s">
        <v>742</v>
      </c>
      <c r="I529" s="23" t="s">
        <v>1121</v>
      </c>
    </row>
    <row r="530" spans="1:9" ht="18" hidden="1" customHeight="1" outlineLevel="2" x14ac:dyDescent="0.2">
      <c r="A530" s="18"/>
      <c r="B530" s="18"/>
      <c r="C530" s="18"/>
      <c r="D530" s="19" t="s">
        <v>223</v>
      </c>
      <c r="E530" s="18" t="s">
        <v>1118</v>
      </c>
      <c r="F530" s="19" t="s">
        <v>1128</v>
      </c>
      <c r="G530" s="36" t="s">
        <v>1129</v>
      </c>
      <c r="H530" s="19" t="s">
        <v>742</v>
      </c>
      <c r="I530" s="23" t="s">
        <v>1121</v>
      </c>
    </row>
    <row r="531" spans="1:9" ht="18" hidden="1" customHeight="1" outlineLevel="2" x14ac:dyDescent="0.2">
      <c r="A531" s="18"/>
      <c r="B531" s="18"/>
      <c r="C531" s="18"/>
      <c r="D531" s="19" t="s">
        <v>223</v>
      </c>
      <c r="E531" s="18" t="s">
        <v>1118</v>
      </c>
      <c r="F531" s="19" t="s">
        <v>1130</v>
      </c>
      <c r="G531" s="36" t="s">
        <v>1131</v>
      </c>
      <c r="H531" s="19" t="s">
        <v>742</v>
      </c>
      <c r="I531" s="23" t="s">
        <v>1121</v>
      </c>
    </row>
    <row r="532" spans="1:9" ht="18" hidden="1" customHeight="1" outlineLevel="2" x14ac:dyDescent="0.2">
      <c r="A532" s="18"/>
      <c r="B532" s="18"/>
      <c r="C532" s="18"/>
      <c r="D532" s="19" t="s">
        <v>223</v>
      </c>
      <c r="E532" s="18" t="s">
        <v>1118</v>
      </c>
      <c r="F532" s="19" t="s">
        <v>1132</v>
      </c>
      <c r="G532" s="36" t="s">
        <v>1133</v>
      </c>
      <c r="H532" s="19" t="s">
        <v>742</v>
      </c>
      <c r="I532" s="23" t="s">
        <v>1121</v>
      </c>
    </row>
    <row r="533" spans="1:9" ht="18" hidden="1" customHeight="1" outlineLevel="2" x14ac:dyDescent="0.2">
      <c r="A533" s="18"/>
      <c r="B533" s="18"/>
      <c r="C533" s="18"/>
      <c r="D533" s="19"/>
      <c r="E533" s="18"/>
      <c r="F533" s="19"/>
      <c r="G533" s="36"/>
      <c r="H533" s="19"/>
      <c r="I533" s="23"/>
    </row>
    <row r="534" spans="1:9" ht="18" hidden="1" customHeight="1" outlineLevel="2" x14ac:dyDescent="0.2">
      <c r="A534" s="18"/>
      <c r="B534" s="18"/>
      <c r="C534" s="18"/>
      <c r="D534" s="19" t="s">
        <v>223</v>
      </c>
      <c r="E534" s="18" t="s">
        <v>1134</v>
      </c>
      <c r="F534" s="19" t="s">
        <v>1119</v>
      </c>
      <c r="G534" s="36" t="s">
        <v>1135</v>
      </c>
      <c r="H534" s="19" t="s">
        <v>742</v>
      </c>
      <c r="I534" s="23" t="s">
        <v>1136</v>
      </c>
    </row>
    <row r="535" spans="1:9" ht="18" hidden="1" customHeight="1" outlineLevel="2" x14ac:dyDescent="0.2">
      <c r="A535" s="18"/>
      <c r="B535" s="18"/>
      <c r="C535" s="18"/>
      <c r="D535" s="19" t="s">
        <v>223</v>
      </c>
      <c r="E535" s="18" t="s">
        <v>1134</v>
      </c>
      <c r="F535" s="19" t="s">
        <v>1122</v>
      </c>
      <c r="G535" s="36" t="s">
        <v>1137</v>
      </c>
      <c r="H535" s="19" t="s">
        <v>742</v>
      </c>
      <c r="I535" s="23" t="s">
        <v>1136</v>
      </c>
    </row>
    <row r="536" spans="1:9" ht="18" hidden="1" customHeight="1" outlineLevel="2" x14ac:dyDescent="0.2">
      <c r="A536" s="18"/>
      <c r="B536" s="18"/>
      <c r="C536" s="18"/>
      <c r="D536" s="19" t="s">
        <v>223</v>
      </c>
      <c r="E536" s="18" t="s">
        <v>1134</v>
      </c>
      <c r="F536" s="19" t="s">
        <v>1124</v>
      </c>
      <c r="G536" s="36" t="s">
        <v>1138</v>
      </c>
      <c r="H536" s="19" t="s">
        <v>742</v>
      </c>
      <c r="I536" s="23" t="s">
        <v>1136</v>
      </c>
    </row>
    <row r="537" spans="1:9" ht="18" hidden="1" customHeight="1" outlineLevel="2" x14ac:dyDescent="0.2">
      <c r="A537" s="18"/>
      <c r="B537" s="18"/>
      <c r="C537" s="18"/>
      <c r="D537" s="19" t="s">
        <v>223</v>
      </c>
      <c r="E537" s="18" t="s">
        <v>1134</v>
      </c>
      <c r="F537" s="19" t="s">
        <v>1126</v>
      </c>
      <c r="G537" s="36" t="s">
        <v>1139</v>
      </c>
      <c r="H537" s="19" t="s">
        <v>742</v>
      </c>
      <c r="I537" s="23" t="s">
        <v>1136</v>
      </c>
    </row>
    <row r="538" spans="1:9" ht="18" hidden="1" customHeight="1" outlineLevel="2" x14ac:dyDescent="0.2">
      <c r="A538" s="18"/>
      <c r="B538" s="18"/>
      <c r="C538" s="18"/>
      <c r="D538" s="19" t="s">
        <v>223</v>
      </c>
      <c r="E538" s="18" t="s">
        <v>1134</v>
      </c>
      <c r="F538" s="19" t="s">
        <v>1128</v>
      </c>
      <c r="G538" s="36" t="s">
        <v>1140</v>
      </c>
      <c r="H538" s="19" t="s">
        <v>742</v>
      </c>
      <c r="I538" s="23" t="s">
        <v>1136</v>
      </c>
    </row>
    <row r="539" spans="1:9" ht="18" hidden="1" customHeight="1" outlineLevel="2" x14ac:dyDescent="0.2">
      <c r="A539" s="18"/>
      <c r="B539" s="18"/>
      <c r="C539" s="18"/>
      <c r="D539" s="19" t="s">
        <v>223</v>
      </c>
      <c r="E539" s="18" t="s">
        <v>1134</v>
      </c>
      <c r="F539" s="19" t="s">
        <v>1130</v>
      </c>
      <c r="G539" s="36" t="s">
        <v>1141</v>
      </c>
      <c r="H539" s="19" t="s">
        <v>742</v>
      </c>
      <c r="I539" s="23" t="s">
        <v>1136</v>
      </c>
    </row>
    <row r="540" spans="1:9" ht="18" hidden="1" customHeight="1" outlineLevel="2" x14ac:dyDescent="0.2">
      <c r="A540" s="18"/>
      <c r="B540" s="18"/>
      <c r="C540" s="18"/>
      <c r="D540" s="19" t="s">
        <v>223</v>
      </c>
      <c r="E540" s="18" t="s">
        <v>1134</v>
      </c>
      <c r="F540" s="19" t="s">
        <v>1142</v>
      </c>
      <c r="G540" s="36" t="s">
        <v>1143</v>
      </c>
      <c r="H540" s="19" t="s">
        <v>742</v>
      </c>
      <c r="I540" s="23" t="s">
        <v>1136</v>
      </c>
    </row>
    <row r="541" spans="1:9" ht="18" hidden="1" customHeight="1" outlineLevel="2" x14ac:dyDescent="0.2">
      <c r="A541" s="18"/>
      <c r="B541" s="18"/>
      <c r="C541" s="18"/>
      <c r="D541" s="19" t="s">
        <v>223</v>
      </c>
      <c r="E541" s="18" t="s">
        <v>1134</v>
      </c>
      <c r="F541" s="19" t="s">
        <v>1132</v>
      </c>
      <c r="G541" s="36" t="s">
        <v>1144</v>
      </c>
      <c r="H541" s="19" t="s">
        <v>742</v>
      </c>
      <c r="I541" s="23" t="s">
        <v>1136</v>
      </c>
    </row>
    <row r="542" spans="1:9" ht="18" hidden="1" customHeight="1" outlineLevel="2" x14ac:dyDescent="0.2">
      <c r="A542" s="18"/>
      <c r="B542" s="18"/>
      <c r="C542" s="18"/>
      <c r="D542" s="19" t="s">
        <v>223</v>
      </c>
      <c r="E542" s="18" t="s">
        <v>1134</v>
      </c>
      <c r="F542" s="19" t="s">
        <v>1145</v>
      </c>
      <c r="G542" s="36" t="s">
        <v>1146</v>
      </c>
      <c r="H542" s="19" t="s">
        <v>742</v>
      </c>
      <c r="I542" s="23" t="s">
        <v>1136</v>
      </c>
    </row>
    <row r="543" spans="1:9" ht="18" hidden="1" customHeight="1" outlineLevel="2" x14ac:dyDescent="0.2">
      <c r="A543" s="18"/>
      <c r="B543" s="18"/>
      <c r="C543" s="18"/>
      <c r="D543" s="19"/>
      <c r="E543" s="18"/>
      <c r="F543" s="19"/>
      <c r="G543" s="36"/>
      <c r="H543" s="19"/>
      <c r="I543" s="23"/>
    </row>
    <row r="544" spans="1:9" ht="18" hidden="1" customHeight="1" outlineLevel="2" x14ac:dyDescent="0.2">
      <c r="A544" s="18"/>
      <c r="B544" s="18"/>
      <c r="C544" s="18"/>
      <c r="D544" s="19" t="s">
        <v>223</v>
      </c>
      <c r="E544" s="18" t="s">
        <v>1147</v>
      </c>
      <c r="F544" s="19" t="s">
        <v>1119</v>
      </c>
      <c r="G544" s="36" t="s">
        <v>1148</v>
      </c>
      <c r="H544" s="19" t="s">
        <v>742</v>
      </c>
      <c r="I544" s="23" t="s">
        <v>1121</v>
      </c>
    </row>
    <row r="545" spans="1:9" ht="18" hidden="1" customHeight="1" outlineLevel="2" x14ac:dyDescent="0.2">
      <c r="A545" s="18"/>
      <c r="B545" s="18"/>
      <c r="C545" s="18"/>
      <c r="D545" s="19" t="s">
        <v>223</v>
      </c>
      <c r="E545" s="18" t="s">
        <v>1147</v>
      </c>
      <c r="F545" s="19" t="s">
        <v>1122</v>
      </c>
      <c r="G545" s="36" t="s">
        <v>1149</v>
      </c>
      <c r="H545" s="19" t="s">
        <v>742</v>
      </c>
      <c r="I545" s="23" t="s">
        <v>1121</v>
      </c>
    </row>
    <row r="546" spans="1:9" ht="18" hidden="1" customHeight="1" outlineLevel="2" x14ac:dyDescent="0.2">
      <c r="A546" s="18"/>
      <c r="B546" s="18"/>
      <c r="C546" s="18"/>
      <c r="D546" s="19" t="s">
        <v>223</v>
      </c>
      <c r="E546" s="18" t="s">
        <v>1147</v>
      </c>
      <c r="F546" s="19" t="s">
        <v>1124</v>
      </c>
      <c r="G546" s="36" t="s">
        <v>1150</v>
      </c>
      <c r="H546" s="19" t="s">
        <v>742</v>
      </c>
      <c r="I546" s="23" t="s">
        <v>1121</v>
      </c>
    </row>
    <row r="547" spans="1:9" ht="18" hidden="1" customHeight="1" outlineLevel="2" x14ac:dyDescent="0.2">
      <c r="A547" s="18"/>
      <c r="B547" s="18"/>
      <c r="C547" s="18"/>
      <c r="D547" s="19" t="s">
        <v>223</v>
      </c>
      <c r="E547" s="18" t="s">
        <v>1147</v>
      </c>
      <c r="F547" s="19" t="s">
        <v>1126</v>
      </c>
      <c r="G547" s="36" t="s">
        <v>1151</v>
      </c>
      <c r="H547" s="19" t="s">
        <v>742</v>
      </c>
      <c r="I547" s="23" t="s">
        <v>1121</v>
      </c>
    </row>
    <row r="548" spans="1:9" ht="18" hidden="1" customHeight="1" outlineLevel="2" x14ac:dyDescent="0.2">
      <c r="A548" s="18"/>
      <c r="B548" s="18"/>
      <c r="C548" s="18"/>
      <c r="D548" s="19" t="s">
        <v>223</v>
      </c>
      <c r="E548" s="18" t="s">
        <v>1147</v>
      </c>
      <c r="F548" s="19" t="s">
        <v>1128</v>
      </c>
      <c r="G548" s="36" t="s">
        <v>1152</v>
      </c>
      <c r="H548" s="19" t="s">
        <v>742</v>
      </c>
      <c r="I548" s="23" t="s">
        <v>1121</v>
      </c>
    </row>
    <row r="549" spans="1:9" ht="18" hidden="1" customHeight="1" outlineLevel="2" x14ac:dyDescent="0.2">
      <c r="A549" s="18"/>
      <c r="B549" s="18"/>
      <c r="C549" s="18"/>
      <c r="D549" s="19" t="s">
        <v>223</v>
      </c>
      <c r="E549" s="18" t="s">
        <v>1147</v>
      </c>
      <c r="F549" s="19" t="s">
        <v>1130</v>
      </c>
      <c r="G549" s="36" t="s">
        <v>1153</v>
      </c>
      <c r="H549" s="19" t="s">
        <v>742</v>
      </c>
      <c r="I549" s="23" t="s">
        <v>1121</v>
      </c>
    </row>
    <row r="550" spans="1:9" ht="18" hidden="1" customHeight="1" outlineLevel="2" x14ac:dyDescent="0.2">
      <c r="A550" s="18"/>
      <c r="B550" s="18"/>
      <c r="C550" s="18"/>
      <c r="D550" s="19" t="s">
        <v>223</v>
      </c>
      <c r="E550" s="18" t="s">
        <v>1147</v>
      </c>
      <c r="F550" s="19" t="s">
        <v>1132</v>
      </c>
      <c r="G550" s="36" t="s">
        <v>1154</v>
      </c>
      <c r="H550" s="19" t="s">
        <v>742</v>
      </c>
      <c r="I550" s="23" t="s">
        <v>1121</v>
      </c>
    </row>
    <row r="551" spans="1:9" ht="18" hidden="1" customHeight="1" outlineLevel="2" x14ac:dyDescent="0.2">
      <c r="A551" s="18"/>
      <c r="B551" s="18"/>
      <c r="C551" s="18"/>
      <c r="D551" s="19"/>
      <c r="E551" s="18"/>
      <c r="F551" s="19"/>
      <c r="G551" s="36"/>
      <c r="H551" s="19"/>
      <c r="I551" s="23"/>
    </row>
    <row r="552" spans="1:9" ht="18" hidden="1" customHeight="1" outlineLevel="2" x14ac:dyDescent="0.2">
      <c r="A552" s="18"/>
      <c r="B552" s="18"/>
      <c r="C552" s="18"/>
      <c r="D552" s="19" t="s">
        <v>223</v>
      </c>
      <c r="E552" s="18" t="s">
        <v>1155</v>
      </c>
      <c r="F552" s="19" t="s">
        <v>1119</v>
      </c>
      <c r="G552" s="36" t="s">
        <v>1156</v>
      </c>
      <c r="H552" s="19" t="s">
        <v>742</v>
      </c>
      <c r="I552" s="23" t="s">
        <v>1121</v>
      </c>
    </row>
    <row r="553" spans="1:9" ht="18" hidden="1" customHeight="1" outlineLevel="2" x14ac:dyDescent="0.2">
      <c r="A553" s="18"/>
      <c r="B553" s="18"/>
      <c r="C553" s="18"/>
      <c r="D553" s="19" t="s">
        <v>223</v>
      </c>
      <c r="E553" s="18" t="s">
        <v>1155</v>
      </c>
      <c r="F553" s="19" t="s">
        <v>1122</v>
      </c>
      <c r="G553" s="36" t="s">
        <v>1157</v>
      </c>
      <c r="H553" s="19" t="s">
        <v>742</v>
      </c>
      <c r="I553" s="23" t="s">
        <v>1121</v>
      </c>
    </row>
    <row r="554" spans="1:9" ht="18" hidden="1" customHeight="1" outlineLevel="2" x14ac:dyDescent="0.2">
      <c r="A554" s="18"/>
      <c r="B554" s="18"/>
      <c r="C554" s="18"/>
      <c r="D554" s="19" t="s">
        <v>223</v>
      </c>
      <c r="E554" s="18" t="s">
        <v>1155</v>
      </c>
      <c r="F554" s="19" t="s">
        <v>1124</v>
      </c>
      <c r="G554" s="36" t="s">
        <v>1158</v>
      </c>
      <c r="H554" s="19" t="s">
        <v>742</v>
      </c>
      <c r="I554" s="23" t="s">
        <v>1121</v>
      </c>
    </row>
    <row r="555" spans="1:9" ht="18" hidden="1" customHeight="1" outlineLevel="2" x14ac:dyDescent="0.2">
      <c r="A555" s="18"/>
      <c r="B555" s="18"/>
      <c r="C555" s="18"/>
      <c r="D555" s="19" t="s">
        <v>223</v>
      </c>
      <c r="E555" s="18" t="s">
        <v>1155</v>
      </c>
      <c r="F555" s="19" t="s">
        <v>1159</v>
      </c>
      <c r="G555" s="36" t="s">
        <v>1160</v>
      </c>
      <c r="H555" s="19" t="s">
        <v>742</v>
      </c>
      <c r="I555" s="23" t="s">
        <v>1121</v>
      </c>
    </row>
    <row r="556" spans="1:9" ht="18" hidden="1" customHeight="1" outlineLevel="2" x14ac:dyDescent="0.2">
      <c r="A556" s="18"/>
      <c r="B556" s="18"/>
      <c r="C556" s="18"/>
      <c r="D556" s="19" t="s">
        <v>223</v>
      </c>
      <c r="E556" s="18" t="s">
        <v>1155</v>
      </c>
      <c r="F556" s="19" t="s">
        <v>1126</v>
      </c>
      <c r="G556" s="36" t="s">
        <v>1161</v>
      </c>
      <c r="H556" s="19" t="s">
        <v>742</v>
      </c>
      <c r="I556" s="23" t="s">
        <v>1121</v>
      </c>
    </row>
    <row r="557" spans="1:9" ht="18" hidden="1" customHeight="1" outlineLevel="2" x14ac:dyDescent="0.2">
      <c r="A557" s="18"/>
      <c r="B557" s="18"/>
      <c r="C557" s="18"/>
      <c r="D557" s="19" t="s">
        <v>223</v>
      </c>
      <c r="E557" s="18" t="s">
        <v>1155</v>
      </c>
      <c r="F557" s="19" t="s">
        <v>1162</v>
      </c>
      <c r="G557" s="36" t="s">
        <v>1163</v>
      </c>
      <c r="H557" s="19" t="s">
        <v>742</v>
      </c>
      <c r="I557" s="23" t="s">
        <v>1121</v>
      </c>
    </row>
    <row r="558" spans="1:9" ht="18" hidden="1" customHeight="1" outlineLevel="2" x14ac:dyDescent="0.2">
      <c r="A558" s="18"/>
      <c r="B558" s="18"/>
      <c r="C558" s="18"/>
      <c r="D558" s="19" t="s">
        <v>223</v>
      </c>
      <c r="E558" s="18" t="s">
        <v>1155</v>
      </c>
      <c r="F558" s="19" t="s">
        <v>1128</v>
      </c>
      <c r="G558" s="36" t="s">
        <v>1164</v>
      </c>
      <c r="H558" s="19" t="s">
        <v>742</v>
      </c>
      <c r="I558" s="23" t="s">
        <v>1121</v>
      </c>
    </row>
    <row r="559" spans="1:9" ht="18" hidden="1" customHeight="1" outlineLevel="2" x14ac:dyDescent="0.2">
      <c r="A559" s="18"/>
      <c r="B559" s="18"/>
      <c r="C559" s="18"/>
      <c r="D559" s="19" t="s">
        <v>223</v>
      </c>
      <c r="E559" s="18" t="s">
        <v>1155</v>
      </c>
      <c r="F559" s="19" t="s">
        <v>1165</v>
      </c>
      <c r="G559" s="36" t="s">
        <v>1166</v>
      </c>
      <c r="H559" s="19" t="s">
        <v>742</v>
      </c>
      <c r="I559" s="23" t="s">
        <v>1121</v>
      </c>
    </row>
    <row r="560" spans="1:9" ht="18" hidden="1" customHeight="1" outlineLevel="2" x14ac:dyDescent="0.2">
      <c r="A560" s="18"/>
      <c r="B560" s="18"/>
      <c r="C560" s="18"/>
      <c r="D560" s="19" t="s">
        <v>223</v>
      </c>
      <c r="E560" s="18" t="s">
        <v>1155</v>
      </c>
      <c r="F560" s="19" t="s">
        <v>1130</v>
      </c>
      <c r="G560" s="36" t="s">
        <v>1167</v>
      </c>
      <c r="H560" s="19" t="s">
        <v>742</v>
      </c>
      <c r="I560" s="23" t="s">
        <v>1121</v>
      </c>
    </row>
    <row r="561" spans="1:9" ht="18" hidden="1" customHeight="1" outlineLevel="2" x14ac:dyDescent="0.2">
      <c r="A561" s="18"/>
      <c r="B561" s="18"/>
      <c r="C561" s="18"/>
      <c r="D561" s="19" t="s">
        <v>223</v>
      </c>
      <c r="E561" s="18" t="s">
        <v>1155</v>
      </c>
      <c r="F561" s="19" t="s">
        <v>1168</v>
      </c>
      <c r="G561" s="36" t="s">
        <v>1169</v>
      </c>
      <c r="H561" s="19" t="s">
        <v>742</v>
      </c>
      <c r="I561" s="23" t="s">
        <v>1121</v>
      </c>
    </row>
    <row r="562" spans="1:9" ht="18" hidden="1" customHeight="1" outlineLevel="2" x14ac:dyDescent="0.2">
      <c r="A562" s="18"/>
      <c r="B562" s="18"/>
      <c r="C562" s="18"/>
      <c r="D562" s="19" t="s">
        <v>223</v>
      </c>
      <c r="E562" s="18" t="s">
        <v>1155</v>
      </c>
      <c r="F562" s="19" t="s">
        <v>1132</v>
      </c>
      <c r="G562" s="36" t="s">
        <v>1170</v>
      </c>
      <c r="H562" s="19" t="s">
        <v>742</v>
      </c>
      <c r="I562" s="23" t="s">
        <v>1121</v>
      </c>
    </row>
    <row r="563" spans="1:9" ht="18" hidden="1" customHeight="1" outlineLevel="2" x14ac:dyDescent="0.2">
      <c r="A563" s="18"/>
      <c r="B563" s="18"/>
      <c r="C563" s="18"/>
      <c r="D563" s="19"/>
      <c r="E563" s="18"/>
      <c r="F563" s="19"/>
      <c r="G563" s="36"/>
      <c r="H563" s="19"/>
      <c r="I563" s="23"/>
    </row>
    <row r="564" spans="1:9" ht="18" hidden="1" customHeight="1" outlineLevel="2" x14ac:dyDescent="0.2">
      <c r="A564" s="18"/>
      <c r="B564" s="18"/>
      <c r="C564" s="18"/>
      <c r="D564" s="19" t="s">
        <v>223</v>
      </c>
      <c r="E564" s="18" t="s">
        <v>1118</v>
      </c>
      <c r="F564" s="19" t="s">
        <v>1119</v>
      </c>
      <c r="G564" s="36" t="s">
        <v>1171</v>
      </c>
      <c r="H564" s="19" t="s">
        <v>742</v>
      </c>
      <c r="I564" s="23" t="s">
        <v>1103</v>
      </c>
    </row>
    <row r="565" spans="1:9" ht="18" hidden="1" customHeight="1" outlineLevel="2" x14ac:dyDescent="0.2">
      <c r="A565" s="18"/>
      <c r="B565" s="18"/>
      <c r="C565" s="18"/>
      <c r="D565" s="19" t="s">
        <v>223</v>
      </c>
      <c r="E565" s="18" t="s">
        <v>1118</v>
      </c>
      <c r="F565" s="19" t="s">
        <v>1122</v>
      </c>
      <c r="G565" s="36" t="s">
        <v>1172</v>
      </c>
      <c r="H565" s="19" t="s">
        <v>742</v>
      </c>
      <c r="I565" s="23" t="s">
        <v>1103</v>
      </c>
    </row>
    <row r="566" spans="1:9" ht="18" hidden="1" customHeight="1" outlineLevel="2" x14ac:dyDescent="0.2">
      <c r="A566" s="18"/>
      <c r="B566" s="18"/>
      <c r="C566" s="18"/>
      <c r="D566" s="19" t="s">
        <v>223</v>
      </c>
      <c r="E566" s="18" t="s">
        <v>1118</v>
      </c>
      <c r="F566" s="19" t="s">
        <v>1124</v>
      </c>
      <c r="G566" s="36" t="s">
        <v>1173</v>
      </c>
      <c r="H566" s="19" t="s">
        <v>742</v>
      </c>
      <c r="I566" s="23" t="s">
        <v>1103</v>
      </c>
    </row>
    <row r="567" spans="1:9" ht="18" hidden="1" customHeight="1" outlineLevel="2" x14ac:dyDescent="0.2">
      <c r="A567" s="18"/>
      <c r="B567" s="18"/>
      <c r="C567" s="18"/>
      <c r="D567" s="19" t="s">
        <v>223</v>
      </c>
      <c r="E567" s="18" t="s">
        <v>1118</v>
      </c>
      <c r="F567" s="19" t="s">
        <v>1126</v>
      </c>
      <c r="G567" s="36" t="s">
        <v>1174</v>
      </c>
      <c r="H567" s="19" t="s">
        <v>742</v>
      </c>
      <c r="I567" s="23" t="s">
        <v>1103</v>
      </c>
    </row>
    <row r="568" spans="1:9" ht="18" hidden="1" customHeight="1" outlineLevel="2" x14ac:dyDescent="0.2">
      <c r="A568" s="18"/>
      <c r="B568" s="18"/>
      <c r="C568" s="18"/>
      <c r="D568" s="19" t="s">
        <v>223</v>
      </c>
      <c r="E568" s="18" t="s">
        <v>1118</v>
      </c>
      <c r="F568" s="19" t="s">
        <v>1128</v>
      </c>
      <c r="G568" s="36" t="s">
        <v>1175</v>
      </c>
      <c r="H568" s="19" t="s">
        <v>742</v>
      </c>
      <c r="I568" s="23" t="s">
        <v>1103</v>
      </c>
    </row>
    <row r="569" spans="1:9" ht="18" hidden="1" customHeight="1" outlineLevel="2" x14ac:dyDescent="0.2">
      <c r="A569" s="18"/>
      <c r="B569" s="18"/>
      <c r="C569" s="18"/>
      <c r="D569" s="19" t="s">
        <v>223</v>
      </c>
      <c r="E569" s="18" t="s">
        <v>1118</v>
      </c>
      <c r="F569" s="19" t="s">
        <v>1130</v>
      </c>
      <c r="G569" s="36" t="s">
        <v>1176</v>
      </c>
      <c r="H569" s="19" t="s">
        <v>742</v>
      </c>
      <c r="I569" s="23" t="s">
        <v>1103</v>
      </c>
    </row>
    <row r="570" spans="1:9" ht="18" hidden="1" customHeight="1" outlineLevel="2" x14ac:dyDescent="0.2">
      <c r="A570" s="18"/>
      <c r="B570" s="18"/>
      <c r="C570" s="18"/>
      <c r="D570" s="19" t="s">
        <v>223</v>
      </c>
      <c r="E570" s="18" t="s">
        <v>1118</v>
      </c>
      <c r="F570" s="19" t="s">
        <v>1132</v>
      </c>
      <c r="G570" s="36" t="s">
        <v>1177</v>
      </c>
      <c r="H570" s="19" t="s">
        <v>742</v>
      </c>
      <c r="I570" s="23" t="s">
        <v>1103</v>
      </c>
    </row>
    <row r="571" spans="1:9" ht="18" hidden="1" customHeight="1" outlineLevel="2" x14ac:dyDescent="0.2">
      <c r="A571" s="18"/>
      <c r="B571" s="18"/>
      <c r="C571" s="18"/>
      <c r="D571" s="19"/>
      <c r="E571" s="18"/>
      <c r="F571" s="19"/>
      <c r="G571" s="36"/>
      <c r="H571" s="19"/>
      <c r="I571" s="23"/>
    </row>
    <row r="572" spans="1:9" ht="18" hidden="1" customHeight="1" outlineLevel="2" x14ac:dyDescent="0.2">
      <c r="A572" s="18"/>
      <c r="B572" s="18"/>
      <c r="C572" s="18"/>
      <c r="D572" s="19" t="s">
        <v>223</v>
      </c>
      <c r="E572" s="18" t="s">
        <v>1134</v>
      </c>
      <c r="F572" s="19" t="s">
        <v>1119</v>
      </c>
      <c r="G572" s="36" t="s">
        <v>1178</v>
      </c>
      <c r="H572" s="19" t="s">
        <v>742</v>
      </c>
      <c r="I572" s="23" t="s">
        <v>1103</v>
      </c>
    </row>
    <row r="573" spans="1:9" ht="18" hidden="1" customHeight="1" outlineLevel="2" x14ac:dyDescent="0.2">
      <c r="A573" s="18"/>
      <c r="B573" s="18"/>
      <c r="C573" s="18"/>
      <c r="D573" s="19" t="s">
        <v>223</v>
      </c>
      <c r="E573" s="18" t="s">
        <v>1134</v>
      </c>
      <c r="F573" s="19" t="s">
        <v>1122</v>
      </c>
      <c r="G573" s="36" t="s">
        <v>1179</v>
      </c>
      <c r="H573" s="19" t="s">
        <v>742</v>
      </c>
      <c r="I573" s="23" t="s">
        <v>1103</v>
      </c>
    </row>
    <row r="574" spans="1:9" ht="18" hidden="1" customHeight="1" outlineLevel="2" x14ac:dyDescent="0.2">
      <c r="A574" s="18"/>
      <c r="B574" s="18"/>
      <c r="C574" s="18"/>
      <c r="D574" s="19" t="s">
        <v>223</v>
      </c>
      <c r="E574" s="18" t="s">
        <v>1134</v>
      </c>
      <c r="F574" s="19" t="s">
        <v>1124</v>
      </c>
      <c r="G574" s="36" t="s">
        <v>1180</v>
      </c>
      <c r="H574" s="19" t="s">
        <v>742</v>
      </c>
      <c r="I574" s="23" t="s">
        <v>1103</v>
      </c>
    </row>
    <row r="575" spans="1:9" ht="18" hidden="1" customHeight="1" outlineLevel="2" x14ac:dyDescent="0.2">
      <c r="A575" s="18"/>
      <c r="B575" s="18"/>
      <c r="C575" s="18"/>
      <c r="D575" s="19" t="s">
        <v>223</v>
      </c>
      <c r="E575" s="18" t="s">
        <v>1134</v>
      </c>
      <c r="F575" s="19" t="s">
        <v>1126</v>
      </c>
      <c r="G575" s="36" t="s">
        <v>1181</v>
      </c>
      <c r="H575" s="19" t="s">
        <v>742</v>
      </c>
      <c r="I575" s="23" t="s">
        <v>1103</v>
      </c>
    </row>
    <row r="576" spans="1:9" ht="18" hidden="1" customHeight="1" outlineLevel="2" x14ac:dyDescent="0.2">
      <c r="A576" s="18"/>
      <c r="B576" s="18"/>
      <c r="C576" s="18"/>
      <c r="D576" s="19" t="s">
        <v>223</v>
      </c>
      <c r="E576" s="18" t="s">
        <v>1134</v>
      </c>
      <c r="F576" s="19" t="s">
        <v>1128</v>
      </c>
      <c r="G576" s="36" t="s">
        <v>1182</v>
      </c>
      <c r="H576" s="19" t="s">
        <v>742</v>
      </c>
      <c r="I576" s="23" t="s">
        <v>1103</v>
      </c>
    </row>
    <row r="577" spans="1:12" ht="18" hidden="1" customHeight="1" outlineLevel="2" x14ac:dyDescent="0.2">
      <c r="A577" s="18"/>
      <c r="B577" s="18"/>
      <c r="C577" s="18"/>
      <c r="D577" s="19" t="s">
        <v>223</v>
      </c>
      <c r="E577" s="18" t="s">
        <v>1134</v>
      </c>
      <c r="F577" s="19" t="s">
        <v>1130</v>
      </c>
      <c r="G577" s="36" t="s">
        <v>1183</v>
      </c>
      <c r="H577" s="19" t="s">
        <v>742</v>
      </c>
      <c r="I577" s="23" t="s">
        <v>1103</v>
      </c>
    </row>
    <row r="578" spans="1:12" ht="18" hidden="1" customHeight="1" outlineLevel="2" x14ac:dyDescent="0.2">
      <c r="A578" s="18"/>
      <c r="B578" s="18"/>
      <c r="C578" s="18"/>
      <c r="D578" s="19" t="s">
        <v>223</v>
      </c>
      <c r="E578" s="18" t="s">
        <v>1134</v>
      </c>
      <c r="F578" s="19" t="s">
        <v>1132</v>
      </c>
      <c r="G578" s="36" t="s">
        <v>1184</v>
      </c>
      <c r="H578" s="19" t="s">
        <v>742</v>
      </c>
      <c r="I578" s="23" t="s">
        <v>1103</v>
      </c>
    </row>
    <row r="579" spans="1:12" ht="18" hidden="1" customHeight="1" outlineLevel="2" x14ac:dyDescent="0.2">
      <c r="A579" s="18"/>
      <c r="B579" s="18"/>
      <c r="C579" s="18"/>
      <c r="D579" s="19"/>
      <c r="E579" s="18"/>
      <c r="F579" s="19"/>
      <c r="G579" s="36"/>
      <c r="H579" s="19"/>
      <c r="I579" s="23"/>
    </row>
    <row r="580" spans="1:12" ht="18" hidden="1" customHeight="1" outlineLevel="1" x14ac:dyDescent="0.2">
      <c r="A580" s="119" t="s">
        <v>138</v>
      </c>
      <c r="B580" s="120"/>
      <c r="C580" s="120"/>
      <c r="D580" s="120"/>
      <c r="E580" s="120"/>
      <c r="F580" s="120"/>
      <c r="G580" s="120"/>
      <c r="H580" s="120"/>
      <c r="I580" s="120"/>
      <c r="J580" s="120"/>
      <c r="K580" s="120"/>
      <c r="L580" s="160"/>
    </row>
    <row r="581" spans="1:12" ht="18" hidden="1" customHeight="1" outlineLevel="2" x14ac:dyDescent="0.2">
      <c r="A581" s="25"/>
      <c r="B581" s="25"/>
      <c r="C581" s="25"/>
      <c r="D581" s="25" t="s">
        <v>3466</v>
      </c>
      <c r="E581" s="59" t="s">
        <v>2579</v>
      </c>
      <c r="F581" s="25" t="s">
        <v>2580</v>
      </c>
      <c r="G581" s="25" t="s">
        <v>2581</v>
      </c>
      <c r="H581" s="25" t="s">
        <v>2582</v>
      </c>
      <c r="I581" s="25" t="s">
        <v>3895</v>
      </c>
      <c r="K581" s="25">
        <v>1</v>
      </c>
      <c r="L581" s="25">
        <v>2</v>
      </c>
    </row>
    <row r="582" spans="1:12" ht="18" hidden="1" customHeight="1" outlineLevel="2" x14ac:dyDescent="0.2">
      <c r="A582" s="25"/>
      <c r="B582" s="25"/>
      <c r="C582" s="25"/>
      <c r="D582" s="25" t="s">
        <v>352</v>
      </c>
      <c r="E582" s="59" t="s">
        <v>2579</v>
      </c>
      <c r="F582" s="25" t="s">
        <v>2583</v>
      </c>
      <c r="G582" s="25" t="s">
        <v>2584</v>
      </c>
      <c r="H582" s="25" t="s">
        <v>2582</v>
      </c>
      <c r="I582" s="25" t="s">
        <v>3896</v>
      </c>
      <c r="K582" s="25">
        <v>1</v>
      </c>
      <c r="L582" s="25">
        <v>2</v>
      </c>
    </row>
    <row r="583" spans="1:12" ht="18" hidden="1" customHeight="1" outlineLevel="2" x14ac:dyDescent="0.2">
      <c r="A583" s="25"/>
      <c r="B583" s="25"/>
      <c r="C583" s="25"/>
      <c r="D583" s="25" t="s">
        <v>3467</v>
      </c>
      <c r="E583" s="59" t="s">
        <v>2585</v>
      </c>
      <c r="F583" s="25" t="s">
        <v>2586</v>
      </c>
      <c r="G583" s="25" t="s">
        <v>2587</v>
      </c>
      <c r="H583" s="25" t="s">
        <v>2588</v>
      </c>
      <c r="I583" s="25" t="s">
        <v>3897</v>
      </c>
      <c r="K583" s="25">
        <v>5</v>
      </c>
      <c r="L583" s="25">
        <v>7</v>
      </c>
    </row>
    <row r="584" spans="1:12" ht="18" hidden="1" customHeight="1" outlineLevel="2" x14ac:dyDescent="0.2">
      <c r="A584" s="25"/>
      <c r="B584" s="25"/>
      <c r="C584" s="25"/>
      <c r="D584" s="25"/>
      <c r="E584" s="59" t="s">
        <v>2589</v>
      </c>
      <c r="F584" s="25" t="s">
        <v>2590</v>
      </c>
      <c r="G584" s="25" t="s">
        <v>2591</v>
      </c>
      <c r="H584" s="25" t="s">
        <v>2588</v>
      </c>
      <c r="I584" s="25"/>
      <c r="K584" s="25">
        <v>2</v>
      </c>
      <c r="L584" s="25">
        <v>3</v>
      </c>
    </row>
    <row r="585" spans="1:12" ht="18" hidden="1" customHeight="1" outlineLevel="2" x14ac:dyDescent="0.2">
      <c r="A585" s="25"/>
      <c r="B585" s="25"/>
      <c r="C585" s="25"/>
      <c r="D585" s="25" t="s">
        <v>352</v>
      </c>
      <c r="E585" s="25" t="s">
        <v>2585</v>
      </c>
      <c r="F585" s="25" t="s">
        <v>2592</v>
      </c>
      <c r="G585" s="25" t="s">
        <v>2593</v>
      </c>
      <c r="H585" s="25" t="s">
        <v>2588</v>
      </c>
      <c r="I585" s="25" t="s">
        <v>3898</v>
      </c>
    </row>
    <row r="586" spans="1:12" ht="18" hidden="1" customHeight="1" outlineLevel="2" x14ac:dyDescent="0.2">
      <c r="A586" s="25"/>
      <c r="B586" s="25"/>
      <c r="C586" s="25"/>
      <c r="D586" s="25"/>
      <c r="E586" s="59" t="s">
        <v>2594</v>
      </c>
      <c r="F586" s="25" t="s">
        <v>2595</v>
      </c>
      <c r="G586" s="25"/>
      <c r="H586" s="25" t="s">
        <v>2588</v>
      </c>
      <c r="I586" s="25" t="s">
        <v>3899</v>
      </c>
      <c r="K586" s="25">
        <v>2</v>
      </c>
      <c r="L586" s="25">
        <v>3</v>
      </c>
    </row>
    <row r="587" spans="1:12" ht="18" hidden="1" customHeight="1" outlineLevel="2" x14ac:dyDescent="0.2">
      <c r="A587" s="25"/>
      <c r="B587" s="25"/>
      <c r="C587" s="25"/>
      <c r="D587" s="25" t="s">
        <v>352</v>
      </c>
      <c r="E587" s="59" t="s">
        <v>2596</v>
      </c>
      <c r="F587" s="25" t="s">
        <v>2597</v>
      </c>
      <c r="G587" s="25" t="s">
        <v>2598</v>
      </c>
      <c r="H587" s="25" t="s">
        <v>2588</v>
      </c>
      <c r="I587" s="25" t="s">
        <v>3900</v>
      </c>
      <c r="K587" s="25">
        <v>2</v>
      </c>
      <c r="L587" s="25">
        <v>3</v>
      </c>
    </row>
    <row r="588" spans="1:12" ht="18" hidden="1" customHeight="1" outlineLevel="2" x14ac:dyDescent="0.2">
      <c r="A588" s="31"/>
      <c r="B588" s="71"/>
      <c r="C588" s="71"/>
      <c r="D588" s="72"/>
      <c r="E588" s="71"/>
      <c r="F588" s="72"/>
      <c r="G588" s="73"/>
      <c r="H588" s="72"/>
      <c r="I588" s="72"/>
      <c r="J588" s="60"/>
      <c r="K588" s="60"/>
      <c r="L588" s="61"/>
    </row>
    <row r="589" spans="1:12" ht="18" hidden="1" customHeight="1" outlineLevel="2" collapsed="1" x14ac:dyDescent="0.2">
      <c r="A589" s="119" t="s">
        <v>139</v>
      </c>
      <c r="B589" s="120"/>
      <c r="C589" s="120"/>
      <c r="D589" s="120"/>
      <c r="E589" s="120"/>
      <c r="F589" s="120"/>
      <c r="G589" s="120"/>
      <c r="H589" s="120"/>
      <c r="I589" s="120"/>
      <c r="J589" s="120"/>
      <c r="K589" s="120"/>
      <c r="L589" s="160"/>
    </row>
    <row r="590" spans="1:12" ht="18" hidden="1" customHeight="1" outlineLevel="2" x14ac:dyDescent="0.2">
      <c r="A590" s="25"/>
      <c r="B590" s="25"/>
      <c r="C590" s="25"/>
      <c r="D590" s="25" t="s">
        <v>352</v>
      </c>
      <c r="E590" s="25" t="s">
        <v>2599</v>
      </c>
      <c r="F590" s="25" t="s">
        <v>2600</v>
      </c>
      <c r="G590" s="25" t="s">
        <v>2601</v>
      </c>
      <c r="H590" s="25" t="s">
        <v>742</v>
      </c>
      <c r="I590" s="25"/>
      <c r="J590" s="25" t="s">
        <v>3105</v>
      </c>
    </row>
    <row r="591" spans="1:12" ht="18" hidden="1" customHeight="1" outlineLevel="2" x14ac:dyDescent="0.2">
      <c r="A591" s="25"/>
      <c r="B591" s="25"/>
      <c r="C591" s="25"/>
      <c r="D591" s="25" t="s">
        <v>352</v>
      </c>
      <c r="E591" s="25" t="s">
        <v>2602</v>
      </c>
      <c r="F591" s="25"/>
      <c r="G591" s="25" t="s">
        <v>2603</v>
      </c>
      <c r="H591" s="25" t="s">
        <v>742</v>
      </c>
      <c r="I591" s="25" t="s">
        <v>2604</v>
      </c>
    </row>
    <row r="592" spans="1:12" ht="18" hidden="1" customHeight="1" outlineLevel="2" x14ac:dyDescent="0.2">
      <c r="A592" s="25"/>
      <c r="B592" s="25"/>
      <c r="C592" s="25"/>
      <c r="D592" s="25" t="s">
        <v>352</v>
      </c>
      <c r="E592" s="25" t="s">
        <v>2602</v>
      </c>
      <c r="F592" s="25"/>
      <c r="G592" s="25" t="s">
        <v>2605</v>
      </c>
      <c r="H592" s="25" t="s">
        <v>742</v>
      </c>
      <c r="I592" s="25" t="s">
        <v>2606</v>
      </c>
    </row>
    <row r="593" spans="1:12" ht="18" hidden="1" customHeight="1" outlineLevel="2" x14ac:dyDescent="0.2">
      <c r="A593" s="25"/>
      <c r="B593" s="25"/>
      <c r="C593" s="25"/>
      <c r="D593" s="25" t="s">
        <v>352</v>
      </c>
      <c r="E593" s="25" t="s">
        <v>2602</v>
      </c>
      <c r="F593" s="25"/>
      <c r="G593" s="25" t="s">
        <v>2607</v>
      </c>
      <c r="H593" s="25" t="s">
        <v>742</v>
      </c>
      <c r="I593" s="25" t="s">
        <v>2608</v>
      </c>
    </row>
    <row r="594" spans="1:12" ht="18" hidden="1" customHeight="1" outlineLevel="2" x14ac:dyDescent="0.2">
      <c r="A594" s="25"/>
      <c r="B594" s="25"/>
      <c r="C594" s="25"/>
      <c r="D594" s="25" t="s">
        <v>3468</v>
      </c>
      <c r="E594" s="25" t="s">
        <v>2609</v>
      </c>
      <c r="F594" s="25" t="s">
        <v>2610</v>
      </c>
      <c r="G594" s="25"/>
      <c r="H594" s="25"/>
      <c r="I594" s="25" t="s">
        <v>2611</v>
      </c>
      <c r="J594" s="25" t="s">
        <v>3106</v>
      </c>
    </row>
    <row r="595" spans="1:12" ht="18" hidden="1" customHeight="1" outlineLevel="2" x14ac:dyDescent="0.2">
      <c r="A595" s="25"/>
      <c r="B595" s="25"/>
      <c r="C595" s="25"/>
      <c r="D595" s="25" t="s">
        <v>352</v>
      </c>
      <c r="E595" s="59" t="s">
        <v>2612</v>
      </c>
      <c r="F595" s="25" t="s">
        <v>2613</v>
      </c>
      <c r="G595" s="25" t="s">
        <v>2614</v>
      </c>
      <c r="H595" s="25" t="s">
        <v>2615</v>
      </c>
      <c r="I595" s="25"/>
      <c r="K595" s="25" t="s">
        <v>3091</v>
      </c>
      <c r="L595" s="25" t="s">
        <v>266</v>
      </c>
    </row>
    <row r="596" spans="1:12" ht="18" hidden="1" customHeight="1" outlineLevel="2" x14ac:dyDescent="0.2">
      <c r="A596" s="25"/>
      <c r="B596" s="25"/>
      <c r="C596" s="25"/>
      <c r="D596" s="25" t="s">
        <v>352</v>
      </c>
      <c r="E596" s="59" t="s">
        <v>2616</v>
      </c>
      <c r="F596" s="25" t="s">
        <v>2617</v>
      </c>
      <c r="G596" s="25"/>
      <c r="H596" s="25" t="s">
        <v>2588</v>
      </c>
      <c r="I596" s="25" t="s">
        <v>2618</v>
      </c>
      <c r="J596" s="25" t="s">
        <v>3107</v>
      </c>
      <c r="K596" s="25" t="s">
        <v>3091</v>
      </c>
      <c r="L596" s="25" t="s">
        <v>266</v>
      </c>
    </row>
    <row r="597" spans="1:12" ht="18" hidden="1" customHeight="1" outlineLevel="2" x14ac:dyDescent="0.2">
      <c r="A597" s="25"/>
      <c r="B597" s="25"/>
      <c r="C597" s="25"/>
      <c r="D597" s="25" t="s">
        <v>3469</v>
      </c>
      <c r="E597" s="59" t="s">
        <v>2616</v>
      </c>
      <c r="F597" s="25" t="s">
        <v>2619</v>
      </c>
      <c r="G597" s="25" t="s">
        <v>2620</v>
      </c>
      <c r="H597" s="25" t="s">
        <v>742</v>
      </c>
      <c r="I597" s="25" t="s">
        <v>2621</v>
      </c>
      <c r="J597" s="25" t="s">
        <v>3107</v>
      </c>
      <c r="K597" s="25" t="s">
        <v>3091</v>
      </c>
      <c r="L597" s="25" t="s">
        <v>266</v>
      </c>
    </row>
    <row r="598" spans="1:12" ht="18" hidden="1" customHeight="1" outlineLevel="2" x14ac:dyDescent="0.2">
      <c r="A598" s="25"/>
      <c r="B598" s="25"/>
      <c r="C598" s="25"/>
      <c r="D598" s="25" t="s">
        <v>3470</v>
      </c>
      <c r="E598" s="25" t="s">
        <v>2616</v>
      </c>
      <c r="F598" s="25" t="s">
        <v>2622</v>
      </c>
      <c r="G598" s="25"/>
      <c r="H598" s="25"/>
      <c r="I598" s="25"/>
      <c r="J598" s="25" t="s">
        <v>3107</v>
      </c>
    </row>
    <row r="599" spans="1:12" ht="18" hidden="1" customHeight="1" outlineLevel="2" x14ac:dyDescent="0.2">
      <c r="A599" s="25"/>
      <c r="B599" s="25"/>
      <c r="C599" s="25"/>
      <c r="D599" s="25" t="s">
        <v>3471</v>
      </c>
      <c r="E599" s="25" t="s">
        <v>2616</v>
      </c>
      <c r="F599" s="25" t="s">
        <v>2623</v>
      </c>
      <c r="G599" s="25" t="s">
        <v>2624</v>
      </c>
      <c r="H599" s="25" t="s">
        <v>742</v>
      </c>
      <c r="I599" s="25"/>
      <c r="J599" s="25" t="s">
        <v>3107</v>
      </c>
    </row>
    <row r="600" spans="1:12" ht="18" hidden="1" customHeight="1" outlineLevel="2" x14ac:dyDescent="0.2">
      <c r="A600" s="25"/>
      <c r="B600" s="25"/>
      <c r="C600" s="25"/>
      <c r="D600" s="25" t="s">
        <v>352</v>
      </c>
      <c r="E600" s="59" t="s">
        <v>2625</v>
      </c>
      <c r="F600" s="25" t="s">
        <v>2626</v>
      </c>
      <c r="G600" s="25" t="s">
        <v>2627</v>
      </c>
      <c r="H600" s="25" t="s">
        <v>204</v>
      </c>
      <c r="I600" s="25"/>
      <c r="J600" s="25" t="s">
        <v>350</v>
      </c>
      <c r="K600" s="25" t="s">
        <v>242</v>
      </c>
      <c r="L600" s="25" t="s">
        <v>239</v>
      </c>
    </row>
    <row r="601" spans="1:12" ht="18" hidden="1" customHeight="1" outlineLevel="2" x14ac:dyDescent="0.2">
      <c r="A601" s="25"/>
      <c r="B601" s="25"/>
      <c r="C601" s="25"/>
      <c r="D601" s="25" t="s">
        <v>352</v>
      </c>
      <c r="E601" s="25" t="s">
        <v>2625</v>
      </c>
      <c r="F601" s="25" t="s">
        <v>2628</v>
      </c>
      <c r="G601" s="25" t="s">
        <v>2629</v>
      </c>
      <c r="H601" s="25" t="s">
        <v>204</v>
      </c>
      <c r="I601" s="25"/>
      <c r="J601" s="25" t="s">
        <v>405</v>
      </c>
      <c r="K601" s="25" t="s">
        <v>242</v>
      </c>
      <c r="L601" s="25" t="s">
        <v>239</v>
      </c>
    </row>
    <row r="602" spans="1:12" ht="18" hidden="1" customHeight="1" outlineLevel="2" x14ac:dyDescent="0.2">
      <c r="A602" s="25"/>
      <c r="B602" s="25"/>
      <c r="C602" s="25"/>
      <c r="D602" s="25" t="s">
        <v>547</v>
      </c>
      <c r="E602" s="25" t="s">
        <v>2630</v>
      </c>
      <c r="F602" s="25" t="s">
        <v>2631</v>
      </c>
      <c r="G602" s="25" t="s">
        <v>2632</v>
      </c>
      <c r="H602" s="25" t="s">
        <v>2588</v>
      </c>
      <c r="I602" s="25"/>
    </row>
    <row r="603" spans="1:12" ht="18" hidden="1" customHeight="1" outlineLevel="2" x14ac:dyDescent="0.2">
      <c r="A603" s="31"/>
      <c r="B603" s="71"/>
      <c r="C603" s="71"/>
      <c r="D603" s="72"/>
      <c r="E603" s="71"/>
      <c r="F603" s="72"/>
      <c r="G603" s="73"/>
      <c r="H603" s="72"/>
      <c r="I603" s="72"/>
      <c r="J603" s="60"/>
      <c r="K603" s="60"/>
      <c r="L603" s="61"/>
    </row>
    <row r="604" spans="1:12" ht="18" customHeight="1" collapsed="1" x14ac:dyDescent="0.2">
      <c r="A604" s="133" t="s">
        <v>3711</v>
      </c>
      <c r="B604" s="134"/>
      <c r="C604" s="134"/>
      <c r="D604" s="134" t="s">
        <v>3711</v>
      </c>
      <c r="E604" s="134"/>
      <c r="F604" s="134"/>
      <c r="G604" s="134"/>
      <c r="H604" s="134"/>
      <c r="I604" s="134"/>
      <c r="J604" s="134"/>
      <c r="K604" s="134"/>
      <c r="L604" s="164"/>
    </row>
    <row r="605" spans="1:12" ht="18" hidden="1" customHeight="1" outlineLevel="1" collapsed="1" x14ac:dyDescent="0.2">
      <c r="A605" s="119" t="s">
        <v>3721</v>
      </c>
      <c r="B605" s="120"/>
      <c r="C605" s="120"/>
      <c r="D605" s="120"/>
      <c r="E605" s="120"/>
      <c r="F605" s="120"/>
      <c r="G605" s="120"/>
      <c r="H605" s="120"/>
      <c r="I605" s="120"/>
      <c r="J605" s="120"/>
      <c r="K605" s="120"/>
      <c r="L605" s="160"/>
    </row>
    <row r="606" spans="1:12" ht="18" hidden="1" customHeight="1" outlineLevel="2" x14ac:dyDescent="0.2">
      <c r="A606" s="18"/>
      <c r="B606" s="18"/>
      <c r="C606" s="18"/>
      <c r="D606" s="33" t="s">
        <v>3184</v>
      </c>
      <c r="E606" s="18" t="s">
        <v>1186</v>
      </c>
      <c r="F606" s="18" t="s">
        <v>1187</v>
      </c>
      <c r="G606" s="36">
        <v>5413256909006</v>
      </c>
      <c r="H606" s="18" t="s">
        <v>1185</v>
      </c>
      <c r="I606" s="18" t="s">
        <v>885</v>
      </c>
      <c r="J606" s="25" t="s">
        <v>3078</v>
      </c>
      <c r="K606" s="25">
        <v>20</v>
      </c>
      <c r="L606" s="25">
        <v>25</v>
      </c>
    </row>
    <row r="607" spans="1:12" ht="18" hidden="1" customHeight="1" outlineLevel="2" x14ac:dyDescent="0.2">
      <c r="A607" s="18"/>
      <c r="B607" s="18"/>
      <c r="C607" s="18"/>
      <c r="D607" s="18" t="s">
        <v>352</v>
      </c>
      <c r="E607" s="18" t="s">
        <v>1188</v>
      </c>
      <c r="F607" s="18" t="s">
        <v>1187</v>
      </c>
      <c r="G607" s="36" t="s">
        <v>547</v>
      </c>
      <c r="H607" s="18" t="s">
        <v>1185</v>
      </c>
      <c r="I607" s="18" t="s">
        <v>1189</v>
      </c>
      <c r="J607" s="25" t="s">
        <v>547</v>
      </c>
    </row>
    <row r="608" spans="1:12" ht="18" hidden="1" customHeight="1" outlineLevel="2" x14ac:dyDescent="0.2">
      <c r="A608" s="18"/>
      <c r="B608" s="18"/>
      <c r="C608" s="18"/>
      <c r="D608" s="33" t="s">
        <v>3185</v>
      </c>
      <c r="E608" s="18" t="s">
        <v>1190</v>
      </c>
      <c r="F608" s="18" t="s">
        <v>1191</v>
      </c>
      <c r="G608" s="36">
        <v>5413256939423</v>
      </c>
      <c r="H608" s="18" t="s">
        <v>1185</v>
      </c>
      <c r="I608" s="18" t="s">
        <v>1192</v>
      </c>
      <c r="J608" s="25">
        <v>1</v>
      </c>
      <c r="K608" s="25">
        <v>10</v>
      </c>
      <c r="L608" s="25">
        <v>13</v>
      </c>
    </row>
    <row r="609" spans="1:12" ht="18" hidden="1" customHeight="1" outlineLevel="2" x14ac:dyDescent="0.2">
      <c r="A609" s="18"/>
      <c r="B609" s="18"/>
      <c r="C609" s="18"/>
      <c r="D609" s="18" t="s">
        <v>352</v>
      </c>
      <c r="E609" s="18" t="s">
        <v>1190</v>
      </c>
      <c r="F609" s="18" t="s">
        <v>1193</v>
      </c>
      <c r="G609" s="36" t="s">
        <v>547</v>
      </c>
      <c r="H609" s="18" t="s">
        <v>1185</v>
      </c>
      <c r="I609" s="18" t="s">
        <v>1194</v>
      </c>
      <c r="J609" s="25" t="s">
        <v>547</v>
      </c>
    </row>
    <row r="610" spans="1:12" ht="18" hidden="1" customHeight="1" outlineLevel="2" x14ac:dyDescent="0.2">
      <c r="A610" s="18"/>
      <c r="B610" s="18"/>
      <c r="C610" s="18"/>
      <c r="D610" s="33" t="s">
        <v>3186</v>
      </c>
      <c r="E610" s="18" t="s">
        <v>1195</v>
      </c>
      <c r="F610" s="18" t="s">
        <v>547</v>
      </c>
      <c r="G610" s="36">
        <v>5413256911535</v>
      </c>
      <c r="H610" s="18" t="s">
        <v>1185</v>
      </c>
      <c r="I610" s="18" t="s">
        <v>1196</v>
      </c>
      <c r="J610" s="25">
        <v>1</v>
      </c>
      <c r="K610" s="25">
        <v>10</v>
      </c>
      <c r="L610" s="25">
        <v>15</v>
      </c>
    </row>
    <row r="611" spans="1:12" ht="18" hidden="1" customHeight="1" outlineLevel="2" x14ac:dyDescent="0.2">
      <c r="A611" s="18"/>
      <c r="B611" s="18"/>
      <c r="C611" s="18"/>
      <c r="D611" s="18" t="s">
        <v>352</v>
      </c>
      <c r="E611" s="18" t="s">
        <v>1195</v>
      </c>
      <c r="F611" s="18" t="s">
        <v>547</v>
      </c>
      <c r="G611" s="36">
        <v>5413256943765</v>
      </c>
      <c r="H611" s="18" t="s">
        <v>1185</v>
      </c>
      <c r="I611" s="18" t="s">
        <v>1197</v>
      </c>
      <c r="J611" s="25">
        <v>1</v>
      </c>
    </row>
    <row r="612" spans="1:12" ht="18" hidden="1" customHeight="1" outlineLevel="2" x14ac:dyDescent="0.2">
      <c r="A612" s="18"/>
      <c r="B612" s="18"/>
      <c r="C612" s="18"/>
      <c r="D612" s="18" t="s">
        <v>352</v>
      </c>
      <c r="E612" s="18" t="s">
        <v>1195</v>
      </c>
      <c r="F612" s="18" t="s">
        <v>547</v>
      </c>
      <c r="G612" s="36">
        <v>5413256943789</v>
      </c>
      <c r="H612" s="18" t="s">
        <v>1185</v>
      </c>
      <c r="I612" s="18" t="s">
        <v>1198</v>
      </c>
      <c r="J612" s="25">
        <v>1</v>
      </c>
    </row>
    <row r="613" spans="1:12" ht="18" hidden="1" customHeight="1" outlineLevel="1" collapsed="1" x14ac:dyDescent="0.2">
      <c r="A613" s="119" t="s">
        <v>3716</v>
      </c>
      <c r="B613" s="120"/>
      <c r="C613" s="120"/>
      <c r="D613" s="120"/>
      <c r="E613" s="120"/>
      <c r="F613" s="120"/>
      <c r="G613" s="120"/>
      <c r="H613" s="120"/>
      <c r="I613" s="120"/>
      <c r="J613" s="120"/>
      <c r="K613" s="120"/>
      <c r="L613" s="160"/>
    </row>
    <row r="614" spans="1:12" ht="18" hidden="1" customHeight="1" outlineLevel="2" x14ac:dyDescent="0.2">
      <c r="A614" s="18"/>
      <c r="B614" s="18"/>
      <c r="C614" s="18"/>
      <c r="D614" s="18" t="s">
        <v>3187</v>
      </c>
      <c r="E614" s="18" t="s">
        <v>3719</v>
      </c>
      <c r="F614" s="18" t="s">
        <v>1203</v>
      </c>
      <c r="G614" s="36">
        <v>5413256920544</v>
      </c>
      <c r="H614" s="18" t="s">
        <v>1185</v>
      </c>
      <c r="I614" s="18" t="s">
        <v>1199</v>
      </c>
      <c r="J614" s="25">
        <v>240</v>
      </c>
    </row>
    <row r="615" spans="1:12" ht="18" hidden="1" customHeight="1" outlineLevel="2" x14ac:dyDescent="0.2">
      <c r="A615" s="18"/>
      <c r="B615" s="18"/>
      <c r="C615" s="18"/>
      <c r="D615" s="18" t="s">
        <v>3188</v>
      </c>
      <c r="E615" s="18" t="s">
        <v>3719</v>
      </c>
      <c r="F615" s="18" t="s">
        <v>1204</v>
      </c>
      <c r="G615" s="36"/>
      <c r="H615" s="18" t="s">
        <v>1185</v>
      </c>
      <c r="I615" s="18" t="s">
        <v>1200</v>
      </c>
      <c r="J615" s="25">
        <v>200</v>
      </c>
    </row>
    <row r="616" spans="1:12" ht="18" hidden="1" customHeight="1" outlineLevel="2" x14ac:dyDescent="0.2">
      <c r="A616" s="18"/>
      <c r="B616" s="18"/>
      <c r="C616" s="18"/>
      <c r="D616" s="18" t="s">
        <v>3189</v>
      </c>
      <c r="E616" s="18" t="s">
        <v>3719</v>
      </c>
      <c r="F616" s="18" t="s">
        <v>1205</v>
      </c>
      <c r="G616" s="36">
        <v>5413256920582</v>
      </c>
      <c r="H616" s="18" t="s">
        <v>1185</v>
      </c>
      <c r="I616" s="18" t="s">
        <v>1201</v>
      </c>
      <c r="J616" s="25">
        <v>162</v>
      </c>
    </row>
    <row r="617" spans="1:12" ht="18" hidden="1" customHeight="1" outlineLevel="2" x14ac:dyDescent="0.2">
      <c r="A617" s="18"/>
      <c r="B617" s="18"/>
      <c r="C617" s="18"/>
      <c r="D617" s="18" t="s">
        <v>3190</v>
      </c>
      <c r="E617" s="18" t="s">
        <v>3719</v>
      </c>
      <c r="F617" s="18" t="s">
        <v>1206</v>
      </c>
      <c r="G617" s="36">
        <v>5413256920605</v>
      </c>
      <c r="H617" s="18" t="s">
        <v>1185</v>
      </c>
      <c r="I617" s="18" t="s">
        <v>1202</v>
      </c>
      <c r="J617" s="25">
        <v>136</v>
      </c>
    </row>
    <row r="618" spans="1:12" ht="18" hidden="1" customHeight="1" outlineLevel="2" x14ac:dyDescent="0.2">
      <c r="A618" s="18"/>
      <c r="B618" s="18"/>
      <c r="C618" s="18"/>
      <c r="D618" s="18" t="s">
        <v>3191</v>
      </c>
      <c r="E618" s="18" t="s">
        <v>3719</v>
      </c>
      <c r="F618" s="18" t="s">
        <v>1207</v>
      </c>
      <c r="G618" s="36">
        <v>5413256920643</v>
      </c>
      <c r="H618" s="18" t="s">
        <v>1185</v>
      </c>
      <c r="I618" s="18" t="s">
        <v>1208</v>
      </c>
      <c r="J618" s="25">
        <v>118</v>
      </c>
    </row>
    <row r="619" spans="1:12" ht="18" hidden="1" customHeight="1" outlineLevel="2" x14ac:dyDescent="0.2">
      <c r="A619" s="18"/>
      <c r="B619" s="18"/>
      <c r="C619" s="18"/>
      <c r="D619" s="18" t="s">
        <v>3192</v>
      </c>
      <c r="E619" s="18" t="s">
        <v>3719</v>
      </c>
      <c r="F619" s="18" t="s">
        <v>1209</v>
      </c>
      <c r="G619" s="36">
        <v>5413256920681</v>
      </c>
      <c r="H619" s="18" t="s">
        <v>1185</v>
      </c>
      <c r="I619" s="18" t="s">
        <v>1210</v>
      </c>
      <c r="J619" s="25">
        <v>98</v>
      </c>
    </row>
    <row r="620" spans="1:12" ht="18" hidden="1" customHeight="1" outlineLevel="2" x14ac:dyDescent="0.2">
      <c r="A620" s="18"/>
      <c r="B620" s="18"/>
      <c r="C620" s="18"/>
      <c r="D620" s="18" t="s">
        <v>3193</v>
      </c>
      <c r="E620" s="18" t="s">
        <v>3719</v>
      </c>
      <c r="F620" s="18" t="s">
        <v>1211</v>
      </c>
      <c r="G620" s="36">
        <v>5413256920728</v>
      </c>
      <c r="H620" s="18" t="s">
        <v>1185</v>
      </c>
      <c r="I620" s="18" t="s">
        <v>1212</v>
      </c>
      <c r="J620" s="25">
        <v>78</v>
      </c>
    </row>
    <row r="621" spans="1:12" ht="18" hidden="1" customHeight="1" outlineLevel="2" x14ac:dyDescent="0.2">
      <c r="A621" s="18"/>
      <c r="B621" s="18"/>
      <c r="C621" s="18"/>
      <c r="D621" s="18" t="s">
        <v>3194</v>
      </c>
      <c r="E621" s="18" t="s">
        <v>3719</v>
      </c>
      <c r="F621" s="18" t="s">
        <v>1213</v>
      </c>
      <c r="G621" s="36">
        <v>5413256920766</v>
      </c>
      <c r="H621" s="18" t="s">
        <v>1185</v>
      </c>
      <c r="I621" s="18" t="s">
        <v>1214</v>
      </c>
      <c r="J621" s="25">
        <v>58</v>
      </c>
    </row>
    <row r="622" spans="1:12" ht="18" hidden="1" customHeight="1" outlineLevel="2" x14ac:dyDescent="0.2">
      <c r="A622" s="18"/>
      <c r="B622" s="18"/>
      <c r="C622" s="18"/>
      <c r="D622" s="18" t="s">
        <v>3195</v>
      </c>
      <c r="E622" s="18" t="s">
        <v>3719</v>
      </c>
      <c r="F622" s="18" t="s">
        <v>1215</v>
      </c>
      <c r="G622" s="36">
        <v>5413256920803</v>
      </c>
      <c r="H622" s="18" t="s">
        <v>1185</v>
      </c>
      <c r="I622" s="18" t="s">
        <v>1216</v>
      </c>
      <c r="J622" s="25">
        <v>48</v>
      </c>
    </row>
    <row r="623" spans="1:12" ht="18" hidden="1" customHeight="1" outlineLevel="2" x14ac:dyDescent="0.2">
      <c r="A623" s="18"/>
      <c r="B623" s="18"/>
      <c r="C623" s="18"/>
      <c r="D623" s="18" t="s">
        <v>3196</v>
      </c>
      <c r="E623" s="18" t="s">
        <v>3719</v>
      </c>
      <c r="F623" s="18" t="s">
        <v>1217</v>
      </c>
      <c r="G623" s="36">
        <v>5413256920865</v>
      </c>
      <c r="H623" s="18" t="s">
        <v>1185</v>
      </c>
      <c r="I623" s="18" t="s">
        <v>521</v>
      </c>
      <c r="J623" s="25">
        <v>34</v>
      </c>
    </row>
    <row r="624" spans="1:12" ht="18" hidden="1" customHeight="1" outlineLevel="2" x14ac:dyDescent="0.2">
      <c r="A624" s="18"/>
      <c r="B624" s="18"/>
      <c r="C624" s="18"/>
      <c r="D624" s="18"/>
      <c r="E624" s="18"/>
      <c r="F624" s="18"/>
      <c r="G624" s="36"/>
      <c r="H624" s="18"/>
      <c r="I624" s="18"/>
    </row>
    <row r="625" spans="1:10" ht="18" hidden="1" customHeight="1" outlineLevel="2" x14ac:dyDescent="0.2">
      <c r="A625" s="18"/>
      <c r="B625" s="18"/>
      <c r="C625" s="18"/>
      <c r="D625" s="18" t="s">
        <v>4232</v>
      </c>
      <c r="E625" s="18" t="s">
        <v>3717</v>
      </c>
      <c r="F625" s="18" t="s">
        <v>4233</v>
      </c>
      <c r="G625" s="36"/>
      <c r="H625" s="18" t="s">
        <v>1185</v>
      </c>
      <c r="I625" s="94">
        <v>0.375</v>
      </c>
    </row>
    <row r="626" spans="1:10" ht="18" hidden="1" customHeight="1" outlineLevel="2" x14ac:dyDescent="0.2">
      <c r="A626" s="18"/>
      <c r="B626" s="18"/>
      <c r="C626" s="18"/>
      <c r="D626" s="18" t="s">
        <v>3197</v>
      </c>
      <c r="E626" s="18" t="s">
        <v>3717</v>
      </c>
      <c r="F626" s="18" t="s">
        <v>1218</v>
      </c>
      <c r="G626" s="36">
        <v>5413256921282</v>
      </c>
      <c r="H626" s="18" t="s">
        <v>1185</v>
      </c>
      <c r="I626" s="18" t="s">
        <v>1201</v>
      </c>
      <c r="J626" s="25">
        <v>88</v>
      </c>
    </row>
    <row r="627" spans="1:10" ht="18" hidden="1" customHeight="1" outlineLevel="2" x14ac:dyDescent="0.2">
      <c r="A627" s="18"/>
      <c r="B627" s="18"/>
      <c r="C627" s="18"/>
      <c r="D627" s="18" t="s">
        <v>3198</v>
      </c>
      <c r="E627" s="18" t="s">
        <v>3717</v>
      </c>
      <c r="F627" s="18" t="s">
        <v>1219</v>
      </c>
      <c r="G627" s="36">
        <v>5413256921305</v>
      </c>
      <c r="H627" s="18" t="s">
        <v>1185</v>
      </c>
      <c r="I627" s="18" t="s">
        <v>1202</v>
      </c>
      <c r="J627" s="25">
        <v>78</v>
      </c>
    </row>
    <row r="628" spans="1:10" ht="18" hidden="1" customHeight="1" outlineLevel="2" x14ac:dyDescent="0.2">
      <c r="A628" s="18"/>
      <c r="B628" s="18"/>
      <c r="C628" s="18"/>
      <c r="D628" s="18" t="s">
        <v>3199</v>
      </c>
      <c r="E628" s="18" t="s">
        <v>3717</v>
      </c>
      <c r="F628" s="18" t="s">
        <v>1220</v>
      </c>
      <c r="G628" s="36">
        <v>5413256921329</v>
      </c>
      <c r="H628" s="18" t="s">
        <v>1185</v>
      </c>
      <c r="I628" s="18" t="s">
        <v>1208</v>
      </c>
      <c r="J628" s="25">
        <v>72</v>
      </c>
    </row>
    <row r="629" spans="1:10" ht="18" hidden="1" customHeight="1" outlineLevel="2" x14ac:dyDescent="0.2">
      <c r="A629" s="18"/>
      <c r="B629" s="18"/>
      <c r="C629" s="18"/>
      <c r="D629" s="18" t="s">
        <v>3200</v>
      </c>
      <c r="E629" s="18" t="s">
        <v>3717</v>
      </c>
      <c r="F629" s="18" t="s">
        <v>1221</v>
      </c>
      <c r="G629" s="36">
        <v>5413256921367</v>
      </c>
      <c r="H629" s="18" t="s">
        <v>1185</v>
      </c>
      <c r="I629" s="18" t="s">
        <v>1210</v>
      </c>
      <c r="J629" s="25">
        <v>64</v>
      </c>
    </row>
    <row r="630" spans="1:10" ht="18" hidden="1" customHeight="1" outlineLevel="2" x14ac:dyDescent="0.2">
      <c r="A630" s="18"/>
      <c r="B630" s="18"/>
      <c r="C630" s="18"/>
      <c r="D630" s="18" t="s">
        <v>3201</v>
      </c>
      <c r="E630" s="18" t="s">
        <v>3717</v>
      </c>
      <c r="F630" s="18" t="s">
        <v>1222</v>
      </c>
      <c r="G630" s="36">
        <v>5413256921404</v>
      </c>
      <c r="H630" s="18" t="s">
        <v>1185</v>
      </c>
      <c r="I630" s="18" t="s">
        <v>1212</v>
      </c>
      <c r="J630" s="25">
        <v>48</v>
      </c>
    </row>
    <row r="631" spans="1:10" ht="18" hidden="1" customHeight="1" outlineLevel="2" x14ac:dyDescent="0.2">
      <c r="A631" s="18"/>
      <c r="B631" s="18"/>
      <c r="C631" s="18"/>
      <c r="D631" s="18" t="s">
        <v>3202</v>
      </c>
      <c r="E631" s="18" t="s">
        <v>3717</v>
      </c>
      <c r="F631" s="18" t="s">
        <v>1223</v>
      </c>
      <c r="G631" s="36">
        <v>5413256921442</v>
      </c>
      <c r="H631" s="18" t="s">
        <v>1185</v>
      </c>
      <c r="I631" s="18" t="s">
        <v>1214</v>
      </c>
      <c r="J631" s="25">
        <v>36</v>
      </c>
    </row>
    <row r="632" spans="1:10" ht="18" hidden="1" customHeight="1" outlineLevel="2" x14ac:dyDescent="0.2">
      <c r="A632" s="18"/>
      <c r="B632" s="18"/>
      <c r="C632" s="18"/>
      <c r="D632" s="18" t="s">
        <v>3203</v>
      </c>
      <c r="E632" s="18" t="s">
        <v>3717</v>
      </c>
      <c r="F632" s="18" t="s">
        <v>1224</v>
      </c>
      <c r="G632" s="36">
        <v>5413256921480</v>
      </c>
      <c r="H632" s="18" t="s">
        <v>1185</v>
      </c>
      <c r="I632" s="18" t="s">
        <v>1216</v>
      </c>
      <c r="J632" s="25">
        <v>32</v>
      </c>
    </row>
    <row r="633" spans="1:10" ht="18" hidden="1" customHeight="1" outlineLevel="2" x14ac:dyDescent="0.2">
      <c r="A633" s="18"/>
      <c r="B633" s="18"/>
      <c r="C633" s="18"/>
      <c r="D633" s="18" t="s">
        <v>3204</v>
      </c>
      <c r="E633" s="18" t="s">
        <v>3717</v>
      </c>
      <c r="F633" s="18" t="s">
        <v>1225</v>
      </c>
      <c r="G633" s="36">
        <v>5413256921541</v>
      </c>
      <c r="H633" s="18" t="s">
        <v>1185</v>
      </c>
      <c r="I633" s="18" t="s">
        <v>521</v>
      </c>
      <c r="J633" s="25">
        <v>24</v>
      </c>
    </row>
    <row r="634" spans="1:10" ht="18" hidden="1" customHeight="1" outlineLevel="2" x14ac:dyDescent="0.2">
      <c r="A634" s="18"/>
      <c r="B634" s="18"/>
      <c r="C634" s="18"/>
      <c r="D634" s="18" t="s">
        <v>3205</v>
      </c>
      <c r="E634" s="18" t="s">
        <v>3717</v>
      </c>
      <c r="F634" s="18" t="s">
        <v>1226</v>
      </c>
      <c r="G634" s="36">
        <v>5413256921626</v>
      </c>
      <c r="H634" s="18" t="s">
        <v>1185</v>
      </c>
      <c r="I634" s="18" t="s">
        <v>522</v>
      </c>
      <c r="J634" s="25">
        <v>14</v>
      </c>
    </row>
    <row r="635" spans="1:10" ht="18" hidden="1" customHeight="1" outlineLevel="2" x14ac:dyDescent="0.2">
      <c r="A635" s="18"/>
      <c r="B635" s="18"/>
      <c r="C635" s="18"/>
      <c r="D635" s="18" t="s">
        <v>3206</v>
      </c>
      <c r="E635" s="18" t="s">
        <v>3717</v>
      </c>
      <c r="F635" s="18" t="s">
        <v>1227</v>
      </c>
      <c r="G635" s="36">
        <v>5413256921688</v>
      </c>
      <c r="H635" s="18" t="s">
        <v>1185</v>
      </c>
      <c r="I635" s="18" t="s">
        <v>523</v>
      </c>
      <c r="J635" s="25">
        <v>12</v>
      </c>
    </row>
    <row r="636" spans="1:10" ht="18" hidden="1" customHeight="1" outlineLevel="2" x14ac:dyDescent="0.2">
      <c r="A636" s="18"/>
      <c r="B636" s="18"/>
      <c r="C636" s="18"/>
      <c r="D636" s="18" t="s">
        <v>3207</v>
      </c>
      <c r="E636" s="18" t="s">
        <v>3717</v>
      </c>
      <c r="F636" s="18" t="s">
        <v>1228</v>
      </c>
      <c r="G636" s="36">
        <v>5413256921749</v>
      </c>
      <c r="H636" s="18" t="s">
        <v>1185</v>
      </c>
      <c r="I636" s="18" t="s">
        <v>1229</v>
      </c>
      <c r="J636" s="25">
        <v>8</v>
      </c>
    </row>
    <row r="637" spans="1:10" ht="18" hidden="1" customHeight="1" outlineLevel="2" x14ac:dyDescent="0.2">
      <c r="A637" s="18"/>
      <c r="B637" s="18"/>
      <c r="C637" s="18"/>
      <c r="D637" s="18" t="s">
        <v>3208</v>
      </c>
      <c r="E637" s="18" t="s">
        <v>3717</v>
      </c>
      <c r="F637" s="18" t="s">
        <v>1230</v>
      </c>
      <c r="G637" s="36">
        <v>5413256921503</v>
      </c>
      <c r="H637" s="18" t="s">
        <v>1185</v>
      </c>
      <c r="I637" s="18" t="s">
        <v>1231</v>
      </c>
      <c r="J637" s="25">
        <v>24</v>
      </c>
    </row>
    <row r="638" spans="1:10" ht="18" hidden="1" customHeight="1" outlineLevel="2" x14ac:dyDescent="0.2">
      <c r="A638" s="18"/>
      <c r="B638" s="18"/>
      <c r="C638" s="18"/>
      <c r="D638" s="18" t="s">
        <v>3209</v>
      </c>
      <c r="E638" s="18" t="s">
        <v>3717</v>
      </c>
      <c r="F638" s="18" t="s">
        <v>1232</v>
      </c>
      <c r="G638" s="36">
        <v>5413256921589</v>
      </c>
      <c r="H638" s="18" t="s">
        <v>1185</v>
      </c>
      <c r="I638" s="18" t="s">
        <v>1233</v>
      </c>
      <c r="J638" s="25">
        <v>18</v>
      </c>
    </row>
    <row r="639" spans="1:10" ht="18" hidden="1" customHeight="1" outlineLevel="2" x14ac:dyDescent="0.2">
      <c r="A639" s="18"/>
      <c r="B639" s="18"/>
      <c r="C639" s="18"/>
      <c r="D639" s="18" t="s">
        <v>3210</v>
      </c>
      <c r="E639" s="18" t="s">
        <v>3717</v>
      </c>
      <c r="F639" s="18" t="s">
        <v>1234</v>
      </c>
      <c r="G639" s="36">
        <v>5413256921640</v>
      </c>
      <c r="H639" s="18" t="s">
        <v>1185</v>
      </c>
      <c r="I639" s="18"/>
      <c r="J639" s="25">
        <v>14</v>
      </c>
    </row>
    <row r="640" spans="1:10" ht="18" hidden="1" customHeight="1" outlineLevel="2" x14ac:dyDescent="0.2">
      <c r="A640" s="18"/>
      <c r="B640" s="18"/>
      <c r="C640" s="18"/>
      <c r="D640" s="18" t="s">
        <v>3211</v>
      </c>
      <c r="E640" s="18" t="s">
        <v>3717</v>
      </c>
      <c r="F640" s="18" t="s">
        <v>1235</v>
      </c>
      <c r="G640" s="36">
        <v>5413256921664</v>
      </c>
      <c r="H640" s="18" t="s">
        <v>1185</v>
      </c>
      <c r="I640" s="18" t="s">
        <v>1236</v>
      </c>
      <c r="J640" s="25">
        <v>12</v>
      </c>
    </row>
    <row r="641" spans="1:10" ht="18" hidden="1" customHeight="1" outlineLevel="2" x14ac:dyDescent="0.2">
      <c r="A641" s="18"/>
      <c r="B641" s="18"/>
      <c r="C641" s="18"/>
      <c r="D641" s="18" t="s">
        <v>3212</v>
      </c>
      <c r="E641" s="18" t="s">
        <v>3717</v>
      </c>
      <c r="F641" s="18" t="s">
        <v>1237</v>
      </c>
      <c r="G641" s="36">
        <v>5413256921701</v>
      </c>
      <c r="H641" s="18" t="s">
        <v>1185</v>
      </c>
      <c r="I641" s="18" t="s">
        <v>1238</v>
      </c>
      <c r="J641" s="25">
        <v>12</v>
      </c>
    </row>
    <row r="642" spans="1:10" ht="18" hidden="1" customHeight="1" outlineLevel="2" x14ac:dyDescent="0.2">
      <c r="A642" s="18"/>
      <c r="B642" s="18"/>
      <c r="C642" s="18"/>
      <c r="D642" s="18"/>
      <c r="E642" s="18"/>
      <c r="F642" s="18"/>
      <c r="G642" s="36"/>
      <c r="H642" s="18"/>
      <c r="I642" s="18"/>
    </row>
    <row r="643" spans="1:10" ht="18" hidden="1" customHeight="1" outlineLevel="2" x14ac:dyDescent="0.2">
      <c r="A643" s="18"/>
      <c r="B643" s="18"/>
      <c r="C643" s="18"/>
      <c r="D643" s="18" t="s">
        <v>3213</v>
      </c>
      <c r="E643" s="18" t="s">
        <v>3718</v>
      </c>
      <c r="F643" s="18" t="s">
        <v>1239</v>
      </c>
      <c r="G643" s="36">
        <v>5413256922821</v>
      </c>
      <c r="H643" s="18" t="s">
        <v>1185</v>
      </c>
      <c r="I643" s="18" t="s">
        <v>1208</v>
      </c>
      <c r="J643" s="25">
        <v>32</v>
      </c>
    </row>
    <row r="644" spans="1:10" ht="18" hidden="1" customHeight="1" outlineLevel="2" x14ac:dyDescent="0.2">
      <c r="A644" s="18"/>
      <c r="B644" s="18"/>
      <c r="C644" s="18"/>
      <c r="D644" s="18" t="s">
        <v>3214</v>
      </c>
      <c r="E644" s="18" t="s">
        <v>3718</v>
      </c>
      <c r="F644" s="18" t="s">
        <v>1240</v>
      </c>
      <c r="G644" s="36">
        <v>5413256922845</v>
      </c>
      <c r="H644" s="18" t="s">
        <v>1185</v>
      </c>
      <c r="I644" s="18" t="s">
        <v>1210</v>
      </c>
      <c r="J644" s="25">
        <v>32</v>
      </c>
    </row>
    <row r="645" spans="1:10" ht="18" hidden="1" customHeight="1" outlineLevel="2" x14ac:dyDescent="0.2">
      <c r="A645" s="18"/>
      <c r="B645" s="18"/>
      <c r="C645" s="18"/>
      <c r="D645" s="18" t="s">
        <v>3215</v>
      </c>
      <c r="E645" s="18" t="s">
        <v>3718</v>
      </c>
      <c r="F645" s="18" t="s">
        <v>1241</v>
      </c>
      <c r="G645" s="36">
        <v>5413256922869</v>
      </c>
      <c r="H645" s="18" t="s">
        <v>1185</v>
      </c>
      <c r="I645" s="18" t="s">
        <v>1212</v>
      </c>
      <c r="J645" s="25">
        <v>24</v>
      </c>
    </row>
    <row r="646" spans="1:10" ht="18" hidden="1" customHeight="1" outlineLevel="2" x14ac:dyDescent="0.2">
      <c r="A646" s="18"/>
      <c r="B646" s="18"/>
      <c r="C646" s="18"/>
      <c r="D646" s="18" t="s">
        <v>3216</v>
      </c>
      <c r="E646" s="18" t="s">
        <v>3718</v>
      </c>
      <c r="F646" s="18" t="s">
        <v>1242</v>
      </c>
      <c r="G646" s="36">
        <v>5413256922883</v>
      </c>
      <c r="H646" s="18" t="s">
        <v>1185</v>
      </c>
      <c r="I646" s="18" t="s">
        <v>1214</v>
      </c>
      <c r="J646" s="25">
        <v>22</v>
      </c>
    </row>
    <row r="647" spans="1:10" ht="18" hidden="1" customHeight="1" outlineLevel="2" x14ac:dyDescent="0.2">
      <c r="A647" s="18"/>
      <c r="B647" s="18"/>
      <c r="C647" s="18"/>
      <c r="D647" s="18" t="s">
        <v>3217</v>
      </c>
      <c r="E647" s="18" t="s">
        <v>3718</v>
      </c>
      <c r="F647" s="18" t="s">
        <v>1243</v>
      </c>
      <c r="G647" s="36">
        <v>5413256922906</v>
      </c>
      <c r="H647" s="18" t="s">
        <v>1185</v>
      </c>
      <c r="I647" s="18" t="s">
        <v>1216</v>
      </c>
      <c r="J647" s="25">
        <v>16</v>
      </c>
    </row>
    <row r="648" spans="1:10" ht="18" hidden="1" customHeight="1" outlineLevel="2" x14ac:dyDescent="0.2">
      <c r="A648" s="18"/>
      <c r="B648" s="18"/>
      <c r="C648" s="18"/>
      <c r="D648" s="18" t="s">
        <v>3218</v>
      </c>
      <c r="E648" s="18" t="s">
        <v>3718</v>
      </c>
      <c r="F648" s="18" t="s">
        <v>1244</v>
      </c>
      <c r="G648" s="36">
        <v>5413256922944</v>
      </c>
      <c r="H648" s="18" t="s">
        <v>1185</v>
      </c>
      <c r="I648" s="18" t="s">
        <v>521</v>
      </c>
      <c r="J648" s="25">
        <v>12</v>
      </c>
    </row>
    <row r="649" spans="1:10" ht="18" hidden="1" customHeight="1" outlineLevel="2" x14ac:dyDescent="0.2">
      <c r="A649" s="18"/>
      <c r="B649" s="18"/>
      <c r="C649" s="18"/>
      <c r="D649" s="18" t="s">
        <v>3219</v>
      </c>
      <c r="E649" s="18" t="s">
        <v>3718</v>
      </c>
      <c r="F649" s="18" t="s">
        <v>1245</v>
      </c>
      <c r="G649" s="36">
        <v>5413256923002</v>
      </c>
      <c r="H649" s="18" t="s">
        <v>1185</v>
      </c>
      <c r="I649" s="18" t="s">
        <v>522</v>
      </c>
      <c r="J649" s="25">
        <v>8</v>
      </c>
    </row>
    <row r="650" spans="1:10" ht="18" hidden="1" customHeight="1" outlineLevel="2" x14ac:dyDescent="0.2">
      <c r="A650" s="18"/>
      <c r="B650" s="18"/>
      <c r="C650" s="18"/>
      <c r="D650" s="18" t="s">
        <v>3220</v>
      </c>
      <c r="E650" s="18" t="s">
        <v>3718</v>
      </c>
      <c r="F650" s="18" t="s">
        <v>1246</v>
      </c>
      <c r="G650" s="36">
        <v>5413256923064</v>
      </c>
      <c r="H650" s="18" t="s">
        <v>1185</v>
      </c>
      <c r="I650" s="18" t="s">
        <v>523</v>
      </c>
      <c r="J650" s="25">
        <v>8</v>
      </c>
    </row>
    <row r="651" spans="1:10" ht="18" hidden="1" customHeight="1" outlineLevel="2" x14ac:dyDescent="0.2">
      <c r="A651" s="18"/>
      <c r="B651" s="18"/>
      <c r="C651" s="18"/>
      <c r="D651" s="18"/>
      <c r="E651" s="18" t="s">
        <v>3718</v>
      </c>
      <c r="F651" s="18" t="s">
        <v>1247</v>
      </c>
      <c r="G651" s="36">
        <v>5413256923101</v>
      </c>
      <c r="H651" s="18" t="s">
        <v>1185</v>
      </c>
      <c r="I651" s="18" t="s">
        <v>1229</v>
      </c>
      <c r="J651" s="25">
        <v>4</v>
      </c>
    </row>
    <row r="652" spans="1:10" ht="18" hidden="1" customHeight="1" outlineLevel="2" x14ac:dyDescent="0.2">
      <c r="A652" s="18"/>
      <c r="B652" s="18"/>
      <c r="C652" s="18"/>
      <c r="D652" s="18"/>
      <c r="E652" s="18" t="s">
        <v>3718</v>
      </c>
      <c r="F652" s="18" t="s">
        <v>1248</v>
      </c>
      <c r="G652" s="36">
        <v>5413256922920</v>
      </c>
      <c r="H652" s="18" t="s">
        <v>1185</v>
      </c>
      <c r="I652" s="18" t="s">
        <v>1231</v>
      </c>
      <c r="J652" s="25">
        <v>12</v>
      </c>
    </row>
    <row r="653" spans="1:10" ht="18" hidden="1" customHeight="1" outlineLevel="2" x14ac:dyDescent="0.2">
      <c r="A653" s="18"/>
      <c r="B653" s="18"/>
      <c r="C653" s="18"/>
      <c r="D653" s="18" t="s">
        <v>3221</v>
      </c>
      <c r="E653" s="18" t="s">
        <v>3718</v>
      </c>
      <c r="F653" s="18" t="s">
        <v>1249</v>
      </c>
      <c r="G653" s="36">
        <v>5413256922968</v>
      </c>
      <c r="H653" s="18" t="s">
        <v>1185</v>
      </c>
      <c r="I653" s="18" t="s">
        <v>1233</v>
      </c>
      <c r="J653" s="25">
        <v>10</v>
      </c>
    </row>
    <row r="654" spans="1:10" ht="18" hidden="1" customHeight="1" outlineLevel="2" x14ac:dyDescent="0.2">
      <c r="A654" s="18"/>
      <c r="B654" s="18"/>
      <c r="C654" s="18"/>
      <c r="D654" s="18" t="s">
        <v>3222</v>
      </c>
      <c r="E654" s="18" t="s">
        <v>3718</v>
      </c>
      <c r="F654" s="18" t="s">
        <v>1250</v>
      </c>
      <c r="G654" s="36">
        <v>5413256923026</v>
      </c>
      <c r="H654" s="18" t="s">
        <v>1185</v>
      </c>
      <c r="I654" s="18"/>
      <c r="J654" s="25">
        <v>8</v>
      </c>
    </row>
    <row r="655" spans="1:10" ht="18" hidden="1" customHeight="1" outlineLevel="2" x14ac:dyDescent="0.2">
      <c r="A655" s="18"/>
      <c r="B655" s="18"/>
      <c r="C655" s="18"/>
      <c r="D655" s="18"/>
      <c r="E655" s="18" t="s">
        <v>3718</v>
      </c>
      <c r="F655" s="18" t="s">
        <v>1251</v>
      </c>
      <c r="G655" s="36">
        <v>5413256923040</v>
      </c>
      <c r="H655" s="18" t="s">
        <v>1185</v>
      </c>
      <c r="I655" s="18" t="s">
        <v>1236</v>
      </c>
      <c r="J655" s="25">
        <v>8</v>
      </c>
    </row>
    <row r="656" spans="1:10" ht="18" hidden="1" customHeight="1" outlineLevel="2" x14ac:dyDescent="0.2">
      <c r="A656" s="18"/>
      <c r="B656" s="18"/>
      <c r="C656" s="18"/>
      <c r="D656" s="18" t="s">
        <v>3223</v>
      </c>
      <c r="E656" s="18" t="s">
        <v>3718</v>
      </c>
      <c r="F656" s="18" t="s">
        <v>1252</v>
      </c>
      <c r="G656" s="36">
        <v>5413256923088</v>
      </c>
      <c r="H656" s="18" t="s">
        <v>1185</v>
      </c>
      <c r="I656" s="18" t="s">
        <v>1238</v>
      </c>
      <c r="J656" s="25">
        <v>6</v>
      </c>
    </row>
    <row r="657" spans="1:12" ht="18" hidden="1" customHeight="1" outlineLevel="2" x14ac:dyDescent="0.2">
      <c r="A657" s="18"/>
      <c r="B657" s="18"/>
      <c r="C657" s="18"/>
      <c r="D657" s="18"/>
      <c r="E657" s="18"/>
      <c r="F657" s="18"/>
      <c r="G657" s="36"/>
      <c r="H657" s="18"/>
      <c r="I657" s="18"/>
    </row>
    <row r="658" spans="1:12" ht="18" hidden="1" customHeight="1" outlineLevel="2" x14ac:dyDescent="0.2">
      <c r="A658" s="18"/>
      <c r="B658" s="18"/>
      <c r="C658" s="18"/>
      <c r="D658" s="18"/>
      <c r="E658" s="18" t="s">
        <v>1253</v>
      </c>
      <c r="F658" s="18" t="s">
        <v>1254</v>
      </c>
      <c r="G658" s="36">
        <v>5413256917186</v>
      </c>
      <c r="H658" s="18" t="s">
        <v>1185</v>
      </c>
      <c r="I658" s="18"/>
      <c r="J658" s="25">
        <v>13</v>
      </c>
    </row>
    <row r="659" spans="1:12" ht="18" hidden="1" customHeight="1" outlineLevel="2" x14ac:dyDescent="0.2">
      <c r="A659" s="18"/>
      <c r="B659" s="18"/>
      <c r="C659" s="18"/>
      <c r="D659" s="18"/>
      <c r="E659" s="18" t="s">
        <v>1253</v>
      </c>
      <c r="F659" s="18" t="s">
        <v>1255</v>
      </c>
      <c r="G659" s="36">
        <v>5413256917186</v>
      </c>
      <c r="H659" s="18" t="s">
        <v>1185</v>
      </c>
      <c r="I659" s="18"/>
      <c r="J659" s="25" t="s">
        <v>57</v>
      </c>
    </row>
    <row r="660" spans="1:12" ht="18" hidden="1" customHeight="1" outlineLevel="2" x14ac:dyDescent="0.2">
      <c r="A660" s="18"/>
      <c r="B660" s="18"/>
      <c r="C660" s="18"/>
      <c r="D660" s="18" t="s">
        <v>3224</v>
      </c>
      <c r="E660" s="18" t="s">
        <v>1256</v>
      </c>
      <c r="F660" s="18" t="s">
        <v>1254</v>
      </c>
      <c r="G660" s="36">
        <v>5413256917209</v>
      </c>
      <c r="H660" s="18" t="s">
        <v>1185</v>
      </c>
      <c r="I660" s="18"/>
      <c r="J660" s="25">
        <v>9</v>
      </c>
    </row>
    <row r="661" spans="1:12" ht="18" hidden="1" customHeight="1" outlineLevel="2" x14ac:dyDescent="0.2">
      <c r="A661" s="18"/>
      <c r="B661" s="18"/>
      <c r="C661" s="18"/>
      <c r="D661" s="18"/>
      <c r="E661" s="18" t="s">
        <v>1256</v>
      </c>
      <c r="F661" s="18" t="s">
        <v>1255</v>
      </c>
      <c r="G661" s="36">
        <v>5413256917209</v>
      </c>
      <c r="H661" s="18" t="s">
        <v>1185</v>
      </c>
      <c r="I661" s="18"/>
      <c r="J661" s="25" t="s">
        <v>3079</v>
      </c>
    </row>
    <row r="662" spans="1:12" ht="18" hidden="1" customHeight="1" outlineLevel="2" x14ac:dyDescent="0.2">
      <c r="A662" s="18"/>
      <c r="B662" s="18"/>
      <c r="C662" s="18"/>
      <c r="D662" s="18"/>
      <c r="E662" s="18" t="s">
        <v>1257</v>
      </c>
      <c r="F662" s="18" t="s">
        <v>1254</v>
      </c>
      <c r="G662" s="36">
        <v>5413256917247</v>
      </c>
      <c r="H662" s="18" t="s">
        <v>1185</v>
      </c>
      <c r="I662" s="18"/>
      <c r="J662" s="25">
        <v>7</v>
      </c>
    </row>
    <row r="663" spans="1:12" ht="18" hidden="1" customHeight="1" outlineLevel="2" x14ac:dyDescent="0.2">
      <c r="A663" s="18"/>
      <c r="B663" s="18"/>
      <c r="C663" s="18"/>
      <c r="D663" s="18"/>
      <c r="E663" s="18" t="s">
        <v>1257</v>
      </c>
      <c r="F663" s="18" t="s">
        <v>1255</v>
      </c>
      <c r="G663" s="36">
        <v>5413256917247</v>
      </c>
      <c r="H663" s="18" t="s">
        <v>1185</v>
      </c>
      <c r="I663" s="18"/>
      <c r="J663" s="25" t="s">
        <v>3080</v>
      </c>
    </row>
    <row r="664" spans="1:12" ht="18" hidden="1" customHeight="1" outlineLevel="2" x14ac:dyDescent="0.2">
      <c r="A664" s="18"/>
      <c r="B664" s="18"/>
      <c r="C664" s="18"/>
      <c r="D664" s="18"/>
      <c r="E664" s="18"/>
      <c r="F664" s="18"/>
      <c r="G664" s="36"/>
      <c r="H664" s="18"/>
      <c r="I664" s="18"/>
    </row>
    <row r="665" spans="1:12" ht="18" hidden="1" customHeight="1" outlineLevel="1" x14ac:dyDescent="0.2">
      <c r="A665" s="119" t="s">
        <v>3715</v>
      </c>
      <c r="B665" s="120"/>
      <c r="C665" s="120"/>
      <c r="D665" s="120" t="s">
        <v>3225</v>
      </c>
      <c r="E665" s="120"/>
      <c r="F665" s="120"/>
      <c r="G665" s="120"/>
      <c r="H665" s="120"/>
      <c r="I665" s="120"/>
      <c r="J665" s="120"/>
      <c r="K665" s="120"/>
      <c r="L665" s="160"/>
    </row>
    <row r="666" spans="1:12" ht="18" hidden="1" customHeight="1" outlineLevel="2" x14ac:dyDescent="0.2">
      <c r="A666" s="18"/>
      <c r="B666" s="18"/>
      <c r="C666" s="18"/>
      <c r="D666" s="18" t="s">
        <v>352</v>
      </c>
      <c r="E666" s="18" t="s">
        <v>1258</v>
      </c>
      <c r="F666" s="18" t="s">
        <v>1204</v>
      </c>
      <c r="G666" s="36">
        <v>0</v>
      </c>
      <c r="H666" s="18" t="s">
        <v>1185</v>
      </c>
      <c r="I666" s="18" t="s">
        <v>1200</v>
      </c>
      <c r="J666" s="105">
        <v>0</v>
      </c>
    </row>
    <row r="667" spans="1:12" ht="18" hidden="1" customHeight="1" outlineLevel="2" x14ac:dyDescent="0.2">
      <c r="A667" s="18"/>
      <c r="B667" s="18"/>
      <c r="C667" s="18"/>
      <c r="D667" s="18" t="s">
        <v>352</v>
      </c>
      <c r="E667" s="18" t="s">
        <v>1258</v>
      </c>
      <c r="F667" s="18" t="s">
        <v>1205</v>
      </c>
      <c r="G667" s="36">
        <v>0</v>
      </c>
      <c r="H667" s="18" t="s">
        <v>1185</v>
      </c>
      <c r="I667" s="18" t="s">
        <v>1201</v>
      </c>
      <c r="J667" s="105">
        <v>0</v>
      </c>
    </row>
    <row r="668" spans="1:12" ht="18" hidden="1" customHeight="1" outlineLevel="2" x14ac:dyDescent="0.2">
      <c r="A668" s="18"/>
      <c r="B668" s="18"/>
      <c r="C668" s="18"/>
      <c r="D668" s="18" t="s">
        <v>352</v>
      </c>
      <c r="E668" s="18" t="s">
        <v>1258</v>
      </c>
      <c r="F668" s="18" t="s">
        <v>1206</v>
      </c>
      <c r="G668" s="36">
        <v>0</v>
      </c>
      <c r="H668" s="18" t="s">
        <v>1185</v>
      </c>
      <c r="I668" s="18" t="s">
        <v>1202</v>
      </c>
      <c r="J668" s="105">
        <v>0</v>
      </c>
    </row>
    <row r="669" spans="1:12" ht="18" hidden="1" customHeight="1" outlineLevel="2" x14ac:dyDescent="0.2">
      <c r="A669" s="18"/>
      <c r="B669" s="18"/>
      <c r="C669" s="18"/>
      <c r="D669" s="18" t="s">
        <v>3226</v>
      </c>
      <c r="E669" s="18" t="s">
        <v>1258</v>
      </c>
      <c r="F669" s="18" t="s">
        <v>1207</v>
      </c>
      <c r="G669" s="36">
        <v>0</v>
      </c>
      <c r="H669" s="18" t="s">
        <v>1185</v>
      </c>
      <c r="I669" s="18" t="s">
        <v>1208</v>
      </c>
      <c r="J669" s="105">
        <v>0</v>
      </c>
    </row>
    <row r="670" spans="1:12" ht="18" hidden="1" customHeight="1" outlineLevel="2" x14ac:dyDescent="0.2">
      <c r="A670" s="18"/>
      <c r="B670" s="18"/>
      <c r="C670" s="18"/>
      <c r="D670" s="18" t="s">
        <v>3227</v>
      </c>
      <c r="E670" s="18" t="s">
        <v>1258</v>
      </c>
      <c r="F670" s="18" t="s">
        <v>1209</v>
      </c>
      <c r="G670" s="36">
        <v>0</v>
      </c>
      <c r="H670" s="18" t="s">
        <v>1185</v>
      </c>
      <c r="I670" s="18" t="s">
        <v>1210</v>
      </c>
      <c r="J670" s="105">
        <v>0</v>
      </c>
    </row>
    <row r="671" spans="1:12" ht="18" hidden="1" customHeight="1" outlineLevel="2" x14ac:dyDescent="0.2">
      <c r="A671" s="18"/>
      <c r="B671" s="18"/>
      <c r="C671" s="18"/>
      <c r="D671" s="18" t="s">
        <v>3228</v>
      </c>
      <c r="E671" s="18" t="s">
        <v>1258</v>
      </c>
      <c r="F671" s="18" t="s">
        <v>1211</v>
      </c>
      <c r="G671" s="36">
        <v>0</v>
      </c>
      <c r="H671" s="18" t="s">
        <v>1185</v>
      </c>
      <c r="I671" s="18" t="s">
        <v>1212</v>
      </c>
      <c r="J671" s="105">
        <v>0</v>
      </c>
    </row>
    <row r="672" spans="1:12" ht="18" hidden="1" customHeight="1" outlineLevel="2" x14ac:dyDescent="0.2">
      <c r="A672" s="18"/>
      <c r="B672" s="18"/>
      <c r="C672" s="18"/>
      <c r="D672" s="18" t="s">
        <v>3229</v>
      </c>
      <c r="E672" s="18" t="s">
        <v>1258</v>
      </c>
      <c r="F672" s="18" t="s">
        <v>1213</v>
      </c>
      <c r="G672" s="36">
        <v>0</v>
      </c>
      <c r="H672" s="18" t="s">
        <v>1185</v>
      </c>
      <c r="I672" s="18" t="s">
        <v>1214</v>
      </c>
      <c r="J672" s="105">
        <v>0</v>
      </c>
    </row>
    <row r="673" spans="1:10" ht="18" hidden="1" customHeight="1" outlineLevel="2" x14ac:dyDescent="0.2">
      <c r="A673" s="18"/>
      <c r="B673" s="18"/>
      <c r="C673" s="18"/>
      <c r="D673" s="18" t="s">
        <v>3230</v>
      </c>
      <c r="E673" s="18" t="s">
        <v>1258</v>
      </c>
      <c r="F673" s="18" t="s">
        <v>1215</v>
      </c>
      <c r="G673" s="36">
        <v>0</v>
      </c>
      <c r="H673" s="18" t="s">
        <v>1185</v>
      </c>
      <c r="I673" s="18" t="s">
        <v>1216</v>
      </c>
      <c r="J673" s="105">
        <v>0</v>
      </c>
    </row>
    <row r="674" spans="1:10" ht="18" hidden="1" customHeight="1" outlineLevel="2" x14ac:dyDescent="0.2">
      <c r="A674" s="18"/>
      <c r="B674" s="18"/>
      <c r="C674" s="18"/>
      <c r="D674" s="18" t="s">
        <v>3231</v>
      </c>
      <c r="E674" s="18" t="s">
        <v>1258</v>
      </c>
      <c r="F674" s="18" t="s">
        <v>1217</v>
      </c>
      <c r="G674" s="36">
        <v>0</v>
      </c>
      <c r="H674" s="18" t="s">
        <v>1185</v>
      </c>
      <c r="I674" s="18" t="s">
        <v>521</v>
      </c>
      <c r="J674" s="105">
        <v>0</v>
      </c>
    </row>
    <row r="675" spans="1:10" ht="18" hidden="1" customHeight="1" outlineLevel="2" x14ac:dyDescent="0.2">
      <c r="A675" s="18"/>
      <c r="B675" s="18"/>
      <c r="C675" s="18"/>
      <c r="D675" s="18"/>
      <c r="E675" s="18"/>
      <c r="F675" s="18"/>
      <c r="G675" s="36"/>
      <c r="H675" s="18"/>
      <c r="I675" s="18"/>
    </row>
    <row r="676" spans="1:10" ht="18" hidden="1" customHeight="1" outlineLevel="2" x14ac:dyDescent="0.2">
      <c r="A676" s="18"/>
      <c r="B676" s="18"/>
      <c r="C676" s="18"/>
      <c r="D676" s="18" t="s">
        <v>352</v>
      </c>
      <c r="E676" s="18" t="s">
        <v>1259</v>
      </c>
      <c r="F676" s="18" t="s">
        <v>1218</v>
      </c>
      <c r="G676" s="36">
        <v>0</v>
      </c>
      <c r="H676" s="18" t="s">
        <v>1185</v>
      </c>
      <c r="I676" s="18" t="s">
        <v>1201</v>
      </c>
      <c r="J676" s="25">
        <v>0</v>
      </c>
    </row>
    <row r="677" spans="1:10" ht="18" hidden="1" customHeight="1" outlineLevel="2" x14ac:dyDescent="0.2">
      <c r="A677" s="18"/>
      <c r="B677" s="18"/>
      <c r="C677" s="18"/>
      <c r="D677" s="18" t="s">
        <v>352</v>
      </c>
      <c r="E677" s="18" t="s">
        <v>1259</v>
      </c>
      <c r="F677" s="18" t="s">
        <v>1219</v>
      </c>
      <c r="G677" s="36">
        <v>0</v>
      </c>
      <c r="H677" s="18" t="s">
        <v>1185</v>
      </c>
      <c r="I677" s="18" t="s">
        <v>1202</v>
      </c>
      <c r="J677" s="25">
        <v>0</v>
      </c>
    </row>
    <row r="678" spans="1:10" ht="18" hidden="1" customHeight="1" outlineLevel="2" x14ac:dyDescent="0.2">
      <c r="A678" s="18"/>
      <c r="B678" s="18"/>
      <c r="C678" s="18"/>
      <c r="D678" s="18" t="s">
        <v>3232</v>
      </c>
      <c r="E678" s="18" t="s">
        <v>1259</v>
      </c>
      <c r="F678" s="18" t="s">
        <v>1220</v>
      </c>
      <c r="G678" s="36">
        <v>0</v>
      </c>
      <c r="H678" s="18" t="s">
        <v>1185</v>
      </c>
      <c r="I678" s="18" t="s">
        <v>1208</v>
      </c>
      <c r="J678" s="25">
        <v>0</v>
      </c>
    </row>
    <row r="679" spans="1:10" ht="18" hidden="1" customHeight="1" outlineLevel="2" x14ac:dyDescent="0.2">
      <c r="A679" s="18"/>
      <c r="B679" s="18"/>
      <c r="C679" s="18"/>
      <c r="D679" s="18" t="s">
        <v>3233</v>
      </c>
      <c r="E679" s="18" t="s">
        <v>1259</v>
      </c>
      <c r="F679" s="18" t="s">
        <v>1221</v>
      </c>
      <c r="G679" s="36">
        <v>0</v>
      </c>
      <c r="H679" s="18" t="s">
        <v>1185</v>
      </c>
      <c r="I679" s="18" t="s">
        <v>1210</v>
      </c>
      <c r="J679" s="25">
        <v>0</v>
      </c>
    </row>
    <row r="680" spans="1:10" ht="18" hidden="1" customHeight="1" outlineLevel="2" x14ac:dyDescent="0.2">
      <c r="A680" s="18"/>
      <c r="B680" s="18"/>
      <c r="C680" s="18"/>
      <c r="D680" s="18" t="s">
        <v>3234</v>
      </c>
      <c r="E680" s="18" t="s">
        <v>1259</v>
      </c>
      <c r="F680" s="18" t="s">
        <v>1222</v>
      </c>
      <c r="G680" s="36">
        <v>0</v>
      </c>
      <c r="H680" s="18" t="s">
        <v>1185</v>
      </c>
      <c r="I680" s="18" t="s">
        <v>1212</v>
      </c>
      <c r="J680" s="25">
        <v>0</v>
      </c>
    </row>
    <row r="681" spans="1:10" ht="18" hidden="1" customHeight="1" outlineLevel="2" x14ac:dyDescent="0.2">
      <c r="A681" s="18"/>
      <c r="B681" s="18"/>
      <c r="C681" s="18"/>
      <c r="D681" s="18" t="s">
        <v>3235</v>
      </c>
      <c r="E681" s="18" t="s">
        <v>1259</v>
      </c>
      <c r="F681" s="18" t="s">
        <v>1223</v>
      </c>
      <c r="G681" s="36">
        <v>0</v>
      </c>
      <c r="H681" s="18" t="s">
        <v>1185</v>
      </c>
      <c r="I681" s="18" t="s">
        <v>1214</v>
      </c>
      <c r="J681" s="25">
        <v>0</v>
      </c>
    </row>
    <row r="682" spans="1:10" ht="18" hidden="1" customHeight="1" outlineLevel="2" x14ac:dyDescent="0.2">
      <c r="A682" s="18"/>
      <c r="B682" s="18"/>
      <c r="C682" s="18"/>
      <c r="D682" s="18" t="s">
        <v>3236</v>
      </c>
      <c r="E682" s="18" t="s">
        <v>1259</v>
      </c>
      <c r="F682" s="18" t="s">
        <v>1224</v>
      </c>
      <c r="G682" s="36">
        <v>0</v>
      </c>
      <c r="H682" s="18" t="s">
        <v>1185</v>
      </c>
      <c r="I682" s="18" t="s">
        <v>1216</v>
      </c>
      <c r="J682" s="25">
        <v>0</v>
      </c>
    </row>
    <row r="683" spans="1:10" ht="18" hidden="1" customHeight="1" outlineLevel="2" x14ac:dyDescent="0.2">
      <c r="A683" s="18"/>
      <c r="B683" s="18"/>
      <c r="C683" s="18"/>
      <c r="D683" s="18" t="s">
        <v>3237</v>
      </c>
      <c r="E683" s="18" t="s">
        <v>1259</v>
      </c>
      <c r="F683" s="18" t="s">
        <v>1225</v>
      </c>
      <c r="G683" s="36">
        <v>0</v>
      </c>
      <c r="H683" s="18" t="s">
        <v>1185</v>
      </c>
      <c r="I683" s="18" t="s">
        <v>521</v>
      </c>
      <c r="J683" s="25">
        <v>0</v>
      </c>
    </row>
    <row r="684" spans="1:10" ht="18" hidden="1" customHeight="1" outlineLevel="2" x14ac:dyDescent="0.2">
      <c r="A684" s="18"/>
      <c r="B684" s="18"/>
      <c r="C684" s="18"/>
      <c r="D684" s="18" t="s">
        <v>352</v>
      </c>
      <c r="E684" s="18" t="s">
        <v>1259</v>
      </c>
      <c r="F684" s="18" t="s">
        <v>1226</v>
      </c>
      <c r="G684" s="36">
        <v>0</v>
      </c>
      <c r="H684" s="18" t="s">
        <v>1185</v>
      </c>
      <c r="I684" s="18" t="s">
        <v>522</v>
      </c>
      <c r="J684" s="25">
        <v>0</v>
      </c>
    </row>
    <row r="685" spans="1:10" ht="18" hidden="1" customHeight="1" outlineLevel="2" x14ac:dyDescent="0.2">
      <c r="A685" s="18"/>
      <c r="B685" s="18"/>
      <c r="C685" s="18"/>
      <c r="D685" s="18" t="s">
        <v>352</v>
      </c>
      <c r="E685" s="18" t="s">
        <v>1259</v>
      </c>
      <c r="F685" s="18" t="s">
        <v>1227</v>
      </c>
      <c r="G685" s="36">
        <v>0</v>
      </c>
      <c r="H685" s="18" t="s">
        <v>1185</v>
      </c>
      <c r="I685" s="18" t="s">
        <v>523</v>
      </c>
      <c r="J685" s="25">
        <v>0</v>
      </c>
    </row>
    <row r="686" spans="1:10" ht="18" hidden="1" customHeight="1" outlineLevel="2" x14ac:dyDescent="0.2">
      <c r="A686" s="18"/>
      <c r="B686" s="18"/>
      <c r="C686" s="18"/>
      <c r="D686" s="18" t="s">
        <v>352</v>
      </c>
      <c r="E686" s="18" t="s">
        <v>1259</v>
      </c>
      <c r="F686" s="18" t="s">
        <v>1228</v>
      </c>
      <c r="G686" s="36">
        <v>0</v>
      </c>
      <c r="H686" s="18" t="s">
        <v>1185</v>
      </c>
      <c r="I686" s="18" t="s">
        <v>1229</v>
      </c>
      <c r="J686" s="25">
        <v>0</v>
      </c>
    </row>
    <row r="687" spans="1:10" ht="18" hidden="1" customHeight="1" outlineLevel="2" x14ac:dyDescent="0.2">
      <c r="A687" s="18"/>
      <c r="B687" s="18"/>
      <c r="C687" s="18"/>
      <c r="D687" s="18" t="s">
        <v>352</v>
      </c>
      <c r="E687" s="18" t="s">
        <v>1259</v>
      </c>
      <c r="F687" s="18" t="s">
        <v>1230</v>
      </c>
      <c r="G687" s="36">
        <v>0</v>
      </c>
      <c r="H687" s="18" t="s">
        <v>1185</v>
      </c>
      <c r="I687" s="18" t="s">
        <v>1231</v>
      </c>
      <c r="J687" s="25">
        <v>0</v>
      </c>
    </row>
    <row r="688" spans="1:10" ht="18" hidden="1" customHeight="1" outlineLevel="2" x14ac:dyDescent="0.2">
      <c r="A688" s="18"/>
      <c r="B688" s="18"/>
      <c r="C688" s="18"/>
      <c r="D688" s="18" t="s">
        <v>352</v>
      </c>
      <c r="E688" s="18" t="s">
        <v>1259</v>
      </c>
      <c r="F688" s="18" t="s">
        <v>1232</v>
      </c>
      <c r="G688" s="36">
        <v>0</v>
      </c>
      <c r="H688" s="18" t="s">
        <v>1185</v>
      </c>
      <c r="I688" s="18" t="s">
        <v>1233</v>
      </c>
      <c r="J688" s="25">
        <v>0</v>
      </c>
    </row>
    <row r="689" spans="1:10" ht="18" hidden="1" customHeight="1" outlineLevel="2" x14ac:dyDescent="0.2">
      <c r="A689" s="18"/>
      <c r="B689" s="18"/>
      <c r="C689" s="18"/>
      <c r="D689" s="18" t="s">
        <v>352</v>
      </c>
      <c r="E689" s="18" t="s">
        <v>1259</v>
      </c>
      <c r="F689" s="18" t="s">
        <v>1234</v>
      </c>
      <c r="G689" s="36">
        <v>0</v>
      </c>
      <c r="H689" s="18" t="s">
        <v>1185</v>
      </c>
      <c r="I689" s="18"/>
      <c r="J689" s="25">
        <v>0</v>
      </c>
    </row>
    <row r="690" spans="1:10" ht="18" hidden="1" customHeight="1" outlineLevel="2" x14ac:dyDescent="0.2">
      <c r="A690" s="18"/>
      <c r="B690" s="18"/>
      <c r="C690" s="18"/>
      <c r="D690" s="18" t="s">
        <v>352</v>
      </c>
      <c r="E690" s="18" t="s">
        <v>1259</v>
      </c>
      <c r="F690" s="18" t="s">
        <v>1235</v>
      </c>
      <c r="G690" s="36">
        <v>0</v>
      </c>
      <c r="H690" s="18" t="s">
        <v>1185</v>
      </c>
      <c r="I690" s="18" t="s">
        <v>1236</v>
      </c>
      <c r="J690" s="25">
        <v>0</v>
      </c>
    </row>
    <row r="691" spans="1:10" ht="18" hidden="1" customHeight="1" outlineLevel="2" x14ac:dyDescent="0.2">
      <c r="A691" s="18"/>
      <c r="B691" s="18"/>
      <c r="C691" s="18"/>
      <c r="D691" s="18" t="s">
        <v>352</v>
      </c>
      <c r="E691" s="18" t="s">
        <v>1259</v>
      </c>
      <c r="F691" s="18" t="s">
        <v>1237</v>
      </c>
      <c r="G691" s="36">
        <v>0</v>
      </c>
      <c r="H691" s="18" t="s">
        <v>1185</v>
      </c>
      <c r="I691" s="18" t="s">
        <v>1238</v>
      </c>
      <c r="J691" s="25">
        <v>0</v>
      </c>
    </row>
    <row r="692" spans="1:10" ht="18" hidden="1" customHeight="1" outlineLevel="2" x14ac:dyDescent="0.2">
      <c r="A692" s="18"/>
      <c r="B692" s="18"/>
      <c r="C692" s="18"/>
      <c r="D692" s="18"/>
      <c r="E692" s="18"/>
      <c r="F692" s="18"/>
      <c r="G692" s="36"/>
      <c r="H692" s="18"/>
      <c r="I692" s="18"/>
    </row>
    <row r="693" spans="1:10" ht="18" hidden="1" customHeight="1" outlineLevel="2" x14ac:dyDescent="0.2">
      <c r="A693" s="18"/>
      <c r="B693" s="18"/>
      <c r="C693" s="18"/>
      <c r="D693" s="18" t="s">
        <v>352</v>
      </c>
      <c r="E693" s="18" t="s">
        <v>1260</v>
      </c>
      <c r="F693" s="18" t="s">
        <v>1239</v>
      </c>
      <c r="G693" s="36">
        <v>0</v>
      </c>
      <c r="H693" s="18" t="s">
        <v>1185</v>
      </c>
      <c r="I693" s="18" t="s">
        <v>1208</v>
      </c>
      <c r="J693" s="25">
        <v>0</v>
      </c>
    </row>
    <row r="694" spans="1:10" ht="18" hidden="1" customHeight="1" outlineLevel="2" x14ac:dyDescent="0.2">
      <c r="A694" s="18"/>
      <c r="B694" s="18"/>
      <c r="C694" s="18"/>
      <c r="D694" s="18" t="s">
        <v>352</v>
      </c>
      <c r="E694" s="18" t="s">
        <v>1260</v>
      </c>
      <c r="F694" s="18" t="s">
        <v>1240</v>
      </c>
      <c r="G694" s="36">
        <v>0</v>
      </c>
      <c r="H694" s="18" t="s">
        <v>1185</v>
      </c>
      <c r="I694" s="18" t="s">
        <v>1210</v>
      </c>
      <c r="J694" s="25">
        <v>0</v>
      </c>
    </row>
    <row r="695" spans="1:10" ht="18" hidden="1" customHeight="1" outlineLevel="2" x14ac:dyDescent="0.2">
      <c r="A695" s="18"/>
      <c r="B695" s="18"/>
      <c r="C695" s="18"/>
      <c r="D695" s="18" t="s">
        <v>352</v>
      </c>
      <c r="E695" s="18" t="s">
        <v>1260</v>
      </c>
      <c r="F695" s="18" t="s">
        <v>1241</v>
      </c>
      <c r="G695" s="36">
        <v>0</v>
      </c>
      <c r="H695" s="18" t="s">
        <v>1185</v>
      </c>
      <c r="I695" s="18" t="s">
        <v>1212</v>
      </c>
      <c r="J695" s="25">
        <v>0</v>
      </c>
    </row>
    <row r="696" spans="1:10" ht="18" hidden="1" customHeight="1" outlineLevel="2" x14ac:dyDescent="0.2">
      <c r="A696" s="18"/>
      <c r="B696" s="18"/>
      <c r="C696" s="18"/>
      <c r="D696" s="18" t="s">
        <v>352</v>
      </c>
      <c r="E696" s="18" t="s">
        <v>1260</v>
      </c>
      <c r="F696" s="18" t="s">
        <v>1242</v>
      </c>
      <c r="G696" s="36">
        <v>0</v>
      </c>
      <c r="H696" s="18" t="s">
        <v>1185</v>
      </c>
      <c r="I696" s="18" t="s">
        <v>1214</v>
      </c>
      <c r="J696" s="25">
        <v>0</v>
      </c>
    </row>
    <row r="697" spans="1:10" ht="18" hidden="1" customHeight="1" outlineLevel="2" x14ac:dyDescent="0.2">
      <c r="A697" s="18"/>
      <c r="B697" s="18"/>
      <c r="C697" s="18"/>
      <c r="D697" s="18" t="s">
        <v>3238</v>
      </c>
      <c r="E697" s="18" t="s">
        <v>1260</v>
      </c>
      <c r="F697" s="18" t="s">
        <v>1243</v>
      </c>
      <c r="G697" s="36">
        <v>0</v>
      </c>
      <c r="H697" s="18" t="s">
        <v>1185</v>
      </c>
      <c r="I697" s="18" t="s">
        <v>1216</v>
      </c>
      <c r="J697" s="25">
        <v>0</v>
      </c>
    </row>
    <row r="698" spans="1:10" ht="18" hidden="1" customHeight="1" outlineLevel="2" x14ac:dyDescent="0.2">
      <c r="A698" s="18"/>
      <c r="B698" s="18"/>
      <c r="C698" s="18"/>
      <c r="D698" s="18" t="s">
        <v>352</v>
      </c>
      <c r="E698" s="18" t="s">
        <v>1260</v>
      </c>
      <c r="F698" s="18" t="s">
        <v>1244</v>
      </c>
      <c r="G698" s="36">
        <v>0</v>
      </c>
      <c r="H698" s="18" t="s">
        <v>1185</v>
      </c>
      <c r="I698" s="18" t="s">
        <v>521</v>
      </c>
      <c r="J698" s="25">
        <v>0</v>
      </c>
    </row>
    <row r="699" spans="1:10" ht="18" hidden="1" customHeight="1" outlineLevel="2" x14ac:dyDescent="0.2">
      <c r="A699" s="18"/>
      <c r="B699" s="18"/>
      <c r="C699" s="18"/>
      <c r="D699" s="18" t="s">
        <v>3239</v>
      </c>
      <c r="E699" s="18" t="s">
        <v>1260</v>
      </c>
      <c r="F699" s="18" t="s">
        <v>1245</v>
      </c>
      <c r="G699" s="36">
        <v>0</v>
      </c>
      <c r="H699" s="18" t="s">
        <v>1185</v>
      </c>
      <c r="I699" s="18" t="s">
        <v>522</v>
      </c>
      <c r="J699" s="25">
        <v>0</v>
      </c>
    </row>
    <row r="700" spans="1:10" ht="18" hidden="1" customHeight="1" outlineLevel="2" x14ac:dyDescent="0.2">
      <c r="A700" s="18"/>
      <c r="B700" s="18"/>
      <c r="C700" s="18"/>
      <c r="D700" s="18" t="s">
        <v>352</v>
      </c>
      <c r="E700" s="18" t="s">
        <v>1260</v>
      </c>
      <c r="F700" s="18" t="s">
        <v>1246</v>
      </c>
      <c r="G700" s="36">
        <v>0</v>
      </c>
      <c r="H700" s="18" t="s">
        <v>1185</v>
      </c>
      <c r="I700" s="18" t="s">
        <v>523</v>
      </c>
      <c r="J700" s="25">
        <v>0</v>
      </c>
    </row>
    <row r="701" spans="1:10" ht="18" hidden="1" customHeight="1" outlineLevel="2" x14ac:dyDescent="0.2">
      <c r="A701" s="18"/>
      <c r="B701" s="18"/>
      <c r="C701" s="18"/>
      <c r="D701" s="18" t="s">
        <v>352</v>
      </c>
      <c r="E701" s="18" t="s">
        <v>1260</v>
      </c>
      <c r="F701" s="18" t="s">
        <v>1247</v>
      </c>
      <c r="G701" s="36">
        <v>0</v>
      </c>
      <c r="H701" s="18" t="s">
        <v>1185</v>
      </c>
      <c r="I701" s="18" t="s">
        <v>1229</v>
      </c>
      <c r="J701" s="25">
        <v>0</v>
      </c>
    </row>
    <row r="702" spans="1:10" ht="18" hidden="1" customHeight="1" outlineLevel="2" x14ac:dyDescent="0.2">
      <c r="A702" s="18"/>
      <c r="B702" s="18"/>
      <c r="C702" s="18"/>
      <c r="D702" s="18" t="s">
        <v>352</v>
      </c>
      <c r="E702" s="18" t="s">
        <v>1260</v>
      </c>
      <c r="F702" s="18" t="s">
        <v>1248</v>
      </c>
      <c r="G702" s="36">
        <v>0</v>
      </c>
      <c r="H702" s="18" t="s">
        <v>1185</v>
      </c>
      <c r="I702" s="18" t="s">
        <v>1231</v>
      </c>
      <c r="J702" s="25">
        <v>0</v>
      </c>
    </row>
    <row r="703" spans="1:10" ht="18" hidden="1" customHeight="1" outlineLevel="2" x14ac:dyDescent="0.2">
      <c r="A703" s="18"/>
      <c r="B703" s="18"/>
      <c r="C703" s="18"/>
      <c r="D703" s="18" t="s">
        <v>352</v>
      </c>
      <c r="E703" s="18" t="s">
        <v>1260</v>
      </c>
      <c r="F703" s="18" t="s">
        <v>1249</v>
      </c>
      <c r="G703" s="36">
        <v>0</v>
      </c>
      <c r="H703" s="18" t="s">
        <v>1185</v>
      </c>
      <c r="I703" s="18" t="s">
        <v>1233</v>
      </c>
      <c r="J703" s="25">
        <v>0</v>
      </c>
    </row>
    <row r="704" spans="1:10" ht="18" hidden="1" customHeight="1" outlineLevel="2" x14ac:dyDescent="0.2">
      <c r="A704" s="18"/>
      <c r="B704" s="18"/>
      <c r="C704" s="18"/>
      <c r="D704" s="18" t="s">
        <v>352</v>
      </c>
      <c r="E704" s="18" t="s">
        <v>1260</v>
      </c>
      <c r="F704" s="18" t="s">
        <v>1250</v>
      </c>
      <c r="G704" s="36">
        <v>0</v>
      </c>
      <c r="H704" s="18" t="s">
        <v>1185</v>
      </c>
      <c r="I704" s="18"/>
      <c r="J704" s="25">
        <v>0</v>
      </c>
    </row>
    <row r="705" spans="1:10" ht="18" hidden="1" customHeight="1" outlineLevel="2" x14ac:dyDescent="0.2">
      <c r="A705" s="18"/>
      <c r="B705" s="18"/>
      <c r="C705" s="18"/>
      <c r="D705" s="18" t="s">
        <v>352</v>
      </c>
      <c r="E705" s="18" t="s">
        <v>1260</v>
      </c>
      <c r="F705" s="18" t="s">
        <v>1251</v>
      </c>
      <c r="G705" s="36">
        <v>0</v>
      </c>
      <c r="H705" s="18" t="s">
        <v>1185</v>
      </c>
      <c r="I705" s="18" t="s">
        <v>1236</v>
      </c>
      <c r="J705" s="25">
        <v>0</v>
      </c>
    </row>
    <row r="706" spans="1:10" ht="18" hidden="1" customHeight="1" outlineLevel="2" x14ac:dyDescent="0.2">
      <c r="A706" s="18"/>
      <c r="B706" s="18"/>
      <c r="C706" s="18"/>
      <c r="D706" s="18" t="s">
        <v>352</v>
      </c>
      <c r="E706" s="18" t="s">
        <v>1260</v>
      </c>
      <c r="F706" s="18" t="s">
        <v>1252</v>
      </c>
      <c r="G706" s="36">
        <v>0</v>
      </c>
      <c r="H706" s="18" t="s">
        <v>1185</v>
      </c>
      <c r="I706" s="18" t="s">
        <v>1238</v>
      </c>
      <c r="J706" s="25">
        <v>0</v>
      </c>
    </row>
    <row r="707" spans="1:10" ht="18" hidden="1" customHeight="1" outlineLevel="2" x14ac:dyDescent="0.2">
      <c r="A707" s="18"/>
      <c r="B707" s="18"/>
      <c r="C707" s="18"/>
      <c r="D707" s="18" t="s">
        <v>547</v>
      </c>
      <c r="E707" s="18"/>
      <c r="F707" s="18"/>
      <c r="G707" s="36">
        <v>0</v>
      </c>
      <c r="H707" s="18" t="s">
        <v>1185</v>
      </c>
      <c r="I707" s="18"/>
      <c r="J707" s="25">
        <v>0</v>
      </c>
    </row>
    <row r="708" spans="1:10" ht="18" hidden="1" customHeight="1" outlineLevel="2" x14ac:dyDescent="0.2">
      <c r="A708" s="18"/>
      <c r="B708" s="18"/>
      <c r="C708" s="18"/>
      <c r="D708" s="18" t="s">
        <v>352</v>
      </c>
      <c r="E708" s="18" t="s">
        <v>1261</v>
      </c>
      <c r="F708" s="18" t="s">
        <v>1204</v>
      </c>
      <c r="G708" s="36">
        <v>0</v>
      </c>
      <c r="H708" s="18" t="s">
        <v>1185</v>
      </c>
      <c r="I708" s="18" t="s">
        <v>1200</v>
      </c>
      <c r="J708" s="25">
        <v>0</v>
      </c>
    </row>
    <row r="709" spans="1:10" ht="18" hidden="1" customHeight="1" outlineLevel="2" x14ac:dyDescent="0.2">
      <c r="A709" s="18"/>
      <c r="B709" s="18"/>
      <c r="C709" s="18"/>
      <c r="D709" s="18" t="s">
        <v>352</v>
      </c>
      <c r="E709" s="18" t="s">
        <v>1261</v>
      </c>
      <c r="F709" s="18" t="s">
        <v>1205</v>
      </c>
      <c r="G709" s="36">
        <v>0</v>
      </c>
      <c r="H709" s="18" t="s">
        <v>1185</v>
      </c>
      <c r="I709" s="18" t="s">
        <v>1201</v>
      </c>
      <c r="J709" s="25">
        <v>0</v>
      </c>
    </row>
    <row r="710" spans="1:10" ht="18" hidden="1" customHeight="1" outlineLevel="2" x14ac:dyDescent="0.2">
      <c r="A710" s="18"/>
      <c r="B710" s="18"/>
      <c r="C710" s="18"/>
      <c r="D710" s="18" t="s">
        <v>352</v>
      </c>
      <c r="E710" s="18" t="s">
        <v>1261</v>
      </c>
      <c r="F710" s="18" t="s">
        <v>1206</v>
      </c>
      <c r="G710" s="36">
        <v>0</v>
      </c>
      <c r="H710" s="18" t="s">
        <v>1185</v>
      </c>
      <c r="I710" s="18" t="s">
        <v>1202</v>
      </c>
      <c r="J710" s="25">
        <v>0</v>
      </c>
    </row>
    <row r="711" spans="1:10" ht="18" hidden="1" customHeight="1" outlineLevel="2" x14ac:dyDescent="0.2">
      <c r="A711" s="18"/>
      <c r="B711" s="18"/>
      <c r="C711" s="18"/>
      <c r="D711" s="18" t="s">
        <v>352</v>
      </c>
      <c r="E711" s="18" t="s">
        <v>1261</v>
      </c>
      <c r="F711" s="18" t="s">
        <v>1207</v>
      </c>
      <c r="G711" s="36">
        <v>0</v>
      </c>
      <c r="H711" s="18" t="s">
        <v>1185</v>
      </c>
      <c r="I711" s="18" t="s">
        <v>1208</v>
      </c>
      <c r="J711" s="25">
        <v>0</v>
      </c>
    </row>
    <row r="712" spans="1:10" ht="18" hidden="1" customHeight="1" outlineLevel="2" x14ac:dyDescent="0.2">
      <c r="A712" s="18"/>
      <c r="B712" s="18"/>
      <c r="C712" s="18"/>
      <c r="D712" s="18" t="s">
        <v>352</v>
      </c>
      <c r="E712" s="18" t="s">
        <v>1261</v>
      </c>
      <c r="F712" s="18" t="s">
        <v>1209</v>
      </c>
      <c r="G712" s="36">
        <v>0</v>
      </c>
      <c r="H712" s="18" t="s">
        <v>1185</v>
      </c>
      <c r="I712" s="18" t="s">
        <v>1210</v>
      </c>
      <c r="J712" s="25">
        <v>0</v>
      </c>
    </row>
    <row r="713" spans="1:10" ht="18" hidden="1" customHeight="1" outlineLevel="2" x14ac:dyDescent="0.2">
      <c r="A713" s="18"/>
      <c r="B713" s="18"/>
      <c r="C713" s="18"/>
      <c r="D713" s="18" t="s">
        <v>352</v>
      </c>
      <c r="E713" s="18" t="s">
        <v>1261</v>
      </c>
      <c r="F713" s="18" t="s">
        <v>1211</v>
      </c>
      <c r="G713" s="36">
        <v>0</v>
      </c>
      <c r="H713" s="18" t="s">
        <v>1185</v>
      </c>
      <c r="I713" s="18" t="s">
        <v>1212</v>
      </c>
      <c r="J713" s="25">
        <v>0</v>
      </c>
    </row>
    <row r="714" spans="1:10" ht="18" hidden="1" customHeight="1" outlineLevel="2" x14ac:dyDescent="0.2">
      <c r="A714" s="18"/>
      <c r="B714" s="18"/>
      <c r="C714" s="18"/>
      <c r="D714" s="18" t="s">
        <v>352</v>
      </c>
      <c r="E714" s="18" t="s">
        <v>1261</v>
      </c>
      <c r="F714" s="18" t="s">
        <v>1213</v>
      </c>
      <c r="G714" s="36">
        <v>0</v>
      </c>
      <c r="H714" s="18" t="s">
        <v>1185</v>
      </c>
      <c r="I714" s="18" t="s">
        <v>1214</v>
      </c>
      <c r="J714" s="25">
        <v>0</v>
      </c>
    </row>
    <row r="715" spans="1:10" ht="18" hidden="1" customHeight="1" outlineLevel="2" x14ac:dyDescent="0.2">
      <c r="A715" s="18"/>
      <c r="B715" s="18"/>
      <c r="C715" s="18"/>
      <c r="D715" s="18" t="s">
        <v>352</v>
      </c>
      <c r="E715" s="18" t="s">
        <v>1261</v>
      </c>
      <c r="F715" s="18" t="s">
        <v>1215</v>
      </c>
      <c r="G715" s="36">
        <v>0</v>
      </c>
      <c r="H715" s="18" t="s">
        <v>1185</v>
      </c>
      <c r="I715" s="18" t="s">
        <v>1216</v>
      </c>
      <c r="J715" s="25">
        <v>0</v>
      </c>
    </row>
    <row r="716" spans="1:10" ht="18" hidden="1" customHeight="1" outlineLevel="2" x14ac:dyDescent="0.2">
      <c r="A716" s="18"/>
      <c r="B716" s="18"/>
      <c r="C716" s="18"/>
      <c r="D716" s="18" t="s">
        <v>352</v>
      </c>
      <c r="E716" s="18" t="s">
        <v>1261</v>
      </c>
      <c r="F716" s="18" t="s">
        <v>1217</v>
      </c>
      <c r="G716" s="36">
        <v>0</v>
      </c>
      <c r="H716" s="18" t="s">
        <v>1185</v>
      </c>
      <c r="I716" s="18" t="s">
        <v>521</v>
      </c>
      <c r="J716" s="25">
        <v>0</v>
      </c>
    </row>
    <row r="717" spans="1:10" ht="18" hidden="1" customHeight="1" outlineLevel="2" x14ac:dyDescent="0.2">
      <c r="A717" s="18"/>
      <c r="B717" s="18"/>
      <c r="C717" s="18"/>
      <c r="D717" s="18"/>
      <c r="E717" s="18"/>
      <c r="F717" s="18"/>
      <c r="G717" s="36"/>
      <c r="H717" s="18"/>
      <c r="I717" s="18"/>
    </row>
    <row r="718" spans="1:10" ht="18" hidden="1" customHeight="1" outlineLevel="2" x14ac:dyDescent="0.2">
      <c r="A718" s="18"/>
      <c r="B718" s="18"/>
      <c r="C718" s="18"/>
      <c r="D718" s="18" t="s">
        <v>352</v>
      </c>
      <c r="E718" s="18" t="s">
        <v>1262</v>
      </c>
      <c r="F718" s="18" t="s">
        <v>1218</v>
      </c>
      <c r="G718" s="36">
        <v>0</v>
      </c>
      <c r="H718" s="18" t="s">
        <v>1185</v>
      </c>
      <c r="I718" s="18" t="s">
        <v>1201</v>
      </c>
      <c r="J718" s="25">
        <v>0</v>
      </c>
    </row>
    <row r="719" spans="1:10" ht="18" hidden="1" customHeight="1" outlineLevel="2" x14ac:dyDescent="0.2">
      <c r="A719" s="18"/>
      <c r="B719" s="18"/>
      <c r="C719" s="18"/>
      <c r="D719" s="18" t="s">
        <v>352</v>
      </c>
      <c r="E719" s="18" t="s">
        <v>1262</v>
      </c>
      <c r="F719" s="18" t="s">
        <v>1219</v>
      </c>
      <c r="G719" s="36">
        <v>0</v>
      </c>
      <c r="H719" s="18" t="s">
        <v>1185</v>
      </c>
      <c r="I719" s="18" t="s">
        <v>1202</v>
      </c>
      <c r="J719" s="25">
        <v>0</v>
      </c>
    </row>
    <row r="720" spans="1:10" ht="18" hidden="1" customHeight="1" outlineLevel="2" x14ac:dyDescent="0.2">
      <c r="A720" s="18"/>
      <c r="B720" s="18"/>
      <c r="C720" s="18"/>
      <c r="D720" s="18" t="s">
        <v>352</v>
      </c>
      <c r="E720" s="18" t="s">
        <v>1262</v>
      </c>
      <c r="F720" s="18" t="s">
        <v>1220</v>
      </c>
      <c r="G720" s="36">
        <v>0</v>
      </c>
      <c r="H720" s="18" t="s">
        <v>1185</v>
      </c>
      <c r="I720" s="18" t="s">
        <v>1208</v>
      </c>
      <c r="J720" s="25">
        <v>0</v>
      </c>
    </row>
    <row r="721" spans="1:10" ht="18" hidden="1" customHeight="1" outlineLevel="2" x14ac:dyDescent="0.2">
      <c r="A721" s="18"/>
      <c r="B721" s="18"/>
      <c r="C721" s="18"/>
      <c r="D721" s="18" t="s">
        <v>352</v>
      </c>
      <c r="E721" s="18" t="s">
        <v>1262</v>
      </c>
      <c r="F721" s="18" t="s">
        <v>1221</v>
      </c>
      <c r="G721" s="36">
        <v>0</v>
      </c>
      <c r="H721" s="18" t="s">
        <v>1185</v>
      </c>
      <c r="I721" s="18" t="s">
        <v>1210</v>
      </c>
      <c r="J721" s="25">
        <v>0</v>
      </c>
    </row>
    <row r="722" spans="1:10" ht="18" hidden="1" customHeight="1" outlineLevel="2" x14ac:dyDescent="0.2">
      <c r="A722" s="18"/>
      <c r="B722" s="18"/>
      <c r="C722" s="18"/>
      <c r="D722" s="18" t="s">
        <v>352</v>
      </c>
      <c r="E722" s="18" t="s">
        <v>1262</v>
      </c>
      <c r="F722" s="18" t="s">
        <v>1222</v>
      </c>
      <c r="G722" s="36">
        <v>0</v>
      </c>
      <c r="H722" s="18" t="s">
        <v>1185</v>
      </c>
      <c r="I722" s="18" t="s">
        <v>1212</v>
      </c>
      <c r="J722" s="25">
        <v>0</v>
      </c>
    </row>
    <row r="723" spans="1:10" ht="18" hidden="1" customHeight="1" outlineLevel="2" x14ac:dyDescent="0.2">
      <c r="A723" s="18"/>
      <c r="B723" s="18"/>
      <c r="C723" s="18"/>
      <c r="D723" s="18" t="s">
        <v>352</v>
      </c>
      <c r="E723" s="18" t="s">
        <v>1262</v>
      </c>
      <c r="F723" s="18" t="s">
        <v>1223</v>
      </c>
      <c r="G723" s="36">
        <v>0</v>
      </c>
      <c r="H723" s="18" t="s">
        <v>1185</v>
      </c>
      <c r="I723" s="18" t="s">
        <v>1214</v>
      </c>
      <c r="J723" s="25">
        <v>0</v>
      </c>
    </row>
    <row r="724" spans="1:10" ht="18" hidden="1" customHeight="1" outlineLevel="2" x14ac:dyDescent="0.2">
      <c r="A724" s="18"/>
      <c r="B724" s="18"/>
      <c r="C724" s="18"/>
      <c r="D724" s="18" t="s">
        <v>352</v>
      </c>
      <c r="E724" s="18" t="s">
        <v>1262</v>
      </c>
      <c r="F724" s="18" t="s">
        <v>1224</v>
      </c>
      <c r="G724" s="36">
        <v>0</v>
      </c>
      <c r="H724" s="18" t="s">
        <v>1185</v>
      </c>
      <c r="I724" s="18" t="s">
        <v>1216</v>
      </c>
      <c r="J724" s="25">
        <v>0</v>
      </c>
    </row>
    <row r="725" spans="1:10" ht="18" hidden="1" customHeight="1" outlineLevel="2" x14ac:dyDescent="0.2">
      <c r="A725" s="18"/>
      <c r="B725" s="18"/>
      <c r="C725" s="18"/>
      <c r="D725" s="18" t="s">
        <v>352</v>
      </c>
      <c r="E725" s="18" t="s">
        <v>1262</v>
      </c>
      <c r="F725" s="18" t="s">
        <v>1225</v>
      </c>
      <c r="G725" s="36">
        <v>0</v>
      </c>
      <c r="H725" s="18" t="s">
        <v>1185</v>
      </c>
      <c r="I725" s="18" t="s">
        <v>521</v>
      </c>
      <c r="J725" s="25">
        <v>0</v>
      </c>
    </row>
    <row r="726" spans="1:10" ht="18" hidden="1" customHeight="1" outlineLevel="2" x14ac:dyDescent="0.2">
      <c r="A726" s="18"/>
      <c r="B726" s="18"/>
      <c r="C726" s="18"/>
      <c r="D726" s="18" t="s">
        <v>352</v>
      </c>
      <c r="E726" s="18" t="s">
        <v>1262</v>
      </c>
      <c r="F726" s="18" t="s">
        <v>1226</v>
      </c>
      <c r="G726" s="36">
        <v>0</v>
      </c>
      <c r="H726" s="18" t="s">
        <v>1185</v>
      </c>
      <c r="I726" s="18" t="s">
        <v>522</v>
      </c>
      <c r="J726" s="25">
        <v>0</v>
      </c>
    </row>
    <row r="727" spans="1:10" ht="18" hidden="1" customHeight="1" outlineLevel="2" x14ac:dyDescent="0.2">
      <c r="A727" s="18"/>
      <c r="B727" s="18"/>
      <c r="C727" s="18"/>
      <c r="D727" s="18" t="s">
        <v>352</v>
      </c>
      <c r="E727" s="18" t="s">
        <v>1262</v>
      </c>
      <c r="F727" s="18" t="s">
        <v>1227</v>
      </c>
      <c r="G727" s="36">
        <v>0</v>
      </c>
      <c r="H727" s="18" t="s">
        <v>1185</v>
      </c>
      <c r="I727" s="18" t="s">
        <v>523</v>
      </c>
      <c r="J727" s="25">
        <v>0</v>
      </c>
    </row>
    <row r="728" spans="1:10" ht="18" hidden="1" customHeight="1" outlineLevel="2" x14ac:dyDescent="0.2">
      <c r="A728" s="18"/>
      <c r="B728" s="18"/>
      <c r="C728" s="18"/>
      <c r="D728" s="18" t="s">
        <v>352</v>
      </c>
      <c r="E728" s="18" t="s">
        <v>1262</v>
      </c>
      <c r="F728" s="18" t="s">
        <v>1228</v>
      </c>
      <c r="G728" s="36">
        <v>0</v>
      </c>
      <c r="H728" s="18" t="s">
        <v>1185</v>
      </c>
      <c r="I728" s="18" t="s">
        <v>1229</v>
      </c>
      <c r="J728" s="25">
        <v>0</v>
      </c>
    </row>
    <row r="729" spans="1:10" ht="18" hidden="1" customHeight="1" outlineLevel="2" x14ac:dyDescent="0.2">
      <c r="A729" s="18"/>
      <c r="B729" s="18"/>
      <c r="C729" s="18"/>
      <c r="D729" s="18" t="s">
        <v>352</v>
      </c>
      <c r="E729" s="18" t="s">
        <v>1262</v>
      </c>
      <c r="F729" s="18" t="s">
        <v>1230</v>
      </c>
      <c r="G729" s="36">
        <v>0</v>
      </c>
      <c r="H729" s="18" t="s">
        <v>1185</v>
      </c>
      <c r="I729" s="18" t="s">
        <v>1231</v>
      </c>
      <c r="J729" s="25">
        <v>0</v>
      </c>
    </row>
    <row r="730" spans="1:10" ht="18" hidden="1" customHeight="1" outlineLevel="2" x14ac:dyDescent="0.2">
      <c r="A730" s="18"/>
      <c r="B730" s="18"/>
      <c r="C730" s="18"/>
      <c r="D730" s="18" t="s">
        <v>352</v>
      </c>
      <c r="E730" s="18" t="s">
        <v>1262</v>
      </c>
      <c r="F730" s="18" t="s">
        <v>1232</v>
      </c>
      <c r="G730" s="36">
        <v>0</v>
      </c>
      <c r="H730" s="18" t="s">
        <v>1185</v>
      </c>
      <c r="I730" s="18" t="s">
        <v>1233</v>
      </c>
      <c r="J730" s="25">
        <v>0</v>
      </c>
    </row>
    <row r="731" spans="1:10" ht="18" hidden="1" customHeight="1" outlineLevel="2" x14ac:dyDescent="0.2">
      <c r="A731" s="18"/>
      <c r="B731" s="18"/>
      <c r="C731" s="18"/>
      <c r="D731" s="18" t="s">
        <v>352</v>
      </c>
      <c r="E731" s="18" t="s">
        <v>1262</v>
      </c>
      <c r="F731" s="18" t="s">
        <v>1234</v>
      </c>
      <c r="G731" s="36">
        <v>0</v>
      </c>
      <c r="H731" s="18" t="s">
        <v>1185</v>
      </c>
      <c r="I731" s="18"/>
      <c r="J731" s="25">
        <v>0</v>
      </c>
    </row>
    <row r="732" spans="1:10" ht="18" hidden="1" customHeight="1" outlineLevel="2" x14ac:dyDescent="0.2">
      <c r="A732" s="18"/>
      <c r="B732" s="18"/>
      <c r="C732" s="18"/>
      <c r="D732" s="18" t="s">
        <v>352</v>
      </c>
      <c r="E732" s="18" t="s">
        <v>1262</v>
      </c>
      <c r="F732" s="18" t="s">
        <v>1235</v>
      </c>
      <c r="G732" s="36">
        <v>0</v>
      </c>
      <c r="H732" s="18" t="s">
        <v>1185</v>
      </c>
      <c r="I732" s="18" t="s">
        <v>1236</v>
      </c>
      <c r="J732" s="25">
        <v>0</v>
      </c>
    </row>
    <row r="733" spans="1:10" ht="18" hidden="1" customHeight="1" outlineLevel="2" x14ac:dyDescent="0.2">
      <c r="A733" s="18"/>
      <c r="B733" s="18"/>
      <c r="C733" s="18"/>
      <c r="D733" s="18" t="s">
        <v>352</v>
      </c>
      <c r="E733" s="18" t="s">
        <v>1262</v>
      </c>
      <c r="F733" s="18" t="s">
        <v>1237</v>
      </c>
      <c r="G733" s="36">
        <v>0</v>
      </c>
      <c r="H733" s="18" t="s">
        <v>1185</v>
      </c>
      <c r="I733" s="18" t="s">
        <v>1238</v>
      </c>
      <c r="J733" s="25">
        <v>0</v>
      </c>
    </row>
    <row r="734" spans="1:10" ht="18" hidden="1" customHeight="1" outlineLevel="2" x14ac:dyDescent="0.2">
      <c r="A734" s="18"/>
      <c r="B734" s="18"/>
      <c r="C734" s="18"/>
      <c r="D734" s="18"/>
      <c r="E734" s="18"/>
      <c r="F734" s="18"/>
      <c r="G734" s="36"/>
      <c r="H734" s="18"/>
      <c r="I734" s="18"/>
    </row>
    <row r="735" spans="1:10" ht="18" hidden="1" customHeight="1" outlineLevel="2" x14ac:dyDescent="0.2">
      <c r="A735" s="18"/>
      <c r="B735" s="18"/>
      <c r="C735" s="18"/>
      <c r="D735" s="18" t="s">
        <v>352</v>
      </c>
      <c r="E735" s="18" t="s">
        <v>1263</v>
      </c>
      <c r="F735" s="18" t="s">
        <v>1239</v>
      </c>
      <c r="G735" s="36">
        <v>0</v>
      </c>
      <c r="H735" s="18" t="s">
        <v>1185</v>
      </c>
      <c r="I735" s="18" t="s">
        <v>1208</v>
      </c>
      <c r="J735" s="25">
        <v>0</v>
      </c>
    </row>
    <row r="736" spans="1:10" ht="18" hidden="1" customHeight="1" outlineLevel="2" x14ac:dyDescent="0.2">
      <c r="A736" s="18"/>
      <c r="B736" s="18"/>
      <c r="C736" s="18"/>
      <c r="D736" s="18" t="s">
        <v>352</v>
      </c>
      <c r="E736" s="18" t="s">
        <v>1263</v>
      </c>
      <c r="F736" s="18" t="s">
        <v>1240</v>
      </c>
      <c r="G736" s="36">
        <v>0</v>
      </c>
      <c r="H736" s="18" t="s">
        <v>1185</v>
      </c>
      <c r="I736" s="18" t="s">
        <v>1210</v>
      </c>
      <c r="J736" s="25">
        <v>0</v>
      </c>
    </row>
    <row r="737" spans="1:12" ht="18" hidden="1" customHeight="1" outlineLevel="2" x14ac:dyDescent="0.2">
      <c r="A737" s="18"/>
      <c r="B737" s="18"/>
      <c r="C737" s="18"/>
      <c r="D737" s="18" t="s">
        <v>352</v>
      </c>
      <c r="E737" s="18" t="s">
        <v>1263</v>
      </c>
      <c r="F737" s="18" t="s">
        <v>1241</v>
      </c>
      <c r="G737" s="36">
        <v>0</v>
      </c>
      <c r="H737" s="18" t="s">
        <v>1185</v>
      </c>
      <c r="I737" s="18" t="s">
        <v>1212</v>
      </c>
      <c r="J737" s="25">
        <v>0</v>
      </c>
    </row>
    <row r="738" spans="1:12" ht="18" hidden="1" customHeight="1" outlineLevel="2" x14ac:dyDescent="0.2">
      <c r="A738" s="18"/>
      <c r="B738" s="18"/>
      <c r="C738" s="18"/>
      <c r="D738" s="18" t="s">
        <v>352</v>
      </c>
      <c r="E738" s="18" t="s">
        <v>1263</v>
      </c>
      <c r="F738" s="18" t="s">
        <v>1242</v>
      </c>
      <c r="G738" s="36">
        <v>0</v>
      </c>
      <c r="H738" s="18" t="s">
        <v>1185</v>
      </c>
      <c r="I738" s="18" t="s">
        <v>1214</v>
      </c>
      <c r="J738" s="25">
        <v>0</v>
      </c>
    </row>
    <row r="739" spans="1:12" ht="18" hidden="1" customHeight="1" outlineLevel="2" x14ac:dyDescent="0.2">
      <c r="A739" s="18"/>
      <c r="B739" s="18"/>
      <c r="C739" s="18"/>
      <c r="D739" s="18" t="s">
        <v>352</v>
      </c>
      <c r="E739" s="18" t="s">
        <v>1263</v>
      </c>
      <c r="F739" s="18" t="s">
        <v>1243</v>
      </c>
      <c r="G739" s="36">
        <v>0</v>
      </c>
      <c r="H739" s="18" t="s">
        <v>1185</v>
      </c>
      <c r="I739" s="18" t="s">
        <v>1216</v>
      </c>
      <c r="J739" s="25">
        <v>0</v>
      </c>
    </row>
    <row r="740" spans="1:12" ht="18" hidden="1" customHeight="1" outlineLevel="2" x14ac:dyDescent="0.2">
      <c r="A740" s="18"/>
      <c r="B740" s="18"/>
      <c r="C740" s="18"/>
      <c r="D740" s="18" t="s">
        <v>352</v>
      </c>
      <c r="E740" s="18" t="s">
        <v>1263</v>
      </c>
      <c r="F740" s="18" t="s">
        <v>1244</v>
      </c>
      <c r="G740" s="36">
        <v>0</v>
      </c>
      <c r="H740" s="18" t="s">
        <v>1185</v>
      </c>
      <c r="I740" s="18" t="s">
        <v>521</v>
      </c>
      <c r="J740" s="25">
        <v>0</v>
      </c>
    </row>
    <row r="741" spans="1:12" ht="18" hidden="1" customHeight="1" outlineLevel="2" x14ac:dyDescent="0.2">
      <c r="A741" s="18"/>
      <c r="B741" s="18"/>
      <c r="C741" s="18"/>
      <c r="D741" s="18" t="s">
        <v>352</v>
      </c>
      <c r="E741" s="18" t="s">
        <v>1263</v>
      </c>
      <c r="F741" s="18" t="s">
        <v>1245</v>
      </c>
      <c r="G741" s="36">
        <v>0</v>
      </c>
      <c r="H741" s="18" t="s">
        <v>1185</v>
      </c>
      <c r="I741" s="18" t="s">
        <v>522</v>
      </c>
      <c r="J741" s="25">
        <v>0</v>
      </c>
    </row>
    <row r="742" spans="1:12" ht="18" hidden="1" customHeight="1" outlineLevel="2" x14ac:dyDescent="0.2">
      <c r="A742" s="18"/>
      <c r="B742" s="18"/>
      <c r="C742" s="18"/>
      <c r="D742" s="18" t="s">
        <v>352</v>
      </c>
      <c r="E742" s="18" t="s">
        <v>1263</v>
      </c>
      <c r="F742" s="18" t="s">
        <v>1246</v>
      </c>
      <c r="G742" s="36">
        <v>0</v>
      </c>
      <c r="H742" s="18" t="s">
        <v>1185</v>
      </c>
      <c r="I742" s="18" t="s">
        <v>523</v>
      </c>
      <c r="J742" s="25">
        <v>0</v>
      </c>
    </row>
    <row r="743" spans="1:12" ht="18" hidden="1" customHeight="1" outlineLevel="2" x14ac:dyDescent="0.2">
      <c r="A743" s="18"/>
      <c r="B743" s="18"/>
      <c r="C743" s="18"/>
      <c r="D743" s="18" t="s">
        <v>352</v>
      </c>
      <c r="E743" s="18" t="s">
        <v>1263</v>
      </c>
      <c r="F743" s="18" t="s">
        <v>1247</v>
      </c>
      <c r="G743" s="36">
        <v>0</v>
      </c>
      <c r="H743" s="18" t="s">
        <v>1185</v>
      </c>
      <c r="I743" s="18" t="s">
        <v>1229</v>
      </c>
      <c r="J743" s="25">
        <v>0</v>
      </c>
    </row>
    <row r="744" spans="1:12" ht="18" hidden="1" customHeight="1" outlineLevel="2" x14ac:dyDescent="0.2">
      <c r="A744" s="18"/>
      <c r="B744" s="18"/>
      <c r="C744" s="18"/>
      <c r="D744" s="18" t="s">
        <v>352</v>
      </c>
      <c r="E744" s="18" t="s">
        <v>1263</v>
      </c>
      <c r="F744" s="18" t="s">
        <v>1248</v>
      </c>
      <c r="G744" s="36">
        <v>0</v>
      </c>
      <c r="H744" s="18" t="s">
        <v>1185</v>
      </c>
      <c r="I744" s="18" t="s">
        <v>1231</v>
      </c>
      <c r="J744" s="25">
        <v>0</v>
      </c>
    </row>
    <row r="745" spans="1:12" ht="18" hidden="1" customHeight="1" outlineLevel="2" x14ac:dyDescent="0.2">
      <c r="A745" s="18"/>
      <c r="B745" s="18"/>
      <c r="C745" s="18"/>
      <c r="D745" s="18" t="s">
        <v>352</v>
      </c>
      <c r="E745" s="18" t="s">
        <v>1263</v>
      </c>
      <c r="F745" s="18" t="s">
        <v>1249</v>
      </c>
      <c r="G745" s="36">
        <v>0</v>
      </c>
      <c r="H745" s="18" t="s">
        <v>1185</v>
      </c>
      <c r="I745" s="18" t="s">
        <v>1233</v>
      </c>
      <c r="J745" s="25">
        <v>0</v>
      </c>
    </row>
    <row r="746" spans="1:12" ht="18" hidden="1" customHeight="1" outlineLevel="2" x14ac:dyDescent="0.2">
      <c r="A746" s="18"/>
      <c r="B746" s="18"/>
      <c r="C746" s="18"/>
      <c r="D746" s="18" t="s">
        <v>352</v>
      </c>
      <c r="E746" s="18" t="s">
        <v>1263</v>
      </c>
      <c r="F746" s="18" t="s">
        <v>1250</v>
      </c>
      <c r="G746" s="36">
        <v>0</v>
      </c>
      <c r="H746" s="18" t="s">
        <v>1185</v>
      </c>
      <c r="I746" s="18"/>
      <c r="J746" s="25">
        <v>0</v>
      </c>
    </row>
    <row r="747" spans="1:12" ht="18" hidden="1" customHeight="1" outlineLevel="2" x14ac:dyDescent="0.2">
      <c r="A747" s="18"/>
      <c r="B747" s="18"/>
      <c r="C747" s="18"/>
      <c r="D747" s="18" t="s">
        <v>352</v>
      </c>
      <c r="E747" s="18" t="s">
        <v>1263</v>
      </c>
      <c r="F747" s="18" t="s">
        <v>1251</v>
      </c>
      <c r="G747" s="36">
        <v>0</v>
      </c>
      <c r="H747" s="18" t="s">
        <v>1185</v>
      </c>
      <c r="I747" s="18" t="s">
        <v>1236</v>
      </c>
      <c r="J747" s="25">
        <v>0</v>
      </c>
    </row>
    <row r="748" spans="1:12" ht="18" hidden="1" customHeight="1" outlineLevel="2" x14ac:dyDescent="0.2">
      <c r="A748" s="18"/>
      <c r="B748" s="18"/>
      <c r="C748" s="18"/>
      <c r="D748" s="18" t="s">
        <v>352</v>
      </c>
      <c r="E748" s="18" t="s">
        <v>1263</v>
      </c>
      <c r="F748" s="18" t="s">
        <v>1252</v>
      </c>
      <c r="G748" s="36">
        <v>0</v>
      </c>
      <c r="H748" s="18" t="s">
        <v>1185</v>
      </c>
      <c r="I748" s="18" t="s">
        <v>1238</v>
      </c>
      <c r="J748" s="25">
        <v>0</v>
      </c>
    </row>
    <row r="749" spans="1:12" ht="18" hidden="1" customHeight="1" outlineLevel="2" x14ac:dyDescent="0.2">
      <c r="A749" s="18"/>
      <c r="B749" s="18"/>
      <c r="C749" s="18"/>
      <c r="D749" s="18"/>
      <c r="E749" s="18"/>
      <c r="F749" s="18"/>
      <c r="G749" s="36"/>
      <c r="H749" s="18"/>
      <c r="I749" s="18"/>
    </row>
    <row r="750" spans="1:12" ht="18" customHeight="1" collapsed="1" x14ac:dyDescent="0.2">
      <c r="A750" s="131" t="s">
        <v>3720</v>
      </c>
      <c r="B750" s="132"/>
      <c r="C750" s="132"/>
      <c r="D750" s="132" t="s">
        <v>3249</v>
      </c>
      <c r="E750" s="132"/>
      <c r="F750" s="132"/>
      <c r="G750" s="132"/>
      <c r="H750" s="132"/>
      <c r="I750" s="132"/>
      <c r="J750" s="132"/>
      <c r="K750" s="132"/>
      <c r="L750" s="176"/>
    </row>
    <row r="751" spans="1:12" ht="18" hidden="1" customHeight="1" outlineLevel="1" collapsed="1" x14ac:dyDescent="0.2">
      <c r="A751" s="119" t="s">
        <v>3728</v>
      </c>
      <c r="B751" s="120"/>
      <c r="C751" s="120"/>
      <c r="D751" s="120"/>
      <c r="E751" s="120"/>
      <c r="F751" s="120"/>
      <c r="G751" s="120"/>
      <c r="H751" s="120"/>
      <c r="I751" s="120"/>
      <c r="J751" s="120"/>
      <c r="K751" s="120"/>
      <c r="L751" s="160"/>
    </row>
    <row r="752" spans="1:12" ht="18" hidden="1" customHeight="1" outlineLevel="2" x14ac:dyDescent="0.2">
      <c r="A752" s="18"/>
      <c r="B752" s="18"/>
      <c r="C752" s="18"/>
      <c r="D752" s="18" t="s">
        <v>3254</v>
      </c>
      <c r="E752" s="18" t="s">
        <v>1361</v>
      </c>
      <c r="F752" s="18" t="s">
        <v>1362</v>
      </c>
      <c r="G752" s="36" t="s">
        <v>1363</v>
      </c>
      <c r="H752" s="18" t="s">
        <v>1326</v>
      </c>
      <c r="I752" s="18" t="s">
        <v>3039</v>
      </c>
    </row>
    <row r="753" spans="1:12" ht="18" hidden="1" customHeight="1" outlineLevel="2" x14ac:dyDescent="0.2">
      <c r="A753" s="18"/>
      <c r="B753" s="18"/>
      <c r="C753" s="18"/>
      <c r="D753" s="18" t="s">
        <v>3040</v>
      </c>
      <c r="E753" s="18" t="s">
        <v>1361</v>
      </c>
      <c r="F753" s="18" t="s">
        <v>1364</v>
      </c>
      <c r="G753" s="36" t="s">
        <v>1365</v>
      </c>
      <c r="H753" s="18" t="s">
        <v>1326</v>
      </c>
      <c r="I753" s="18"/>
    </row>
    <row r="754" spans="1:12" ht="18" hidden="1" customHeight="1" outlineLevel="2" x14ac:dyDescent="0.2">
      <c r="A754" s="18"/>
      <c r="B754" s="18"/>
      <c r="C754" s="18"/>
      <c r="D754" s="18" t="s">
        <v>3255</v>
      </c>
      <c r="E754" s="18" t="s">
        <v>1361</v>
      </c>
      <c r="F754" s="18" t="s">
        <v>1366</v>
      </c>
      <c r="G754" s="36" t="s">
        <v>1367</v>
      </c>
      <c r="H754" s="18" t="s">
        <v>1326</v>
      </c>
      <c r="I754" s="18" t="s">
        <v>3041</v>
      </c>
    </row>
    <row r="755" spans="1:12" ht="18" hidden="1" customHeight="1" outlineLevel="2" x14ac:dyDescent="0.2">
      <c r="A755" s="18"/>
      <c r="B755" s="18"/>
      <c r="C755" s="18"/>
      <c r="D755" s="18" t="s">
        <v>3256</v>
      </c>
      <c r="E755" s="18" t="s">
        <v>1361</v>
      </c>
      <c r="F755" s="18" t="s">
        <v>1368</v>
      </c>
      <c r="G755" s="36" t="s">
        <v>1369</v>
      </c>
      <c r="H755" s="18" t="s">
        <v>1326</v>
      </c>
      <c r="I755" s="18" t="s">
        <v>3042</v>
      </c>
    </row>
    <row r="756" spans="1:12" ht="18" hidden="1" customHeight="1" outlineLevel="2" x14ac:dyDescent="0.2">
      <c r="A756" s="18"/>
      <c r="B756" s="18"/>
      <c r="C756" s="18"/>
      <c r="D756" s="18" t="s">
        <v>3257</v>
      </c>
      <c r="E756" s="18" t="s">
        <v>1361</v>
      </c>
      <c r="F756" s="18" t="s">
        <v>1370</v>
      </c>
      <c r="G756" s="36" t="s">
        <v>1371</v>
      </c>
      <c r="H756" s="18" t="s">
        <v>1326</v>
      </c>
      <c r="I756" s="18" t="s">
        <v>3043</v>
      </c>
    </row>
    <row r="757" spans="1:12" ht="18" hidden="1" customHeight="1" outlineLevel="2" x14ac:dyDescent="0.2">
      <c r="A757" s="18"/>
      <c r="B757" s="18"/>
      <c r="C757" s="18"/>
      <c r="D757" s="18" t="s">
        <v>3044</v>
      </c>
      <c r="E757" s="18" t="s">
        <v>1361</v>
      </c>
      <c r="F757" s="18" t="s">
        <v>1372</v>
      </c>
      <c r="G757" s="36" t="s">
        <v>1373</v>
      </c>
      <c r="H757" s="18" t="s">
        <v>1326</v>
      </c>
      <c r="I757" s="18"/>
    </row>
    <row r="758" spans="1:12" ht="18" hidden="1" customHeight="1" outlineLevel="2" x14ac:dyDescent="0.2">
      <c r="A758" s="18"/>
      <c r="B758" s="18"/>
      <c r="C758" s="18"/>
      <c r="D758" s="33" t="s">
        <v>3258</v>
      </c>
      <c r="E758" s="18" t="s">
        <v>1361</v>
      </c>
      <c r="F758" s="18" t="s">
        <v>1374</v>
      </c>
      <c r="G758" s="36" t="s">
        <v>1375</v>
      </c>
      <c r="H758" s="18" t="s">
        <v>1326</v>
      </c>
      <c r="I758" s="18" t="s">
        <v>3045</v>
      </c>
      <c r="K758" s="25">
        <v>3</v>
      </c>
      <c r="L758" s="25">
        <v>4</v>
      </c>
    </row>
    <row r="759" spans="1:12" ht="18" hidden="1" customHeight="1" outlineLevel="2" x14ac:dyDescent="0.2">
      <c r="A759" s="18"/>
      <c r="B759" s="18"/>
      <c r="C759" s="18"/>
      <c r="D759" s="33" t="s">
        <v>3259</v>
      </c>
      <c r="E759" s="18" t="s">
        <v>1361</v>
      </c>
      <c r="F759" s="18" t="s">
        <v>1376</v>
      </c>
      <c r="G759" s="36" t="s">
        <v>1377</v>
      </c>
      <c r="H759" s="18" t="s">
        <v>1326</v>
      </c>
      <c r="I759" s="18" t="s">
        <v>3046</v>
      </c>
      <c r="K759" s="25">
        <v>3</v>
      </c>
      <c r="L759" s="25">
        <v>4</v>
      </c>
    </row>
    <row r="760" spans="1:12" ht="18" hidden="1" customHeight="1" outlineLevel="2" x14ac:dyDescent="0.2">
      <c r="A760" s="18"/>
      <c r="B760" s="18"/>
      <c r="C760" s="18"/>
      <c r="D760" s="33" t="s">
        <v>3260</v>
      </c>
      <c r="E760" s="18" t="s">
        <v>1361</v>
      </c>
      <c r="F760" s="18" t="s">
        <v>1378</v>
      </c>
      <c r="G760" s="36" t="s">
        <v>1379</v>
      </c>
      <c r="H760" s="18" t="s">
        <v>1326</v>
      </c>
      <c r="I760" s="18" t="s">
        <v>3047</v>
      </c>
      <c r="K760" s="25">
        <v>3</v>
      </c>
      <c r="L760" s="25">
        <v>4</v>
      </c>
    </row>
    <row r="761" spans="1:12" ht="18" hidden="1" customHeight="1" outlineLevel="2" x14ac:dyDescent="0.2">
      <c r="A761" s="18"/>
      <c r="B761" s="18"/>
      <c r="C761" s="18"/>
      <c r="D761" s="18" t="s">
        <v>3261</v>
      </c>
      <c r="E761" s="18" t="s">
        <v>1361</v>
      </c>
      <c r="F761" s="18" t="s">
        <v>1380</v>
      </c>
      <c r="G761" s="36" t="s">
        <v>1381</v>
      </c>
      <c r="H761" s="18" t="s">
        <v>1326</v>
      </c>
      <c r="I761" s="18" t="s">
        <v>3048</v>
      </c>
    </row>
    <row r="762" spans="1:12" ht="18" hidden="1" customHeight="1" outlineLevel="2" x14ac:dyDescent="0.2">
      <c r="A762" s="18"/>
      <c r="B762" s="18"/>
      <c r="C762" s="18"/>
      <c r="D762" s="18"/>
      <c r="E762" s="18"/>
      <c r="F762" s="18"/>
      <c r="G762" s="36"/>
      <c r="H762" s="18"/>
      <c r="I762" s="18"/>
    </row>
    <row r="763" spans="1:12" ht="18" hidden="1" customHeight="1" outlineLevel="2" x14ac:dyDescent="0.2">
      <c r="A763" s="18"/>
      <c r="B763" s="18"/>
      <c r="C763" s="18"/>
      <c r="D763" s="33" t="s">
        <v>3040</v>
      </c>
      <c r="E763" s="18" t="s">
        <v>1361</v>
      </c>
      <c r="F763" s="18" t="s">
        <v>1382</v>
      </c>
      <c r="G763" s="36" t="s">
        <v>1383</v>
      </c>
      <c r="H763" s="18" t="s">
        <v>1326</v>
      </c>
      <c r="I763" s="18" t="s">
        <v>3049</v>
      </c>
      <c r="K763" s="25">
        <v>3</v>
      </c>
      <c r="L763" s="25">
        <v>4</v>
      </c>
    </row>
    <row r="764" spans="1:12" ht="18" hidden="1" customHeight="1" outlineLevel="2" x14ac:dyDescent="0.2">
      <c r="A764" s="18"/>
      <c r="B764" s="18"/>
      <c r="C764" s="18"/>
      <c r="D764" s="33" t="s">
        <v>3255</v>
      </c>
      <c r="E764" s="18" t="s">
        <v>1361</v>
      </c>
      <c r="F764" s="18" t="s">
        <v>1384</v>
      </c>
      <c r="G764" s="36" t="s">
        <v>1385</v>
      </c>
      <c r="H764" s="18" t="s">
        <v>1326</v>
      </c>
      <c r="I764" s="18" t="s">
        <v>3050</v>
      </c>
      <c r="K764" s="25">
        <v>3</v>
      </c>
      <c r="L764" s="25">
        <v>4</v>
      </c>
    </row>
    <row r="765" spans="1:12" ht="18" hidden="1" customHeight="1" outlineLevel="2" x14ac:dyDescent="0.2">
      <c r="A765" s="18"/>
      <c r="B765" s="18"/>
      <c r="C765" s="18"/>
      <c r="D765" s="18" t="s">
        <v>3044</v>
      </c>
      <c r="E765" s="18" t="s">
        <v>1361</v>
      </c>
      <c r="F765" s="18" t="s">
        <v>1386</v>
      </c>
      <c r="G765" s="36" t="s">
        <v>1387</v>
      </c>
      <c r="H765" s="18" t="s">
        <v>1326</v>
      </c>
      <c r="I765" s="18" t="s">
        <v>3051</v>
      </c>
    </row>
    <row r="766" spans="1:12" ht="18" hidden="1" customHeight="1" outlineLevel="2" x14ac:dyDescent="0.2">
      <c r="A766" s="18"/>
      <c r="B766" s="18"/>
      <c r="C766" s="18"/>
      <c r="D766" s="18" t="s">
        <v>3258</v>
      </c>
      <c r="E766" s="18" t="s">
        <v>1361</v>
      </c>
      <c r="F766" s="18" t="s">
        <v>1388</v>
      </c>
      <c r="G766" s="36" t="s">
        <v>1389</v>
      </c>
      <c r="H766" s="18" t="s">
        <v>1326</v>
      </c>
      <c r="I766" s="18" t="s">
        <v>3051</v>
      </c>
    </row>
    <row r="767" spans="1:12" ht="18" hidden="1" customHeight="1" outlineLevel="2" x14ac:dyDescent="0.2">
      <c r="A767" s="18"/>
      <c r="B767" s="18"/>
      <c r="C767" s="18"/>
      <c r="D767" s="18"/>
      <c r="E767" s="18"/>
      <c r="F767" s="18"/>
      <c r="G767" s="36"/>
      <c r="H767" s="18"/>
      <c r="I767" s="18"/>
    </row>
    <row r="768" spans="1:12" ht="18" hidden="1" customHeight="1" outlineLevel="2" x14ac:dyDescent="0.2">
      <c r="A768" s="18"/>
      <c r="B768" s="18"/>
      <c r="C768" s="18"/>
      <c r="D768" s="33" t="s">
        <v>352</v>
      </c>
      <c r="E768" s="18" t="s">
        <v>1306</v>
      </c>
      <c r="F768" s="18" t="s">
        <v>1307</v>
      </c>
      <c r="G768" s="36"/>
      <c r="H768" s="18"/>
      <c r="I768" s="18" t="s">
        <v>1308</v>
      </c>
    </row>
    <row r="769" spans="1:12" ht="18" hidden="1" customHeight="1" outlineLevel="2" x14ac:dyDescent="0.2">
      <c r="A769" s="18"/>
      <c r="B769" s="18"/>
      <c r="C769" s="18"/>
      <c r="D769" s="18" t="s">
        <v>352</v>
      </c>
      <c r="E769" s="18" t="s">
        <v>1475</v>
      </c>
      <c r="F769" s="18" t="s">
        <v>1476</v>
      </c>
      <c r="G769" s="36"/>
      <c r="H769" s="18"/>
      <c r="I769" s="18"/>
    </row>
    <row r="770" spans="1:12" ht="18" hidden="1" customHeight="1" outlineLevel="2" x14ac:dyDescent="0.2">
      <c r="A770" s="18"/>
      <c r="B770" s="18"/>
      <c r="C770" s="18"/>
      <c r="D770" s="18" t="s">
        <v>352</v>
      </c>
      <c r="E770" s="18" t="s">
        <v>1475</v>
      </c>
      <c r="F770" s="18" t="s">
        <v>1477</v>
      </c>
      <c r="G770" s="36"/>
      <c r="H770" s="18"/>
      <c r="I770" s="18"/>
    </row>
    <row r="771" spans="1:12" ht="18" hidden="1" customHeight="1" outlineLevel="2" x14ac:dyDescent="0.2">
      <c r="A771" s="18"/>
      <c r="B771" s="18"/>
      <c r="C771" s="18"/>
      <c r="D771" s="33" t="s">
        <v>352</v>
      </c>
      <c r="E771" s="18" t="s">
        <v>1475</v>
      </c>
      <c r="F771" s="18" t="s">
        <v>1478</v>
      </c>
      <c r="G771" s="36"/>
      <c r="H771" s="18"/>
      <c r="I771" s="18"/>
    </row>
    <row r="772" spans="1:12" ht="18" hidden="1" customHeight="1" outlineLevel="2" x14ac:dyDescent="0.2">
      <c r="A772" s="18"/>
      <c r="B772" s="18"/>
      <c r="C772" s="18"/>
      <c r="D772" s="33" t="s">
        <v>352</v>
      </c>
      <c r="E772" s="18" t="s">
        <v>1475</v>
      </c>
      <c r="F772" s="18" t="s">
        <v>1479</v>
      </c>
      <c r="G772" s="36"/>
      <c r="H772" s="18"/>
      <c r="I772" s="18"/>
    </row>
    <row r="773" spans="1:12" ht="18" hidden="1" customHeight="1" outlineLevel="2" x14ac:dyDescent="0.2">
      <c r="A773" s="18"/>
      <c r="B773" s="18"/>
      <c r="C773" s="18"/>
      <c r="D773" s="18" t="s">
        <v>3277</v>
      </c>
      <c r="E773" s="18" t="s">
        <v>1475</v>
      </c>
      <c r="F773" s="18" t="s">
        <v>1480</v>
      </c>
      <c r="G773" s="36"/>
      <c r="H773" s="18"/>
      <c r="I773" s="18"/>
    </row>
    <row r="774" spans="1:12" ht="18" hidden="1" customHeight="1" outlineLevel="2" x14ac:dyDescent="0.2">
      <c r="A774" s="18"/>
      <c r="B774" s="18"/>
      <c r="C774" s="18"/>
      <c r="D774" s="18" t="s">
        <v>3277</v>
      </c>
      <c r="E774" s="18" t="s">
        <v>1475</v>
      </c>
      <c r="F774" s="18" t="s">
        <v>1481</v>
      </c>
      <c r="G774" s="36"/>
      <c r="H774" s="18"/>
      <c r="I774" s="18"/>
    </row>
    <row r="775" spans="1:12" ht="18" hidden="1" customHeight="1" outlineLevel="2" x14ac:dyDescent="0.2">
      <c r="A775" s="18"/>
      <c r="B775" s="18"/>
      <c r="C775" s="18"/>
      <c r="D775" s="18"/>
      <c r="E775" s="18"/>
      <c r="F775" s="18"/>
      <c r="G775" s="36"/>
      <c r="H775" s="18"/>
      <c r="I775" s="18"/>
    </row>
    <row r="776" spans="1:12" ht="18" hidden="1" customHeight="1" outlineLevel="2" x14ac:dyDescent="0.2">
      <c r="A776" s="18"/>
      <c r="B776" s="18"/>
      <c r="C776" s="18"/>
      <c r="D776" s="33" t="s">
        <v>3052</v>
      </c>
      <c r="E776" s="18" t="s">
        <v>1390</v>
      </c>
      <c r="F776" s="18" t="s">
        <v>1391</v>
      </c>
      <c r="G776" s="36" t="s">
        <v>1392</v>
      </c>
      <c r="H776" s="18" t="s">
        <v>1326</v>
      </c>
      <c r="I776" s="18" t="s">
        <v>1393</v>
      </c>
      <c r="K776" s="25">
        <v>2</v>
      </c>
      <c r="L776" s="25">
        <v>3</v>
      </c>
    </row>
    <row r="777" spans="1:12" ht="18" hidden="1" customHeight="1" outlineLevel="2" x14ac:dyDescent="0.2">
      <c r="A777" s="18"/>
      <c r="B777" s="18"/>
      <c r="C777" s="18"/>
      <c r="D777" s="33" t="s">
        <v>3053</v>
      </c>
      <c r="E777" s="18" t="s">
        <v>1390</v>
      </c>
      <c r="F777" s="18" t="s">
        <v>1394</v>
      </c>
      <c r="G777" s="36" t="s">
        <v>1395</v>
      </c>
      <c r="H777" s="18" t="s">
        <v>1326</v>
      </c>
      <c r="I777" s="18" t="s">
        <v>1393</v>
      </c>
      <c r="K777" s="25">
        <v>2</v>
      </c>
      <c r="L777" s="25">
        <v>3</v>
      </c>
    </row>
    <row r="778" spans="1:12" ht="18" hidden="1" customHeight="1" outlineLevel="2" x14ac:dyDescent="0.2">
      <c r="A778" s="18"/>
      <c r="B778" s="18"/>
      <c r="C778" s="18"/>
      <c r="D778" s="33" t="s">
        <v>3262</v>
      </c>
      <c r="E778" s="18" t="s">
        <v>1390</v>
      </c>
      <c r="F778" s="18" t="s">
        <v>1396</v>
      </c>
      <c r="G778" s="36" t="s">
        <v>1397</v>
      </c>
      <c r="H778" s="18" t="s">
        <v>1326</v>
      </c>
      <c r="I778" s="18" t="s">
        <v>3740</v>
      </c>
      <c r="K778" s="25">
        <v>2</v>
      </c>
      <c r="L778" s="25">
        <v>3</v>
      </c>
    </row>
    <row r="779" spans="1:12" ht="18" hidden="1" customHeight="1" outlineLevel="2" x14ac:dyDescent="0.2">
      <c r="A779" s="18"/>
      <c r="B779" s="18"/>
      <c r="C779" s="18"/>
      <c r="D779" s="33" t="s">
        <v>352</v>
      </c>
      <c r="E779" s="18" t="s">
        <v>1390</v>
      </c>
      <c r="F779" s="18" t="s">
        <v>1398</v>
      </c>
      <c r="G779" s="36" t="s">
        <v>1399</v>
      </c>
      <c r="H779" s="18" t="s">
        <v>1326</v>
      </c>
      <c r="I779" s="18" t="s">
        <v>3741</v>
      </c>
      <c r="K779" s="25">
        <v>2</v>
      </c>
      <c r="L779" s="25">
        <v>3</v>
      </c>
    </row>
    <row r="780" spans="1:12" ht="18" hidden="1" customHeight="1" outlineLevel="2" x14ac:dyDescent="0.2">
      <c r="A780" s="18"/>
      <c r="B780" s="18"/>
      <c r="C780" s="18"/>
      <c r="D780" s="18" t="s">
        <v>3262</v>
      </c>
      <c r="E780" s="18" t="s">
        <v>1390</v>
      </c>
      <c r="F780" s="18" t="s">
        <v>1400</v>
      </c>
      <c r="G780" s="36" t="s">
        <v>1401</v>
      </c>
      <c r="H780" s="18" t="s">
        <v>1326</v>
      </c>
      <c r="I780" s="18" t="s">
        <v>3742</v>
      </c>
    </row>
    <row r="781" spans="1:12" ht="18" hidden="1" customHeight="1" outlineLevel="2" x14ac:dyDescent="0.2">
      <c r="A781" s="18"/>
      <c r="B781" s="18"/>
      <c r="C781" s="18"/>
      <c r="D781" s="18" t="s">
        <v>3052</v>
      </c>
      <c r="E781" s="18" t="s">
        <v>1390</v>
      </c>
      <c r="F781" s="18" t="s">
        <v>1391</v>
      </c>
      <c r="G781" s="36" t="s">
        <v>1392</v>
      </c>
      <c r="H781" s="18" t="s">
        <v>1326</v>
      </c>
      <c r="I781" s="18" t="s">
        <v>1393</v>
      </c>
    </row>
    <row r="782" spans="1:12" ht="18" hidden="1" customHeight="1" outlineLevel="2" x14ac:dyDescent="0.2">
      <c r="A782" s="18"/>
      <c r="B782" s="18"/>
      <c r="C782" s="18"/>
      <c r="D782" s="18"/>
      <c r="E782" s="18"/>
      <c r="F782" s="18"/>
      <c r="G782" s="36"/>
      <c r="H782" s="18"/>
      <c r="I782" s="18"/>
    </row>
    <row r="783" spans="1:12" ht="18" hidden="1" customHeight="1" outlineLevel="1" collapsed="1" x14ac:dyDescent="0.2">
      <c r="A783" s="119" t="s">
        <v>3722</v>
      </c>
      <c r="B783" s="120"/>
      <c r="C783" s="120"/>
      <c r="D783" s="120"/>
      <c r="E783" s="120"/>
      <c r="F783" s="120"/>
      <c r="G783" s="120"/>
      <c r="H783" s="120"/>
      <c r="I783" s="120"/>
      <c r="J783" s="120"/>
      <c r="K783" s="120"/>
      <c r="L783" s="160"/>
    </row>
    <row r="784" spans="1:12" ht="18" hidden="1" customHeight="1" outlineLevel="2" x14ac:dyDescent="0.2">
      <c r="A784" s="18"/>
      <c r="B784" s="18"/>
      <c r="C784" s="18"/>
      <c r="D784" s="18" t="s">
        <v>352</v>
      </c>
      <c r="E784" s="18" t="s">
        <v>1438</v>
      </c>
      <c r="F784" s="18" t="s">
        <v>1439</v>
      </c>
      <c r="G784" s="36" t="s">
        <v>1440</v>
      </c>
      <c r="H784" s="18" t="s">
        <v>1441</v>
      </c>
      <c r="I784" s="18"/>
      <c r="J784" s="25" t="s">
        <v>674</v>
      </c>
    </row>
    <row r="785" spans="1:12" ht="18" hidden="1" customHeight="1" outlineLevel="2" x14ac:dyDescent="0.2">
      <c r="A785" s="18"/>
      <c r="B785" s="18"/>
      <c r="C785" s="18"/>
      <c r="D785" s="18" t="s">
        <v>352</v>
      </c>
      <c r="E785" s="18" t="s">
        <v>1438</v>
      </c>
      <c r="F785" s="18" t="s">
        <v>1442</v>
      </c>
      <c r="G785" s="36" t="s">
        <v>1443</v>
      </c>
      <c r="H785" s="18" t="s">
        <v>1441</v>
      </c>
      <c r="I785" s="18"/>
      <c r="J785" s="25" t="s">
        <v>674</v>
      </c>
    </row>
    <row r="786" spans="1:12" ht="18" hidden="1" customHeight="1" outlineLevel="2" x14ac:dyDescent="0.2">
      <c r="A786" s="18"/>
      <c r="B786" s="18"/>
      <c r="C786" s="18"/>
      <c r="D786" s="33" t="s">
        <v>3270</v>
      </c>
      <c r="E786" s="18" t="s">
        <v>1438</v>
      </c>
      <c r="F786" s="18" t="s">
        <v>1444</v>
      </c>
      <c r="G786" s="36" t="s">
        <v>1445</v>
      </c>
      <c r="H786" s="18" t="s">
        <v>1441</v>
      </c>
      <c r="I786" s="18"/>
      <c r="J786" s="25" t="s">
        <v>674</v>
      </c>
      <c r="K786" s="25">
        <v>10</v>
      </c>
      <c r="L786" s="25">
        <v>12</v>
      </c>
    </row>
    <row r="787" spans="1:12" ht="18" hidden="1" customHeight="1" outlineLevel="2" x14ac:dyDescent="0.2">
      <c r="A787" s="18"/>
      <c r="B787" s="18"/>
      <c r="C787" s="18"/>
      <c r="D787" s="18" t="s">
        <v>352</v>
      </c>
      <c r="E787" s="18" t="s">
        <v>1438</v>
      </c>
      <c r="F787" s="18" t="s">
        <v>1446</v>
      </c>
      <c r="G787" s="36" t="s">
        <v>1447</v>
      </c>
      <c r="H787" s="18" t="s">
        <v>1441</v>
      </c>
      <c r="I787" s="18"/>
      <c r="J787" s="25" t="s">
        <v>674</v>
      </c>
    </row>
    <row r="788" spans="1:12" ht="18" hidden="1" customHeight="1" outlineLevel="2" x14ac:dyDescent="0.2">
      <c r="A788" s="18"/>
      <c r="B788" s="18"/>
      <c r="C788" s="18"/>
      <c r="D788" s="18" t="s">
        <v>352</v>
      </c>
      <c r="E788" s="18" t="s">
        <v>1438</v>
      </c>
      <c r="F788" s="18" t="s">
        <v>1448</v>
      </c>
      <c r="G788" s="36" t="s">
        <v>1449</v>
      </c>
      <c r="H788" s="18" t="s">
        <v>1441</v>
      </c>
      <c r="I788" s="18"/>
      <c r="J788" s="25" t="s">
        <v>674</v>
      </c>
    </row>
    <row r="789" spans="1:12" ht="18" hidden="1" customHeight="1" outlineLevel="2" x14ac:dyDescent="0.2">
      <c r="A789" s="18"/>
      <c r="B789" s="18"/>
      <c r="C789" s="18"/>
      <c r="D789" s="33" t="s">
        <v>3271</v>
      </c>
      <c r="E789" s="18" t="s">
        <v>1450</v>
      </c>
      <c r="F789" s="18"/>
      <c r="G789" s="36" t="s">
        <v>1451</v>
      </c>
      <c r="H789" s="18" t="s">
        <v>1441</v>
      </c>
      <c r="I789" s="18"/>
      <c r="J789" s="25" t="s">
        <v>674</v>
      </c>
      <c r="K789" s="25">
        <v>10</v>
      </c>
      <c r="L789" s="25">
        <v>12</v>
      </c>
    </row>
    <row r="790" spans="1:12" ht="18" hidden="1" customHeight="1" outlineLevel="2" x14ac:dyDescent="0.2">
      <c r="A790" s="18"/>
      <c r="B790" s="18"/>
      <c r="C790" s="18"/>
      <c r="D790" s="18"/>
      <c r="E790" s="18"/>
      <c r="F790" s="18"/>
      <c r="G790" s="36"/>
      <c r="H790" s="18"/>
      <c r="I790" s="18"/>
    </row>
    <row r="791" spans="1:12" ht="18" hidden="1" customHeight="1" outlineLevel="2" x14ac:dyDescent="0.2">
      <c r="A791" s="18"/>
      <c r="B791" s="18"/>
      <c r="C791" s="18"/>
      <c r="D791" s="18" t="s">
        <v>352</v>
      </c>
      <c r="E791" s="18" t="s">
        <v>3723</v>
      </c>
      <c r="F791" s="18" t="s">
        <v>1328</v>
      </c>
      <c r="G791" s="36" t="s">
        <v>1329</v>
      </c>
      <c r="H791" s="18" t="s">
        <v>1326</v>
      </c>
      <c r="I791" s="18"/>
    </row>
    <row r="792" spans="1:12" ht="18" hidden="1" customHeight="1" outlineLevel="2" x14ac:dyDescent="0.2">
      <c r="A792" s="18"/>
      <c r="B792" s="18"/>
      <c r="C792" s="18"/>
      <c r="D792" s="18" t="s">
        <v>352</v>
      </c>
      <c r="E792" s="18" t="s">
        <v>3723</v>
      </c>
      <c r="F792" s="18" t="s">
        <v>1330</v>
      </c>
      <c r="G792" s="36" t="s">
        <v>1331</v>
      </c>
      <c r="H792" s="18" t="s">
        <v>1326</v>
      </c>
      <c r="I792" s="18"/>
    </row>
    <row r="793" spans="1:12" ht="18" hidden="1" customHeight="1" outlineLevel="2" x14ac:dyDescent="0.2">
      <c r="A793" s="18"/>
      <c r="B793" s="18"/>
      <c r="C793" s="18"/>
      <c r="D793" s="18" t="s">
        <v>3054</v>
      </c>
      <c r="E793" s="18" t="s">
        <v>1402</v>
      </c>
      <c r="F793" s="18"/>
      <c r="G793" s="36" t="s">
        <v>1403</v>
      </c>
      <c r="H793" s="18" t="s">
        <v>1326</v>
      </c>
      <c r="I793" s="18"/>
    </row>
    <row r="794" spans="1:12" ht="18" hidden="1" customHeight="1" outlineLevel="2" x14ac:dyDescent="0.2">
      <c r="A794" s="18"/>
      <c r="B794" s="18"/>
      <c r="C794" s="18"/>
      <c r="D794" s="18" t="s">
        <v>3263</v>
      </c>
      <c r="E794" s="18" t="s">
        <v>71</v>
      </c>
      <c r="F794" s="18" t="s">
        <v>1413</v>
      </c>
      <c r="G794" s="36" t="s">
        <v>1414</v>
      </c>
      <c r="H794" s="18" t="s">
        <v>1326</v>
      </c>
      <c r="I794" s="18" t="s">
        <v>1415</v>
      </c>
      <c r="J794" s="25" t="s">
        <v>674</v>
      </c>
    </row>
    <row r="795" spans="1:12" ht="18" hidden="1" customHeight="1" outlineLevel="2" x14ac:dyDescent="0.2">
      <c r="A795" s="18"/>
      <c r="B795" s="18"/>
      <c r="C795" s="18"/>
      <c r="D795" s="18" t="s">
        <v>3264</v>
      </c>
      <c r="E795" s="18" t="s">
        <v>71</v>
      </c>
      <c r="F795" s="18" t="s">
        <v>1416</v>
      </c>
      <c r="G795" s="36" t="s">
        <v>1417</v>
      </c>
      <c r="H795" s="18" t="s">
        <v>1326</v>
      </c>
      <c r="I795" s="18" t="s">
        <v>1415</v>
      </c>
      <c r="J795" s="25" t="s">
        <v>674</v>
      </c>
    </row>
    <row r="796" spans="1:12" ht="18" hidden="1" customHeight="1" outlineLevel="2" x14ac:dyDescent="0.2">
      <c r="A796" s="18"/>
      <c r="B796" s="18"/>
      <c r="C796" s="18"/>
      <c r="D796" s="18" t="s">
        <v>352</v>
      </c>
      <c r="E796" s="18" t="s">
        <v>71</v>
      </c>
      <c r="F796" s="18" t="s">
        <v>1429</v>
      </c>
      <c r="G796" s="36" t="s">
        <v>1430</v>
      </c>
      <c r="H796" s="18" t="s">
        <v>1326</v>
      </c>
      <c r="I796" s="18" t="s">
        <v>1415</v>
      </c>
      <c r="J796" s="25" t="s">
        <v>674</v>
      </c>
    </row>
    <row r="797" spans="1:12" ht="18" hidden="1" customHeight="1" outlineLevel="2" x14ac:dyDescent="0.2">
      <c r="A797" s="18"/>
      <c r="B797" s="18"/>
      <c r="C797" s="18"/>
      <c r="D797" s="18" t="s">
        <v>352</v>
      </c>
      <c r="E797" s="18" t="s">
        <v>71</v>
      </c>
      <c r="F797" s="18" t="s">
        <v>1431</v>
      </c>
      <c r="G797" s="36" t="s">
        <v>1432</v>
      </c>
      <c r="H797" s="18" t="s">
        <v>1326</v>
      </c>
      <c r="I797" s="18" t="s">
        <v>1415</v>
      </c>
      <c r="J797" s="25" t="s">
        <v>674</v>
      </c>
    </row>
    <row r="798" spans="1:12" ht="18" hidden="1" customHeight="1" outlineLevel="2" x14ac:dyDescent="0.2">
      <c r="A798" s="18"/>
      <c r="B798" s="18"/>
      <c r="C798" s="18"/>
      <c r="D798" s="18" t="s">
        <v>352</v>
      </c>
      <c r="E798" s="18" t="s">
        <v>71</v>
      </c>
      <c r="F798" s="18" t="s">
        <v>1433</v>
      </c>
      <c r="G798" s="36" t="s">
        <v>1434</v>
      </c>
      <c r="H798" s="18" t="s">
        <v>1326</v>
      </c>
      <c r="I798" s="18" t="s">
        <v>1415</v>
      </c>
      <c r="J798" s="25" t="s">
        <v>674</v>
      </c>
    </row>
    <row r="799" spans="1:12" ht="18" hidden="1" customHeight="1" outlineLevel="2" x14ac:dyDescent="0.2">
      <c r="A799" s="18"/>
      <c r="B799" s="18"/>
      <c r="C799" s="18"/>
      <c r="D799" s="18" t="s">
        <v>352</v>
      </c>
      <c r="E799" s="18" t="s">
        <v>1435</v>
      </c>
      <c r="F799" s="18" t="s">
        <v>1436</v>
      </c>
      <c r="G799" s="36" t="s">
        <v>1437</v>
      </c>
      <c r="H799" s="18" t="s">
        <v>1326</v>
      </c>
      <c r="I799" s="18" t="s">
        <v>1415</v>
      </c>
      <c r="J799" s="25" t="s">
        <v>674</v>
      </c>
    </row>
    <row r="800" spans="1:12" ht="18" hidden="1" customHeight="1" outlineLevel="2" x14ac:dyDescent="0.2">
      <c r="A800" s="18"/>
      <c r="B800" s="18"/>
      <c r="C800" s="18"/>
      <c r="D800" s="18" t="s">
        <v>352</v>
      </c>
      <c r="E800" s="18" t="s">
        <v>1343</v>
      </c>
      <c r="F800" s="18" t="s">
        <v>1353</v>
      </c>
      <c r="G800" s="36" t="s">
        <v>1354</v>
      </c>
      <c r="H800" s="18" t="s">
        <v>1326</v>
      </c>
      <c r="I800" s="18"/>
      <c r="J800" s="25" t="s">
        <v>674</v>
      </c>
    </row>
    <row r="801" spans="1:12" ht="18" hidden="1" customHeight="1" outlineLevel="2" x14ac:dyDescent="0.2">
      <c r="A801" s="18"/>
      <c r="B801" s="18"/>
      <c r="C801" s="18"/>
      <c r="D801" s="18" t="s">
        <v>352</v>
      </c>
      <c r="E801" s="18" t="s">
        <v>1343</v>
      </c>
      <c r="F801" s="18" t="s">
        <v>1359</v>
      </c>
      <c r="G801" s="36" t="s">
        <v>1360</v>
      </c>
      <c r="H801" s="18" t="s">
        <v>1326</v>
      </c>
      <c r="I801" s="18"/>
      <c r="J801" s="25" t="s">
        <v>674</v>
      </c>
    </row>
    <row r="802" spans="1:12" ht="18" hidden="1" customHeight="1" outlineLevel="2" x14ac:dyDescent="0.2">
      <c r="D802" s="37" t="s">
        <v>3252</v>
      </c>
      <c r="E802" s="10" t="s">
        <v>1343</v>
      </c>
      <c r="G802" s="34" t="s">
        <v>1344</v>
      </c>
      <c r="H802" s="10" t="s">
        <v>1340</v>
      </c>
      <c r="J802" s="25" t="s">
        <v>674</v>
      </c>
    </row>
    <row r="803" spans="1:12" ht="18" hidden="1" customHeight="1" outlineLevel="2" x14ac:dyDescent="0.2">
      <c r="D803" s="10" t="s">
        <v>3265</v>
      </c>
      <c r="E803" s="10" t="s">
        <v>1418</v>
      </c>
      <c r="F803" s="10" t="s">
        <v>1419</v>
      </c>
      <c r="G803" s="34" t="s">
        <v>1420</v>
      </c>
      <c r="H803" s="10" t="s">
        <v>1326</v>
      </c>
      <c r="J803" s="25" t="s">
        <v>674</v>
      </c>
    </row>
    <row r="804" spans="1:12" ht="18" hidden="1" customHeight="1" outlineLevel="2" x14ac:dyDescent="0.2">
      <c r="D804" s="10" t="s">
        <v>3266</v>
      </c>
      <c r="E804" s="10" t="s">
        <v>1418</v>
      </c>
      <c r="F804" s="10" t="s">
        <v>1421</v>
      </c>
      <c r="G804" s="34" t="s">
        <v>1422</v>
      </c>
      <c r="H804" s="10" t="s">
        <v>1326</v>
      </c>
      <c r="J804" s="25" t="s">
        <v>674</v>
      </c>
    </row>
    <row r="805" spans="1:12" ht="18" hidden="1" customHeight="1" outlineLevel="2" x14ac:dyDescent="0.2">
      <c r="D805" s="10" t="s">
        <v>3267</v>
      </c>
      <c r="E805" s="10" t="s">
        <v>1418</v>
      </c>
      <c r="F805" s="10" t="s">
        <v>1423</v>
      </c>
      <c r="G805" s="34" t="s">
        <v>1424</v>
      </c>
      <c r="H805" s="10" t="s">
        <v>1326</v>
      </c>
      <c r="J805" s="25" t="s">
        <v>674</v>
      </c>
    </row>
    <row r="806" spans="1:12" ht="18" hidden="1" customHeight="1" outlineLevel="2" x14ac:dyDescent="0.2">
      <c r="A806" s="18"/>
      <c r="B806" s="18"/>
      <c r="C806" s="18"/>
      <c r="D806" s="18"/>
      <c r="E806" s="18"/>
      <c r="F806" s="18"/>
      <c r="G806" s="36"/>
      <c r="H806" s="18"/>
      <c r="I806" s="18"/>
    </row>
    <row r="807" spans="1:12" ht="18" hidden="1" customHeight="1" outlineLevel="1" collapsed="1" x14ac:dyDescent="0.2">
      <c r="A807" s="119" t="s">
        <v>3730</v>
      </c>
      <c r="B807" s="120"/>
      <c r="C807" s="120"/>
      <c r="D807" s="120"/>
      <c r="E807" s="120"/>
      <c r="F807" s="120"/>
      <c r="G807" s="120"/>
      <c r="H807" s="120"/>
      <c r="I807" s="120"/>
      <c r="J807" s="120"/>
      <c r="K807" s="120"/>
      <c r="L807" s="160"/>
    </row>
    <row r="808" spans="1:12" ht="18" hidden="1" customHeight="1" outlineLevel="2" x14ac:dyDescent="0.2">
      <c r="A808" s="18"/>
      <c r="B808" s="18"/>
      <c r="C808" s="18"/>
      <c r="D808" s="33" t="s">
        <v>3250</v>
      </c>
      <c r="E808" s="18" t="s">
        <v>1337</v>
      </c>
      <c r="F808" s="18" t="s">
        <v>1338</v>
      </c>
      <c r="G808" s="36" t="s">
        <v>1339</v>
      </c>
      <c r="H808" s="18" t="s">
        <v>1340</v>
      </c>
      <c r="I808" s="18"/>
      <c r="J808" s="25" t="s">
        <v>674</v>
      </c>
    </row>
    <row r="809" spans="1:12" ht="18" hidden="1" customHeight="1" outlineLevel="2" x14ac:dyDescent="0.2">
      <c r="A809" s="18"/>
      <c r="B809" s="18"/>
      <c r="C809" s="18"/>
      <c r="D809" s="33" t="s">
        <v>3251</v>
      </c>
      <c r="E809" s="18" t="s">
        <v>1337</v>
      </c>
      <c r="F809" s="18" t="s">
        <v>1341</v>
      </c>
      <c r="G809" s="36" t="s">
        <v>1342</v>
      </c>
      <c r="H809" s="18" t="s">
        <v>1340</v>
      </c>
      <c r="I809" s="18"/>
      <c r="J809" s="25" t="s">
        <v>674</v>
      </c>
    </row>
    <row r="810" spans="1:12" ht="18" hidden="1" customHeight="1" outlineLevel="2" x14ac:dyDescent="0.2">
      <c r="A810" s="18"/>
      <c r="B810" s="18"/>
      <c r="C810" s="18"/>
      <c r="D810" s="33" t="s">
        <v>3253</v>
      </c>
      <c r="E810" s="18" t="s">
        <v>1337</v>
      </c>
      <c r="F810" s="18" t="s">
        <v>1345</v>
      </c>
      <c r="G810" s="36" t="s">
        <v>1346</v>
      </c>
      <c r="H810" s="18" t="s">
        <v>1347</v>
      </c>
      <c r="I810" s="18"/>
      <c r="K810" s="25">
        <v>10</v>
      </c>
      <c r="L810" s="25">
        <v>15</v>
      </c>
    </row>
    <row r="811" spans="1:12" ht="18" hidden="1" customHeight="1" outlineLevel="2" x14ac:dyDescent="0.2">
      <c r="A811" s="18"/>
      <c r="B811" s="18"/>
      <c r="C811" s="18"/>
      <c r="D811" s="33" t="s">
        <v>3253</v>
      </c>
      <c r="E811" s="18" t="s">
        <v>1337</v>
      </c>
      <c r="F811" s="18" t="s">
        <v>1349</v>
      </c>
      <c r="G811" s="36" t="s">
        <v>1350</v>
      </c>
      <c r="H811" s="18" t="s">
        <v>1347</v>
      </c>
      <c r="I811" s="18"/>
      <c r="J811" s="25" t="s">
        <v>674</v>
      </c>
      <c r="K811" s="25">
        <v>10</v>
      </c>
      <c r="L811" s="25">
        <v>15</v>
      </c>
    </row>
    <row r="812" spans="1:12" ht="18" hidden="1" customHeight="1" outlineLevel="2" x14ac:dyDescent="0.2">
      <c r="A812" s="18"/>
      <c r="B812" s="18"/>
      <c r="C812" s="18"/>
      <c r="D812" s="18" t="s">
        <v>352</v>
      </c>
      <c r="E812" s="18" t="s">
        <v>1337</v>
      </c>
      <c r="F812" s="18" t="s">
        <v>1338</v>
      </c>
      <c r="G812" s="36" t="s">
        <v>1351</v>
      </c>
      <c r="H812" s="18" t="s">
        <v>1326</v>
      </c>
      <c r="I812" s="18"/>
      <c r="J812" s="25" t="s">
        <v>674</v>
      </c>
    </row>
    <row r="813" spans="1:12" ht="18" hidden="1" customHeight="1" outlineLevel="2" x14ac:dyDescent="0.2">
      <c r="A813" s="18"/>
      <c r="B813" s="18"/>
      <c r="C813" s="18"/>
      <c r="D813" s="18" t="s">
        <v>352</v>
      </c>
      <c r="E813" s="18" t="s">
        <v>1337</v>
      </c>
      <c r="F813" s="18" t="s">
        <v>1341</v>
      </c>
      <c r="G813" s="36" t="s">
        <v>1352</v>
      </c>
      <c r="H813" s="18" t="s">
        <v>1326</v>
      </c>
      <c r="I813" s="18"/>
      <c r="J813" s="25" t="s">
        <v>674</v>
      </c>
    </row>
    <row r="814" spans="1:12" ht="18" hidden="1" customHeight="1" outlineLevel="2" x14ac:dyDescent="0.2">
      <c r="A814" s="18"/>
      <c r="B814" s="18"/>
      <c r="C814" s="18"/>
      <c r="D814" s="33" t="s">
        <v>352</v>
      </c>
      <c r="E814" s="18" t="s">
        <v>1337</v>
      </c>
      <c r="F814" s="18" t="s">
        <v>1355</v>
      </c>
      <c r="G814" s="36" t="s">
        <v>1356</v>
      </c>
      <c r="H814" s="18" t="s">
        <v>1326</v>
      </c>
      <c r="I814" s="18"/>
      <c r="J814" s="25" t="s">
        <v>674</v>
      </c>
    </row>
    <row r="815" spans="1:12" ht="18" hidden="1" customHeight="1" outlineLevel="2" x14ac:dyDescent="0.2">
      <c r="A815" s="18"/>
      <c r="B815" s="18"/>
      <c r="C815" s="18"/>
      <c r="D815" s="33" t="s">
        <v>352</v>
      </c>
      <c r="E815" s="18" t="s">
        <v>1337</v>
      </c>
      <c r="F815" s="18" t="s">
        <v>1357</v>
      </c>
      <c r="G815" s="36" t="s">
        <v>1358</v>
      </c>
      <c r="H815" s="18" t="s">
        <v>1326</v>
      </c>
      <c r="I815" s="18"/>
      <c r="J815" s="25" t="s">
        <v>674</v>
      </c>
    </row>
    <row r="816" spans="1:12" ht="18" hidden="1" customHeight="1" outlineLevel="2" x14ac:dyDescent="0.2">
      <c r="A816" s="18"/>
      <c r="B816" s="18"/>
      <c r="C816" s="18"/>
      <c r="D816" s="33" t="s">
        <v>352</v>
      </c>
      <c r="E816" s="18" t="s">
        <v>1404</v>
      </c>
      <c r="F816" s="18" t="s">
        <v>1405</v>
      </c>
      <c r="G816" s="36" t="s">
        <v>1406</v>
      </c>
      <c r="H816" s="18" t="s">
        <v>1326</v>
      </c>
      <c r="I816" s="18" t="s">
        <v>3055</v>
      </c>
    </row>
    <row r="817" spans="1:12" ht="18" hidden="1" customHeight="1" outlineLevel="2" x14ac:dyDescent="0.2">
      <c r="A817" s="18"/>
      <c r="B817" s="18"/>
      <c r="C817" s="18"/>
      <c r="D817" s="33" t="s">
        <v>352</v>
      </c>
      <c r="E817" s="18" t="s">
        <v>1404</v>
      </c>
      <c r="F817" s="18" t="s">
        <v>1407</v>
      </c>
      <c r="G817" s="36" t="s">
        <v>1408</v>
      </c>
      <c r="H817" s="18" t="s">
        <v>1326</v>
      </c>
      <c r="I817" s="18" t="s">
        <v>3056</v>
      </c>
    </row>
    <row r="818" spans="1:12" ht="18" hidden="1" customHeight="1" outlineLevel="2" x14ac:dyDescent="0.2">
      <c r="A818" s="18"/>
      <c r="B818" s="18"/>
      <c r="C818" s="18"/>
      <c r="D818" s="18" t="s">
        <v>352</v>
      </c>
      <c r="E818" s="18" t="s">
        <v>1404</v>
      </c>
      <c r="F818" s="18" t="s">
        <v>1409</v>
      </c>
      <c r="G818" s="36" t="s">
        <v>1410</v>
      </c>
      <c r="H818" s="18" t="s">
        <v>1326</v>
      </c>
      <c r="I818" s="18" t="s">
        <v>3057</v>
      </c>
    </row>
    <row r="819" spans="1:12" ht="18" hidden="1" customHeight="1" outlineLevel="2" x14ac:dyDescent="0.2">
      <c r="A819" s="18"/>
      <c r="B819" s="18"/>
      <c r="C819" s="18"/>
      <c r="D819" s="33" t="s">
        <v>352</v>
      </c>
      <c r="E819" s="18" t="s">
        <v>1404</v>
      </c>
      <c r="F819" s="18" t="s">
        <v>1411</v>
      </c>
      <c r="G819" s="36" t="s">
        <v>1412</v>
      </c>
      <c r="H819" s="18" t="s">
        <v>1326</v>
      </c>
      <c r="I819" s="18" t="s">
        <v>3058</v>
      </c>
    </row>
    <row r="820" spans="1:12" ht="18" hidden="1" customHeight="1" outlineLevel="2" x14ac:dyDescent="0.2">
      <c r="A820" s="18"/>
      <c r="B820" s="18"/>
      <c r="C820" s="18"/>
      <c r="D820" s="18"/>
      <c r="E820" s="18"/>
      <c r="F820" s="18"/>
      <c r="G820" s="36"/>
      <c r="H820" s="18"/>
      <c r="I820" s="18"/>
    </row>
    <row r="821" spans="1:12" ht="18" hidden="1" customHeight="1" outlineLevel="1" collapsed="1" x14ac:dyDescent="0.2">
      <c r="A821" s="119" t="s">
        <v>3724</v>
      </c>
      <c r="B821" s="120"/>
      <c r="C821" s="120"/>
      <c r="D821" s="120"/>
      <c r="E821" s="120"/>
      <c r="F821" s="120"/>
      <c r="G821" s="120"/>
      <c r="H821" s="120"/>
      <c r="I821" s="120"/>
      <c r="J821" s="120"/>
      <c r="K821" s="120"/>
      <c r="L821" s="160"/>
    </row>
    <row r="822" spans="1:12" ht="18" hidden="1" customHeight="1" outlineLevel="2" x14ac:dyDescent="0.2">
      <c r="A822" s="25"/>
      <c r="B822" s="25"/>
      <c r="C822" s="25"/>
      <c r="D822" s="25" t="s">
        <v>3272</v>
      </c>
      <c r="E822" s="25" t="s">
        <v>70</v>
      </c>
      <c r="F822" s="25" t="s">
        <v>3726</v>
      </c>
      <c r="G822" s="25" t="s">
        <v>1452</v>
      </c>
      <c r="H822" s="25" t="s">
        <v>1326</v>
      </c>
      <c r="I822" s="25" t="s">
        <v>3736</v>
      </c>
      <c r="J822" s="25" t="s">
        <v>674</v>
      </c>
    </row>
    <row r="823" spans="1:12" ht="18" hidden="1" customHeight="1" outlineLevel="2" x14ac:dyDescent="0.2">
      <c r="A823" s="25"/>
      <c r="B823" s="25"/>
      <c r="C823" s="25"/>
      <c r="D823" s="25" t="s">
        <v>3273</v>
      </c>
      <c r="E823" s="25" t="s">
        <v>70</v>
      </c>
      <c r="F823" s="25" t="s">
        <v>1453</v>
      </c>
      <c r="G823" s="25" t="s">
        <v>1454</v>
      </c>
      <c r="H823" s="25" t="s">
        <v>1326</v>
      </c>
      <c r="I823" s="25" t="s">
        <v>3737</v>
      </c>
      <c r="J823" s="25" t="s">
        <v>674</v>
      </c>
    </row>
    <row r="824" spans="1:12" ht="18" hidden="1" customHeight="1" outlineLevel="2" x14ac:dyDescent="0.2">
      <c r="A824" s="25"/>
      <c r="B824" s="25"/>
      <c r="C824" s="25"/>
      <c r="D824" s="25" t="s">
        <v>3274</v>
      </c>
      <c r="E824" s="25" t="s">
        <v>70</v>
      </c>
      <c r="F824" s="25" t="s">
        <v>1455</v>
      </c>
      <c r="G824" s="25" t="s">
        <v>1456</v>
      </c>
      <c r="H824" s="25" t="s">
        <v>1326</v>
      </c>
      <c r="I824" s="25" t="s">
        <v>3738</v>
      </c>
      <c r="J824" s="25" t="s">
        <v>674</v>
      </c>
    </row>
    <row r="825" spans="1:12" ht="18" hidden="1" customHeight="1" outlineLevel="2" x14ac:dyDescent="0.2">
      <c r="A825" s="25"/>
      <c r="B825" s="25"/>
      <c r="C825" s="25"/>
      <c r="D825" s="25" t="s">
        <v>3275</v>
      </c>
      <c r="E825" s="25" t="s">
        <v>70</v>
      </c>
      <c r="F825" s="25" t="s">
        <v>3725</v>
      </c>
      <c r="G825" s="25" t="s">
        <v>1457</v>
      </c>
      <c r="H825" s="25" t="s">
        <v>1326</v>
      </c>
      <c r="I825" s="25" t="s">
        <v>3739</v>
      </c>
      <c r="J825" s="25" t="s">
        <v>674</v>
      </c>
    </row>
    <row r="826" spans="1:12" ht="18" hidden="1" customHeight="1" outlineLevel="2" x14ac:dyDescent="0.2">
      <c r="A826" s="25"/>
      <c r="B826" s="25"/>
      <c r="C826" s="25"/>
      <c r="D826" s="25" t="s">
        <v>3276</v>
      </c>
      <c r="E826" s="25" t="s">
        <v>70</v>
      </c>
      <c r="F826" s="25" t="s">
        <v>1458</v>
      </c>
      <c r="G826" s="25"/>
      <c r="H826" s="25" t="s">
        <v>1459</v>
      </c>
      <c r="I826" s="25" t="s">
        <v>1460</v>
      </c>
      <c r="J826" s="25" t="s">
        <v>674</v>
      </c>
    </row>
    <row r="827" spans="1:12" ht="18" hidden="1" customHeight="1" outlineLevel="2" x14ac:dyDescent="0.2">
      <c r="A827" s="25"/>
      <c r="B827" s="25"/>
      <c r="C827" s="25"/>
      <c r="D827" s="25" t="s">
        <v>3268</v>
      </c>
      <c r="E827" s="25" t="s">
        <v>3729</v>
      </c>
      <c r="F827" s="25" t="s">
        <v>1419</v>
      </c>
      <c r="G827" s="25" t="s">
        <v>1425</v>
      </c>
      <c r="H827" s="25" t="s">
        <v>1326</v>
      </c>
      <c r="I827" s="25" t="s">
        <v>1426</v>
      </c>
      <c r="J827" s="25" t="s">
        <v>674</v>
      </c>
    </row>
    <row r="828" spans="1:12" ht="18" hidden="1" customHeight="1" outlineLevel="2" x14ac:dyDescent="0.2">
      <c r="A828" s="25"/>
      <c r="B828" s="25"/>
      <c r="C828" s="25"/>
      <c r="D828" s="25" t="s">
        <v>3269</v>
      </c>
      <c r="E828" s="25" t="s">
        <v>3729</v>
      </c>
      <c r="F828" s="25" t="s">
        <v>1419</v>
      </c>
      <c r="G828" s="25" t="s">
        <v>1427</v>
      </c>
      <c r="H828" s="25" t="s">
        <v>1326</v>
      </c>
      <c r="I828" s="25" t="s">
        <v>1428</v>
      </c>
      <c r="J828" s="25" t="s">
        <v>674</v>
      </c>
    </row>
    <row r="829" spans="1:12" ht="18" hidden="1" customHeight="1" outlineLevel="2" x14ac:dyDescent="0.2">
      <c r="A829" s="25"/>
      <c r="B829" s="25"/>
      <c r="C829" s="25"/>
      <c r="D829" s="25"/>
      <c r="E829" s="25"/>
      <c r="F829" s="25"/>
      <c r="G829" s="25"/>
      <c r="H829" s="25"/>
      <c r="I829" s="25"/>
    </row>
    <row r="830" spans="1:12" ht="18" hidden="1" customHeight="1" outlineLevel="1" collapsed="1" x14ac:dyDescent="0.2">
      <c r="A830" s="119" t="s">
        <v>3727</v>
      </c>
      <c r="B830" s="120"/>
      <c r="C830" s="120"/>
      <c r="D830" s="120"/>
      <c r="E830" s="120"/>
      <c r="F830" s="120"/>
      <c r="G830" s="120"/>
      <c r="H830" s="120"/>
      <c r="I830" s="120"/>
      <c r="J830" s="120"/>
      <c r="K830" s="120"/>
      <c r="L830" s="160"/>
    </row>
    <row r="831" spans="1:12" ht="18" hidden="1" customHeight="1" outlineLevel="2" x14ac:dyDescent="0.2">
      <c r="A831" s="18"/>
      <c r="B831" s="18"/>
      <c r="C831" s="18"/>
      <c r="D831" s="18" t="s">
        <v>352</v>
      </c>
      <c r="E831" s="18" t="s">
        <v>1309</v>
      </c>
      <c r="F831" s="18" t="s">
        <v>1310</v>
      </c>
      <c r="G831" s="36" t="s">
        <v>1311</v>
      </c>
      <c r="H831" s="18" t="s">
        <v>1312</v>
      </c>
      <c r="I831" s="18" t="s">
        <v>1313</v>
      </c>
    </row>
    <row r="832" spans="1:12" ht="18" hidden="1" customHeight="1" outlineLevel="2" x14ac:dyDescent="0.2">
      <c r="A832" s="18"/>
      <c r="B832" s="18"/>
      <c r="C832" s="18"/>
      <c r="D832" s="18" t="s">
        <v>352</v>
      </c>
      <c r="E832" s="18" t="s">
        <v>1314</v>
      </c>
      <c r="F832" s="18" t="s">
        <v>1315</v>
      </c>
      <c r="G832" s="36" t="s">
        <v>1316</v>
      </c>
      <c r="H832" s="18" t="s">
        <v>1317</v>
      </c>
      <c r="I832" s="18" t="s">
        <v>1318</v>
      </c>
    </row>
    <row r="833" spans="1:16" ht="18" hidden="1" customHeight="1" outlineLevel="2" x14ac:dyDescent="0.2">
      <c r="A833" s="18"/>
      <c r="B833" s="18"/>
      <c r="C833" s="18"/>
      <c r="D833" s="18" t="s">
        <v>352</v>
      </c>
      <c r="E833" s="18" t="s">
        <v>1319</v>
      </c>
      <c r="F833" s="18" t="s">
        <v>1320</v>
      </c>
      <c r="G833" s="36" t="s">
        <v>1321</v>
      </c>
      <c r="H833" s="18" t="s">
        <v>711</v>
      </c>
      <c r="I833" s="18" t="s">
        <v>1322</v>
      </c>
    </row>
    <row r="834" spans="1:16" ht="18" hidden="1" customHeight="1" outlineLevel="2" x14ac:dyDescent="0.2">
      <c r="A834" s="18"/>
      <c r="B834" s="18"/>
      <c r="C834" s="18"/>
      <c r="D834" s="18" t="s">
        <v>352</v>
      </c>
      <c r="E834" s="18" t="s">
        <v>1323</v>
      </c>
      <c r="F834" s="18" t="s">
        <v>1324</v>
      </c>
      <c r="G834" s="36" t="s">
        <v>1325</v>
      </c>
      <c r="H834" s="18" t="s">
        <v>1326</v>
      </c>
      <c r="I834" s="18" t="s">
        <v>1327</v>
      </c>
    </row>
    <row r="835" spans="1:16" ht="18" hidden="1" customHeight="1" outlineLevel="2" x14ac:dyDescent="0.2">
      <c r="A835" s="18"/>
      <c r="B835" s="18"/>
      <c r="C835" s="18"/>
      <c r="D835" s="18" t="s">
        <v>352</v>
      </c>
      <c r="E835" s="18" t="s">
        <v>1332</v>
      </c>
      <c r="F835" s="18" t="s">
        <v>1333</v>
      </c>
      <c r="G835" s="36" t="s">
        <v>1334</v>
      </c>
      <c r="H835" s="18" t="s">
        <v>1317</v>
      </c>
      <c r="I835" s="18" t="s">
        <v>3734</v>
      </c>
      <c r="J835" s="25" t="s">
        <v>674</v>
      </c>
    </row>
    <row r="836" spans="1:16" ht="18" hidden="1" customHeight="1" outlineLevel="2" x14ac:dyDescent="0.2">
      <c r="A836" s="18"/>
      <c r="B836" s="18"/>
      <c r="C836" s="18"/>
      <c r="D836" s="18" t="s">
        <v>352</v>
      </c>
      <c r="E836" s="18" t="s">
        <v>1332</v>
      </c>
      <c r="F836" s="18" t="s">
        <v>1335</v>
      </c>
      <c r="G836" s="36" t="s">
        <v>1336</v>
      </c>
      <c r="H836" s="18" t="s">
        <v>1317</v>
      </c>
      <c r="I836" s="18" t="s">
        <v>3735</v>
      </c>
      <c r="J836" s="25" t="s">
        <v>674</v>
      </c>
    </row>
    <row r="837" spans="1:16" ht="18" hidden="1" customHeight="1" outlineLevel="2" x14ac:dyDescent="0.25">
      <c r="A837" s="18"/>
      <c r="B837" s="18"/>
      <c r="C837" s="18"/>
      <c r="D837" s="18"/>
      <c r="E837" s="18"/>
      <c r="F837" s="18"/>
      <c r="G837" s="36"/>
      <c r="H837" s="18"/>
      <c r="I837" s="18"/>
      <c r="P837"/>
    </row>
    <row r="838" spans="1:16" ht="18" hidden="1" customHeight="1" outlineLevel="1" x14ac:dyDescent="0.2">
      <c r="A838" s="119" t="s">
        <v>3744</v>
      </c>
      <c r="B838" s="120"/>
      <c r="C838" s="120"/>
      <c r="D838" s="120" t="s">
        <v>547</v>
      </c>
      <c r="E838" s="120" t="s">
        <v>547</v>
      </c>
      <c r="F838" s="120"/>
      <c r="G838" s="120"/>
      <c r="H838" s="120"/>
      <c r="I838" s="120"/>
      <c r="J838" s="120"/>
      <c r="K838" s="120"/>
      <c r="L838" s="160"/>
    </row>
    <row r="839" spans="1:16" ht="18" hidden="1" customHeight="1" outlineLevel="2" x14ac:dyDescent="0.2">
      <c r="A839" s="18"/>
      <c r="B839" s="18"/>
      <c r="C839" s="18"/>
      <c r="D839" s="18" t="s">
        <v>352</v>
      </c>
      <c r="E839" s="18" t="s">
        <v>1461</v>
      </c>
      <c r="F839" s="18" t="s">
        <v>1462</v>
      </c>
      <c r="G839" s="36" t="s">
        <v>1463</v>
      </c>
      <c r="H839" s="18" t="s">
        <v>1326</v>
      </c>
      <c r="I839" s="18" t="s">
        <v>1464</v>
      </c>
    </row>
    <row r="840" spans="1:16" ht="18" hidden="1" customHeight="1" outlineLevel="2" x14ac:dyDescent="0.2">
      <c r="A840" s="18"/>
      <c r="B840" s="18"/>
      <c r="C840" s="18"/>
      <c r="D840" s="18" t="s">
        <v>352</v>
      </c>
      <c r="E840" s="18" t="s">
        <v>1461</v>
      </c>
      <c r="F840" s="18" t="s">
        <v>1465</v>
      </c>
      <c r="G840" s="36" t="s">
        <v>1466</v>
      </c>
      <c r="H840" s="18" t="s">
        <v>1326</v>
      </c>
      <c r="I840" s="18" t="s">
        <v>1467</v>
      </c>
    </row>
    <row r="841" spans="1:16" ht="18" hidden="1" customHeight="1" outlineLevel="2" x14ac:dyDescent="0.2">
      <c r="A841" s="18"/>
      <c r="B841" s="18"/>
      <c r="C841" s="18"/>
      <c r="D841" s="18" t="s">
        <v>352</v>
      </c>
      <c r="E841" s="18" t="s">
        <v>1461</v>
      </c>
      <c r="F841" s="18" t="s">
        <v>1468</v>
      </c>
      <c r="G841" s="36" t="s">
        <v>1469</v>
      </c>
      <c r="H841" s="18" t="s">
        <v>1326</v>
      </c>
      <c r="I841" s="18" t="s">
        <v>1470</v>
      </c>
    </row>
    <row r="842" spans="1:16" ht="18" hidden="1" customHeight="1" outlineLevel="2" x14ac:dyDescent="0.2">
      <c r="A842" s="18"/>
      <c r="B842" s="18"/>
      <c r="C842" s="18"/>
      <c r="D842" s="18" t="s">
        <v>352</v>
      </c>
      <c r="E842" s="18" t="s">
        <v>1461</v>
      </c>
      <c r="F842" s="18" t="s">
        <v>1462</v>
      </c>
      <c r="G842" s="36" t="s">
        <v>1471</v>
      </c>
      <c r="H842" s="18" t="s">
        <v>1326</v>
      </c>
      <c r="I842" s="18" t="s">
        <v>1470</v>
      </c>
    </row>
    <row r="843" spans="1:16" ht="18" hidden="1" customHeight="1" outlineLevel="2" x14ac:dyDescent="0.2">
      <c r="A843" s="18"/>
      <c r="B843" s="18"/>
      <c r="C843" s="18"/>
      <c r="D843" s="18" t="s">
        <v>352</v>
      </c>
      <c r="E843" s="18" t="s">
        <v>1461</v>
      </c>
      <c r="F843" s="18" t="s">
        <v>1472</v>
      </c>
      <c r="G843" s="36" t="s">
        <v>1473</v>
      </c>
      <c r="H843" s="18" t="s">
        <v>1326</v>
      </c>
      <c r="I843" s="18" t="s">
        <v>1474</v>
      </c>
    </row>
    <row r="844" spans="1:16" ht="18" hidden="1" customHeight="1" outlineLevel="2" x14ac:dyDescent="0.2">
      <c r="A844" s="18"/>
      <c r="B844" s="18"/>
      <c r="C844" s="18"/>
      <c r="D844" s="18"/>
      <c r="E844" s="38" t="s">
        <v>3733</v>
      </c>
      <c r="F844" s="18"/>
      <c r="G844" s="36"/>
      <c r="H844" s="18"/>
      <c r="I844" s="18"/>
    </row>
    <row r="845" spans="1:16" ht="18" hidden="1" customHeight="1" outlineLevel="2" x14ac:dyDescent="0.2">
      <c r="A845" s="18"/>
      <c r="B845" s="18"/>
      <c r="C845" s="18"/>
      <c r="D845" s="18" t="s">
        <v>352</v>
      </c>
      <c r="E845" s="18" t="s">
        <v>1482</v>
      </c>
      <c r="F845" s="18"/>
      <c r="G845" s="36" t="s">
        <v>1483</v>
      </c>
      <c r="H845" s="18" t="s">
        <v>1326</v>
      </c>
      <c r="I845" s="18"/>
    </row>
    <row r="846" spans="1:16" ht="18" hidden="1" customHeight="1" outlineLevel="2" x14ac:dyDescent="0.2">
      <c r="A846" s="18"/>
      <c r="B846" s="18"/>
      <c r="C846" s="18"/>
      <c r="D846" s="18" t="s">
        <v>352</v>
      </c>
      <c r="E846" s="18" t="s">
        <v>1484</v>
      </c>
      <c r="F846" s="18"/>
      <c r="G846" s="36" t="s">
        <v>1485</v>
      </c>
      <c r="H846" s="18" t="s">
        <v>1326</v>
      </c>
      <c r="I846" s="18"/>
    </row>
    <row r="847" spans="1:16" ht="18" hidden="1" customHeight="1" outlineLevel="2" x14ac:dyDescent="0.2">
      <c r="A847" s="18"/>
      <c r="B847" s="18"/>
      <c r="C847" s="18"/>
      <c r="D847" s="18" t="s">
        <v>352</v>
      </c>
      <c r="E847" s="18" t="s">
        <v>1486</v>
      </c>
      <c r="F847" s="18" t="s">
        <v>1487</v>
      </c>
      <c r="G847" s="36" t="s">
        <v>1488</v>
      </c>
      <c r="H847" s="18" t="s">
        <v>1326</v>
      </c>
      <c r="I847" s="18" t="s">
        <v>1489</v>
      </c>
    </row>
    <row r="848" spans="1:16" ht="18" hidden="1" customHeight="1" outlineLevel="2" x14ac:dyDescent="0.2">
      <c r="A848" s="18"/>
      <c r="B848" s="18"/>
      <c r="C848" s="18"/>
      <c r="D848" s="18" t="s">
        <v>352</v>
      </c>
      <c r="E848" s="18" t="s">
        <v>1490</v>
      </c>
      <c r="F848" s="18" t="s">
        <v>1491</v>
      </c>
      <c r="G848" s="36" t="s">
        <v>1492</v>
      </c>
      <c r="H848" s="18" t="s">
        <v>1326</v>
      </c>
      <c r="I848" s="18"/>
    </row>
    <row r="849" spans="1:12" ht="18" hidden="1" customHeight="1" outlineLevel="2" x14ac:dyDescent="0.2">
      <c r="A849" s="18"/>
      <c r="B849" s="18"/>
      <c r="C849" s="18"/>
      <c r="D849" s="18" t="s">
        <v>352</v>
      </c>
      <c r="E849" s="18" t="s">
        <v>1323</v>
      </c>
      <c r="F849" s="18" t="s">
        <v>1493</v>
      </c>
      <c r="G849" s="36" t="s">
        <v>1494</v>
      </c>
      <c r="H849" s="18" t="s">
        <v>1326</v>
      </c>
      <c r="I849" s="18"/>
    </row>
    <row r="850" spans="1:12" ht="18" hidden="1" customHeight="1" outlineLevel="2" x14ac:dyDescent="0.2">
      <c r="A850" s="18"/>
      <c r="B850" s="18"/>
      <c r="C850" s="18"/>
      <c r="D850" s="18" t="s">
        <v>352</v>
      </c>
      <c r="E850" s="18" t="s">
        <v>1495</v>
      </c>
      <c r="F850" s="18"/>
      <c r="G850" s="36" t="s">
        <v>1496</v>
      </c>
      <c r="H850" s="18" t="s">
        <v>1326</v>
      </c>
      <c r="I850" s="18"/>
    </row>
    <row r="851" spans="1:12" ht="18" hidden="1" customHeight="1" outlineLevel="2" x14ac:dyDescent="0.2">
      <c r="A851" s="18"/>
      <c r="B851" s="18"/>
      <c r="C851" s="18"/>
      <c r="D851" s="18" t="s">
        <v>352</v>
      </c>
      <c r="E851" s="18" t="s">
        <v>1497</v>
      </c>
      <c r="F851" s="18"/>
      <c r="G851" s="36" t="s">
        <v>1498</v>
      </c>
      <c r="H851" s="18" t="s">
        <v>1326</v>
      </c>
      <c r="I851" s="18"/>
    </row>
    <row r="852" spans="1:12" ht="18" hidden="1" customHeight="1" outlineLevel="2" x14ac:dyDescent="0.2">
      <c r="A852" s="18"/>
      <c r="B852" s="18"/>
      <c r="C852" s="18"/>
      <c r="D852" s="18"/>
      <c r="E852" s="38" t="s">
        <v>3732</v>
      </c>
      <c r="F852" s="18"/>
      <c r="G852" s="36"/>
      <c r="H852" s="18"/>
      <c r="I852" s="18"/>
    </row>
    <row r="853" spans="1:12" ht="18" hidden="1" customHeight="1" outlineLevel="2" x14ac:dyDescent="0.2">
      <c r="A853" s="18"/>
      <c r="B853" s="18"/>
      <c r="C853" s="18"/>
      <c r="D853" s="18" t="s">
        <v>3040</v>
      </c>
      <c r="E853" s="18" t="s">
        <v>1361</v>
      </c>
      <c r="F853" s="18" t="s">
        <v>1364</v>
      </c>
      <c r="G853" s="36" t="s">
        <v>1365</v>
      </c>
      <c r="H853" s="18" t="s">
        <v>1326</v>
      </c>
      <c r="I853" s="18"/>
    </row>
    <row r="854" spans="1:12" ht="18" hidden="1" customHeight="1" outlineLevel="2" x14ac:dyDescent="0.2">
      <c r="A854" s="18"/>
      <c r="B854" s="18"/>
      <c r="C854" s="18"/>
      <c r="D854" s="33" t="s">
        <v>3052</v>
      </c>
      <c r="E854" s="18" t="s">
        <v>1390</v>
      </c>
      <c r="F854" s="18" t="s">
        <v>1391</v>
      </c>
      <c r="G854" s="36" t="s">
        <v>1392</v>
      </c>
      <c r="H854" s="18" t="s">
        <v>1326</v>
      </c>
      <c r="I854" s="18" t="s">
        <v>1393</v>
      </c>
      <c r="K854" s="25">
        <v>2</v>
      </c>
      <c r="L854" s="25">
        <v>3</v>
      </c>
    </row>
    <row r="855" spans="1:12" ht="18" hidden="1" customHeight="1" outlineLevel="2" x14ac:dyDescent="0.2">
      <c r="A855" s="18"/>
      <c r="B855" s="18"/>
      <c r="C855" s="18"/>
      <c r="D855" s="18" t="s">
        <v>352</v>
      </c>
      <c r="E855" s="18" t="s">
        <v>1499</v>
      </c>
      <c r="F855" s="18" t="s">
        <v>1500</v>
      </c>
      <c r="G855" s="36" t="s">
        <v>1501</v>
      </c>
      <c r="H855" s="18" t="s">
        <v>1312</v>
      </c>
      <c r="I855" s="18" t="s">
        <v>1502</v>
      </c>
    </row>
    <row r="856" spans="1:12" ht="18" hidden="1" customHeight="1" outlineLevel="2" x14ac:dyDescent="0.2">
      <c r="A856" s="18"/>
      <c r="B856" s="18"/>
      <c r="C856" s="18"/>
      <c r="D856" s="18"/>
      <c r="E856" s="38" t="s">
        <v>3731</v>
      </c>
      <c r="F856" s="18"/>
      <c r="G856" s="36"/>
      <c r="H856" s="18"/>
      <c r="I856" s="18"/>
    </row>
    <row r="857" spans="1:12" ht="18" hidden="1" customHeight="1" outlineLevel="2" x14ac:dyDescent="0.2">
      <c r="A857" s="18"/>
      <c r="B857" s="18"/>
      <c r="C857" s="18"/>
      <c r="D857" s="18" t="s">
        <v>352</v>
      </c>
      <c r="E857" s="18" t="s">
        <v>1503</v>
      </c>
      <c r="F857" s="18" t="s">
        <v>1500</v>
      </c>
      <c r="G857" s="36">
        <v>13958</v>
      </c>
      <c r="H857" s="18" t="s">
        <v>1312</v>
      </c>
      <c r="I857" s="18" t="s">
        <v>1504</v>
      </c>
    </row>
    <row r="858" spans="1:12" ht="18" hidden="1" customHeight="1" outlineLevel="2" x14ac:dyDescent="0.2">
      <c r="A858" s="18"/>
      <c r="B858" s="18"/>
      <c r="C858" s="18"/>
      <c r="D858" s="18" t="s">
        <v>352</v>
      </c>
      <c r="E858" s="18" t="s">
        <v>1505</v>
      </c>
      <c r="F858" s="18" t="s">
        <v>1506</v>
      </c>
      <c r="G858" s="36" t="s">
        <v>1507</v>
      </c>
      <c r="H858" s="18" t="s">
        <v>1326</v>
      </c>
      <c r="I858" s="18"/>
    </row>
    <row r="859" spans="1:12" ht="18" hidden="1" customHeight="1" outlineLevel="2" x14ac:dyDescent="0.2">
      <c r="A859" s="18"/>
      <c r="B859" s="18"/>
      <c r="C859" s="18"/>
      <c r="D859" s="18" t="s">
        <v>1982</v>
      </c>
      <c r="E859" s="18" t="s">
        <v>1508</v>
      </c>
      <c r="F859" s="18" t="s">
        <v>1509</v>
      </c>
      <c r="G859" s="36">
        <v>13372</v>
      </c>
      <c r="H859" s="18" t="s">
        <v>1510</v>
      </c>
      <c r="I859" s="18"/>
    </row>
    <row r="860" spans="1:12" ht="18" hidden="1" customHeight="1" outlineLevel="2" x14ac:dyDescent="0.2">
      <c r="A860" s="18"/>
      <c r="B860" s="18"/>
      <c r="C860" s="18"/>
      <c r="D860" s="18" t="s">
        <v>3040</v>
      </c>
      <c r="E860" s="18" t="s">
        <v>1361</v>
      </c>
      <c r="F860" s="18" t="s">
        <v>1364</v>
      </c>
      <c r="G860" s="36" t="s">
        <v>1365</v>
      </c>
      <c r="H860" s="18" t="s">
        <v>1326</v>
      </c>
      <c r="I860" s="18"/>
    </row>
    <row r="861" spans="1:12" ht="18" hidden="1" customHeight="1" outlineLevel="2" x14ac:dyDescent="0.2">
      <c r="A861" s="18"/>
      <c r="B861" s="18"/>
      <c r="C861" s="18"/>
      <c r="D861" s="18"/>
      <c r="E861" s="18"/>
      <c r="F861" s="18"/>
      <c r="G861" s="36"/>
      <c r="H861" s="18"/>
      <c r="I861" s="18"/>
    </row>
    <row r="862" spans="1:12" ht="18" customHeight="1" collapsed="1" x14ac:dyDescent="0.2">
      <c r="A862" s="131" t="s">
        <v>3743</v>
      </c>
      <c r="B862" s="132"/>
      <c r="C862" s="132"/>
      <c r="D862" s="132"/>
      <c r="E862" s="132"/>
      <c r="F862" s="132"/>
      <c r="G862" s="132"/>
      <c r="H862" s="132"/>
      <c r="I862" s="132"/>
      <c r="J862" s="132"/>
      <c r="K862" s="132"/>
      <c r="L862" s="176"/>
    </row>
    <row r="863" spans="1:12" ht="18" hidden="1" customHeight="1" outlineLevel="1" collapsed="1" x14ac:dyDescent="0.2">
      <c r="A863" s="119" t="s">
        <v>3747</v>
      </c>
      <c r="B863" s="120"/>
      <c r="C863" s="120"/>
      <c r="D863" s="120"/>
      <c r="E863" s="120"/>
      <c r="F863" s="120"/>
      <c r="G863" s="120"/>
      <c r="H863" s="120"/>
      <c r="I863" s="120"/>
      <c r="J863" s="120"/>
      <c r="K863" s="120"/>
      <c r="L863" s="160"/>
    </row>
    <row r="864" spans="1:12" ht="18" hidden="1" customHeight="1" outlineLevel="2" x14ac:dyDescent="0.2">
      <c r="A864" s="18"/>
      <c r="B864" s="18"/>
      <c r="C864" s="18"/>
      <c r="D864" s="18" t="s">
        <v>3278</v>
      </c>
      <c r="E864" s="18" t="s">
        <v>1511</v>
      </c>
      <c r="F864" s="18" t="s">
        <v>1512</v>
      </c>
      <c r="G864" s="36">
        <v>401015</v>
      </c>
      <c r="H864" s="18" t="s">
        <v>1513</v>
      </c>
      <c r="I864" s="18" t="s">
        <v>3796</v>
      </c>
      <c r="K864" s="25">
        <v>40</v>
      </c>
      <c r="L864" s="25">
        <v>50</v>
      </c>
    </row>
    <row r="865" spans="1:12" ht="18" hidden="1" customHeight="1" outlineLevel="2" x14ac:dyDescent="0.2">
      <c r="A865" s="18"/>
      <c r="B865" s="18"/>
      <c r="C865" s="18"/>
      <c r="D865" s="18" t="s">
        <v>352</v>
      </c>
      <c r="E865" s="18" t="s">
        <v>1514</v>
      </c>
      <c r="F865" s="18" t="s">
        <v>1515</v>
      </c>
      <c r="G865" s="36">
        <v>415001</v>
      </c>
      <c r="H865" s="18" t="s">
        <v>1513</v>
      </c>
      <c r="I865" s="18" t="s">
        <v>3778</v>
      </c>
    </row>
    <row r="866" spans="1:12" ht="18" hidden="1" customHeight="1" outlineLevel="2" x14ac:dyDescent="0.2">
      <c r="A866" s="18"/>
      <c r="B866" s="18"/>
      <c r="C866" s="18"/>
      <c r="D866" s="18" t="s">
        <v>3279</v>
      </c>
      <c r="E866" s="18" t="s">
        <v>1511</v>
      </c>
      <c r="F866" s="18" t="s">
        <v>1516</v>
      </c>
      <c r="G866" s="36">
        <v>401016</v>
      </c>
      <c r="H866" s="18" t="s">
        <v>1513</v>
      </c>
      <c r="I866" s="18" t="s">
        <v>3797</v>
      </c>
    </row>
    <row r="867" spans="1:12" ht="18" hidden="1" customHeight="1" outlineLevel="2" x14ac:dyDescent="0.2">
      <c r="A867" s="18"/>
      <c r="B867" s="18"/>
      <c r="C867" s="18"/>
      <c r="D867" s="18" t="s">
        <v>352</v>
      </c>
      <c r="E867" s="18" t="s">
        <v>1514</v>
      </c>
      <c r="F867" s="18" t="s">
        <v>1517</v>
      </c>
      <c r="G867" s="36">
        <v>415002</v>
      </c>
      <c r="H867" s="18" t="s">
        <v>1513</v>
      </c>
      <c r="I867" s="18" t="s">
        <v>3779</v>
      </c>
    </row>
    <row r="868" spans="1:12" ht="18" hidden="1" customHeight="1" outlineLevel="2" x14ac:dyDescent="0.2">
      <c r="A868" s="18"/>
      <c r="B868" s="18"/>
      <c r="C868" s="18"/>
      <c r="D868" s="18" t="s">
        <v>3280</v>
      </c>
      <c r="E868" s="18" t="s">
        <v>1511</v>
      </c>
      <c r="F868" s="18" t="s">
        <v>1518</v>
      </c>
      <c r="G868" s="36">
        <v>401017</v>
      </c>
      <c r="H868" s="18" t="s">
        <v>1513</v>
      </c>
      <c r="I868" s="18" t="s">
        <v>3798</v>
      </c>
      <c r="K868" s="25">
        <v>40</v>
      </c>
      <c r="L868" s="25">
        <v>50</v>
      </c>
    </row>
    <row r="869" spans="1:12" ht="18" hidden="1" customHeight="1" outlineLevel="2" x14ac:dyDescent="0.2">
      <c r="A869" s="18"/>
      <c r="B869" s="18"/>
      <c r="C869" s="18"/>
      <c r="D869" s="18" t="s">
        <v>352</v>
      </c>
      <c r="E869" s="18" t="s">
        <v>1514</v>
      </c>
      <c r="F869" s="18" t="s">
        <v>1519</v>
      </c>
      <c r="G869" s="36">
        <v>415003</v>
      </c>
      <c r="H869" s="18" t="s">
        <v>1513</v>
      </c>
      <c r="I869" s="18" t="s">
        <v>3780</v>
      </c>
      <c r="K869" s="25">
        <v>12</v>
      </c>
      <c r="L869" s="25">
        <v>15</v>
      </c>
    </row>
    <row r="870" spans="1:12" ht="18" hidden="1" customHeight="1" outlineLevel="2" x14ac:dyDescent="0.2">
      <c r="A870" s="18"/>
      <c r="B870" s="18"/>
      <c r="C870" s="18"/>
      <c r="D870" s="18" t="s">
        <v>3281</v>
      </c>
      <c r="E870" s="18" t="s">
        <v>1511</v>
      </c>
      <c r="F870" s="18" t="s">
        <v>1520</v>
      </c>
      <c r="G870" s="36">
        <v>401019</v>
      </c>
      <c r="H870" s="18" t="s">
        <v>1513</v>
      </c>
      <c r="I870" s="18" t="s">
        <v>3799</v>
      </c>
      <c r="K870" s="25">
        <v>24</v>
      </c>
      <c r="L870" s="25">
        <v>30</v>
      </c>
    </row>
    <row r="871" spans="1:12" ht="18" hidden="1" customHeight="1" outlineLevel="2" x14ac:dyDescent="0.2">
      <c r="A871" s="18"/>
      <c r="B871" s="18"/>
      <c r="C871" s="18"/>
      <c r="D871" s="18" t="s">
        <v>352</v>
      </c>
      <c r="E871" s="18" t="s">
        <v>1514</v>
      </c>
      <c r="F871" s="18" t="s">
        <v>1521</v>
      </c>
      <c r="G871" s="36">
        <v>415005</v>
      </c>
      <c r="H871" s="18" t="s">
        <v>1513</v>
      </c>
      <c r="I871" s="18" t="s">
        <v>3781</v>
      </c>
      <c r="K871" s="25">
        <v>12</v>
      </c>
      <c r="L871" s="25">
        <v>15</v>
      </c>
    </row>
    <row r="872" spans="1:12" ht="18" hidden="1" customHeight="1" outlineLevel="2" x14ac:dyDescent="0.2">
      <c r="A872" s="18"/>
      <c r="B872" s="18"/>
      <c r="C872" s="18"/>
      <c r="D872" s="18" t="s">
        <v>3282</v>
      </c>
      <c r="E872" s="18" t="s">
        <v>1511</v>
      </c>
      <c r="F872" s="18" t="s">
        <v>1522</v>
      </c>
      <c r="G872" s="36">
        <v>401021</v>
      </c>
      <c r="H872" s="18" t="s">
        <v>1513</v>
      </c>
      <c r="I872" s="18" t="s">
        <v>3800</v>
      </c>
      <c r="K872" s="25">
        <v>24</v>
      </c>
      <c r="L872" s="25">
        <v>30</v>
      </c>
    </row>
    <row r="873" spans="1:12" ht="18" hidden="1" customHeight="1" outlineLevel="2" x14ac:dyDescent="0.2">
      <c r="A873" s="18"/>
      <c r="B873" s="18"/>
      <c r="C873" s="18"/>
      <c r="D873" s="18" t="s">
        <v>352</v>
      </c>
      <c r="E873" s="18" t="s">
        <v>1514</v>
      </c>
      <c r="F873" s="18" t="s">
        <v>1523</v>
      </c>
      <c r="G873" s="36">
        <v>415007</v>
      </c>
      <c r="H873" s="18" t="s">
        <v>1513</v>
      </c>
      <c r="I873" s="18" t="s">
        <v>3782</v>
      </c>
      <c r="K873" s="25">
        <v>12</v>
      </c>
      <c r="L873" s="25">
        <v>15</v>
      </c>
    </row>
    <row r="874" spans="1:12" ht="18" hidden="1" customHeight="1" outlineLevel="2" x14ac:dyDescent="0.2">
      <c r="A874" s="18"/>
      <c r="B874" s="18"/>
      <c r="C874" s="18"/>
      <c r="D874" s="18" t="s">
        <v>352</v>
      </c>
      <c r="E874" s="18" t="s">
        <v>1511</v>
      </c>
      <c r="F874" s="18" t="s">
        <v>1524</v>
      </c>
      <c r="G874" s="36">
        <v>401024</v>
      </c>
      <c r="H874" s="18" t="s">
        <v>1513</v>
      </c>
      <c r="I874" s="18" t="s">
        <v>3801</v>
      </c>
    </row>
    <row r="875" spans="1:12" ht="18" hidden="1" customHeight="1" outlineLevel="2" x14ac:dyDescent="0.2">
      <c r="A875" s="18"/>
      <c r="B875" s="18"/>
      <c r="C875" s="18"/>
      <c r="D875" s="18" t="s">
        <v>352</v>
      </c>
      <c r="E875" s="18" t="s">
        <v>1514</v>
      </c>
      <c r="F875" s="18" t="s">
        <v>1525</v>
      </c>
      <c r="G875" s="36">
        <v>415010</v>
      </c>
      <c r="H875" s="18" t="s">
        <v>1513</v>
      </c>
      <c r="I875" s="18" t="s">
        <v>3783</v>
      </c>
    </row>
    <row r="876" spans="1:12" ht="18" hidden="1" customHeight="1" outlineLevel="2" x14ac:dyDescent="0.2">
      <c r="A876" s="18"/>
      <c r="B876" s="18"/>
      <c r="C876" s="18"/>
      <c r="D876" s="18" t="s">
        <v>352</v>
      </c>
      <c r="E876" s="18" t="s">
        <v>1511</v>
      </c>
      <c r="F876" s="18" t="s">
        <v>1526</v>
      </c>
      <c r="G876" s="36">
        <v>401026</v>
      </c>
      <c r="H876" s="18" t="s">
        <v>1513</v>
      </c>
      <c r="I876" s="18" t="s">
        <v>3802</v>
      </c>
    </row>
    <row r="877" spans="1:12" ht="18" hidden="1" customHeight="1" outlineLevel="2" x14ac:dyDescent="0.2">
      <c r="A877" s="18"/>
      <c r="B877" s="18"/>
      <c r="C877" s="18"/>
      <c r="D877" s="18" t="s">
        <v>352</v>
      </c>
      <c r="E877" s="18" t="s">
        <v>1514</v>
      </c>
      <c r="F877" s="18" t="s">
        <v>1527</v>
      </c>
      <c r="G877" s="36">
        <v>415012</v>
      </c>
      <c r="H877" s="18" t="s">
        <v>1513</v>
      </c>
      <c r="I877" s="18" t="s">
        <v>3784</v>
      </c>
    </row>
    <row r="878" spans="1:12" ht="18" hidden="1" customHeight="1" outlineLevel="2" x14ac:dyDescent="0.2">
      <c r="A878" s="18"/>
      <c r="B878" s="18"/>
      <c r="C878" s="18"/>
      <c r="D878" s="18" t="s">
        <v>352</v>
      </c>
      <c r="E878" s="18" t="s">
        <v>1511</v>
      </c>
      <c r="F878" s="18" t="s">
        <v>1528</v>
      </c>
      <c r="G878" s="36">
        <v>401028</v>
      </c>
      <c r="H878" s="18" t="s">
        <v>1513</v>
      </c>
      <c r="I878" s="18" t="s">
        <v>3803</v>
      </c>
    </row>
    <row r="879" spans="1:12" ht="18" hidden="1" customHeight="1" outlineLevel="2" x14ac:dyDescent="0.2">
      <c r="A879" s="18"/>
      <c r="B879" s="18"/>
      <c r="C879" s="18"/>
      <c r="D879" s="18" t="s">
        <v>352</v>
      </c>
      <c r="E879" s="18" t="s">
        <v>1514</v>
      </c>
      <c r="F879" s="18" t="s">
        <v>1529</v>
      </c>
      <c r="G879" s="36">
        <v>415016</v>
      </c>
      <c r="H879" s="18" t="s">
        <v>1513</v>
      </c>
      <c r="I879" s="18" t="s">
        <v>3785</v>
      </c>
    </row>
    <row r="880" spans="1:12" ht="18" hidden="1" customHeight="1" outlineLevel="2" x14ac:dyDescent="0.2">
      <c r="A880" s="18"/>
      <c r="B880" s="18"/>
      <c r="C880" s="18"/>
      <c r="D880" s="18" t="s">
        <v>352</v>
      </c>
      <c r="E880" s="18" t="s">
        <v>1511</v>
      </c>
      <c r="F880" s="18" t="s">
        <v>1530</v>
      </c>
      <c r="G880" s="36">
        <v>401057</v>
      </c>
      <c r="H880" s="18" t="s">
        <v>1513</v>
      </c>
      <c r="I880" s="18" t="s">
        <v>3804</v>
      </c>
    </row>
    <row r="881" spans="1:12" ht="18" hidden="1" customHeight="1" outlineLevel="2" x14ac:dyDescent="0.2">
      <c r="A881" s="18"/>
      <c r="B881" s="18"/>
      <c r="C881" s="18"/>
      <c r="D881" s="18" t="s">
        <v>352</v>
      </c>
      <c r="E881" s="18" t="s">
        <v>1514</v>
      </c>
      <c r="F881" s="18" t="s">
        <v>1531</v>
      </c>
      <c r="G881" s="36">
        <v>415018</v>
      </c>
      <c r="H881" s="18" t="s">
        <v>1513</v>
      </c>
      <c r="I881" s="18" t="s">
        <v>3786</v>
      </c>
    </row>
    <row r="882" spans="1:12" ht="18" hidden="1" customHeight="1" outlineLevel="2" x14ac:dyDescent="0.2">
      <c r="A882" s="18"/>
      <c r="B882" s="18"/>
      <c r="C882" s="18"/>
      <c r="D882" s="18" t="s">
        <v>352</v>
      </c>
      <c r="E882" s="18" t="s">
        <v>1532</v>
      </c>
      <c r="F882" s="18" t="s">
        <v>1533</v>
      </c>
      <c r="G882" s="36">
        <v>644024</v>
      </c>
      <c r="H882" s="18" t="s">
        <v>1513</v>
      </c>
      <c r="I882" s="18" t="s">
        <v>3787</v>
      </c>
    </row>
    <row r="883" spans="1:12" ht="18" hidden="1" customHeight="1" outlineLevel="2" x14ac:dyDescent="0.2">
      <c r="A883" s="18"/>
      <c r="B883" s="18"/>
      <c r="C883" s="18"/>
      <c r="D883" s="18" t="s">
        <v>352</v>
      </c>
      <c r="E883" s="18" t="s">
        <v>1534</v>
      </c>
      <c r="F883" s="18"/>
      <c r="G883" s="36" t="s">
        <v>1535</v>
      </c>
      <c r="H883" s="18" t="s">
        <v>1513</v>
      </c>
      <c r="I883" s="18"/>
      <c r="J883" s="25" t="s">
        <v>57</v>
      </c>
    </row>
    <row r="884" spans="1:12" ht="18" hidden="1" customHeight="1" outlineLevel="2" x14ac:dyDescent="0.2">
      <c r="A884" s="18"/>
      <c r="B884" s="18"/>
      <c r="C884" s="18"/>
      <c r="D884" s="18" t="s">
        <v>3283</v>
      </c>
      <c r="E884" s="18" t="s">
        <v>3746</v>
      </c>
      <c r="F884" s="18" t="s">
        <v>1536</v>
      </c>
      <c r="G884" s="36">
        <v>402010</v>
      </c>
      <c r="H884" s="18" t="s">
        <v>1513</v>
      </c>
      <c r="I884" s="18" t="s">
        <v>3788</v>
      </c>
    </row>
    <row r="885" spans="1:12" ht="18" hidden="1" customHeight="1" outlineLevel="2" x14ac:dyDescent="0.2">
      <c r="A885" s="18"/>
      <c r="B885" s="18"/>
      <c r="C885" s="18"/>
      <c r="D885" s="18" t="s">
        <v>352</v>
      </c>
      <c r="E885" s="18" t="s">
        <v>1537</v>
      </c>
      <c r="F885" s="18" t="s">
        <v>1538</v>
      </c>
      <c r="G885" s="36">
        <v>402002</v>
      </c>
      <c r="H885" s="18" t="s">
        <v>1513</v>
      </c>
      <c r="I885" s="18" t="s">
        <v>1539</v>
      </c>
      <c r="K885" s="25">
        <v>100</v>
      </c>
      <c r="L885" s="25">
        <v>120</v>
      </c>
    </row>
    <row r="886" spans="1:12" ht="18" hidden="1" customHeight="1" outlineLevel="2" x14ac:dyDescent="0.2">
      <c r="A886" s="18"/>
      <c r="B886" s="18"/>
      <c r="C886" s="18"/>
      <c r="D886" s="18" t="s">
        <v>352</v>
      </c>
      <c r="E886" s="18" t="s">
        <v>1540</v>
      </c>
      <c r="F886" s="18" t="s">
        <v>1541</v>
      </c>
      <c r="G886" s="36" t="s">
        <v>1542</v>
      </c>
      <c r="H886" s="18" t="s">
        <v>1513</v>
      </c>
      <c r="I886" s="18" t="s">
        <v>1543</v>
      </c>
    </row>
    <row r="887" spans="1:12" ht="18" hidden="1" customHeight="1" outlineLevel="2" x14ac:dyDescent="0.2">
      <c r="A887" s="18"/>
      <c r="B887" s="18"/>
      <c r="C887" s="18"/>
      <c r="D887" s="18" t="s">
        <v>352</v>
      </c>
      <c r="E887" s="18" t="s">
        <v>1544</v>
      </c>
      <c r="F887" s="18" t="s">
        <v>1545</v>
      </c>
      <c r="G887" s="36">
        <v>401</v>
      </c>
      <c r="H887" s="18" t="s">
        <v>1544</v>
      </c>
      <c r="I887" s="18" t="s">
        <v>1546</v>
      </c>
    </row>
    <row r="888" spans="1:12" ht="18" hidden="1" customHeight="1" outlineLevel="2" x14ac:dyDescent="0.2">
      <c r="A888" s="18"/>
      <c r="B888" s="18"/>
      <c r="C888" s="18"/>
      <c r="D888" s="18" t="s">
        <v>352</v>
      </c>
      <c r="E888" s="18" t="s">
        <v>1544</v>
      </c>
      <c r="F888" s="18" t="s">
        <v>1547</v>
      </c>
      <c r="G888" s="36" t="s">
        <v>1548</v>
      </c>
      <c r="H888" s="18" t="s">
        <v>1544</v>
      </c>
      <c r="I888" s="18" t="s">
        <v>3789</v>
      </c>
    </row>
    <row r="889" spans="1:12" ht="18" hidden="1" customHeight="1" outlineLevel="2" x14ac:dyDescent="0.2">
      <c r="A889" s="18"/>
      <c r="B889" s="18"/>
      <c r="C889" s="18"/>
      <c r="D889" s="18" t="s">
        <v>352</v>
      </c>
      <c r="E889" s="18" t="s">
        <v>1544</v>
      </c>
      <c r="F889" s="18" t="s">
        <v>1549</v>
      </c>
      <c r="G889" s="36" t="s">
        <v>1550</v>
      </c>
      <c r="H889" s="18" t="s">
        <v>1544</v>
      </c>
      <c r="I889" s="18" t="s">
        <v>3790</v>
      </c>
    </row>
    <row r="890" spans="1:12" ht="18" hidden="1" customHeight="1" outlineLevel="2" x14ac:dyDescent="0.2">
      <c r="A890" s="18"/>
      <c r="B890" s="18"/>
      <c r="C890" s="18"/>
      <c r="D890" s="18" t="s">
        <v>3284</v>
      </c>
      <c r="E890" s="18" t="s">
        <v>1544</v>
      </c>
      <c r="F890" s="18" t="s">
        <v>1551</v>
      </c>
      <c r="G890" s="36" t="s">
        <v>1552</v>
      </c>
      <c r="H890" s="18" t="s">
        <v>1544</v>
      </c>
      <c r="I890" s="18" t="s">
        <v>3791</v>
      </c>
    </row>
    <row r="891" spans="1:12" ht="18" hidden="1" customHeight="1" outlineLevel="2" x14ac:dyDescent="0.2">
      <c r="A891" s="18"/>
      <c r="B891" s="18"/>
      <c r="C891" s="18"/>
      <c r="D891" s="18" t="s">
        <v>3285</v>
      </c>
      <c r="E891" s="18" t="s">
        <v>1544</v>
      </c>
      <c r="F891" s="18" t="s">
        <v>1553</v>
      </c>
      <c r="G891" s="36" t="s">
        <v>1554</v>
      </c>
      <c r="H891" s="18" t="s">
        <v>1544</v>
      </c>
      <c r="I891" s="18" t="s">
        <v>3792</v>
      </c>
    </row>
    <row r="892" spans="1:12" ht="18" hidden="1" customHeight="1" outlineLevel="2" x14ac:dyDescent="0.2">
      <c r="A892" s="18"/>
      <c r="B892" s="18"/>
      <c r="C892" s="18"/>
      <c r="D892" s="18" t="s">
        <v>3286</v>
      </c>
      <c r="E892" s="18" t="s">
        <v>1544</v>
      </c>
      <c r="F892" s="18" t="s">
        <v>1555</v>
      </c>
      <c r="G892" s="36" t="s">
        <v>1556</v>
      </c>
      <c r="H892" s="18" t="s">
        <v>1544</v>
      </c>
      <c r="I892" s="18" t="s">
        <v>3793</v>
      </c>
    </row>
    <row r="893" spans="1:12" ht="18" hidden="1" customHeight="1" outlineLevel="2" x14ac:dyDescent="0.2">
      <c r="A893" s="18"/>
      <c r="B893" s="18"/>
      <c r="C893" s="18"/>
      <c r="D893" s="18" t="s">
        <v>3287</v>
      </c>
      <c r="E893" s="18" t="s">
        <v>1544</v>
      </c>
      <c r="F893" s="18" t="s">
        <v>1557</v>
      </c>
      <c r="G893" s="36" t="s">
        <v>1558</v>
      </c>
      <c r="H893" s="18" t="s">
        <v>1544</v>
      </c>
      <c r="I893" s="18" t="s">
        <v>3794</v>
      </c>
    </row>
    <row r="894" spans="1:12" ht="18" hidden="1" customHeight="1" outlineLevel="2" x14ac:dyDescent="0.2">
      <c r="A894" s="18"/>
      <c r="B894" s="18"/>
      <c r="C894" s="18"/>
      <c r="D894" s="18" t="s">
        <v>3288</v>
      </c>
      <c r="E894" s="18" t="s">
        <v>1544</v>
      </c>
      <c r="F894" s="18" t="s">
        <v>1559</v>
      </c>
      <c r="G894" s="36" t="s">
        <v>1560</v>
      </c>
      <c r="H894" s="18" t="s">
        <v>1544</v>
      </c>
      <c r="I894" s="18" t="s">
        <v>3795</v>
      </c>
    </row>
    <row r="895" spans="1:12" ht="18" hidden="1" customHeight="1" outlineLevel="2" x14ac:dyDescent="0.2">
      <c r="A895" s="18"/>
      <c r="B895" s="18"/>
      <c r="C895" s="18"/>
      <c r="D895" s="18" t="s">
        <v>352</v>
      </c>
      <c r="E895" s="18" t="s">
        <v>1561</v>
      </c>
      <c r="F895" s="18" t="s">
        <v>1562</v>
      </c>
      <c r="G895" s="36"/>
      <c r="H895" s="18" t="s">
        <v>1544</v>
      </c>
      <c r="I895" s="18"/>
      <c r="K895" s="25">
        <v>100</v>
      </c>
      <c r="L895" s="25">
        <v>130</v>
      </c>
    </row>
    <row r="896" spans="1:12" ht="18" hidden="1" customHeight="1" outlineLevel="2" x14ac:dyDescent="0.2">
      <c r="A896" s="18"/>
      <c r="B896" s="18"/>
      <c r="C896" s="18"/>
      <c r="D896" s="18" t="s">
        <v>352</v>
      </c>
      <c r="E896" s="18" t="s">
        <v>1563</v>
      </c>
      <c r="F896" s="18" t="s">
        <v>1564</v>
      </c>
      <c r="G896" s="36" t="s">
        <v>1565</v>
      </c>
      <c r="H896" s="18" t="s">
        <v>1544</v>
      </c>
      <c r="I896" s="18"/>
      <c r="K896" s="25" t="s">
        <v>242</v>
      </c>
      <c r="L896" s="25" t="s">
        <v>239</v>
      </c>
    </row>
    <row r="897" spans="1:12" ht="18" hidden="1" customHeight="1" outlineLevel="2" x14ac:dyDescent="0.2">
      <c r="A897" s="18"/>
      <c r="B897" s="18"/>
      <c r="C897" s="18"/>
      <c r="D897" s="18" t="s">
        <v>352</v>
      </c>
      <c r="E897" s="18" t="s">
        <v>1563</v>
      </c>
      <c r="F897" s="18" t="s">
        <v>1566</v>
      </c>
      <c r="G897" s="36" t="s">
        <v>1567</v>
      </c>
      <c r="H897" s="18" t="s">
        <v>1544</v>
      </c>
      <c r="I897" s="18"/>
      <c r="K897" s="25" t="s">
        <v>242</v>
      </c>
      <c r="L897" s="25" t="s">
        <v>239</v>
      </c>
    </row>
    <row r="898" spans="1:12" ht="18" hidden="1" customHeight="1" outlineLevel="2" x14ac:dyDescent="0.2">
      <c r="A898" s="18"/>
      <c r="B898" s="18"/>
      <c r="C898" s="18"/>
      <c r="D898" s="18" t="s">
        <v>352</v>
      </c>
      <c r="E898" s="18" t="s">
        <v>1568</v>
      </c>
      <c r="F898" s="18" t="s">
        <v>1569</v>
      </c>
      <c r="G898" s="36" t="s">
        <v>1570</v>
      </c>
      <c r="H898" s="18" t="s">
        <v>1544</v>
      </c>
      <c r="I898" s="18"/>
      <c r="K898" s="25" t="s">
        <v>242</v>
      </c>
      <c r="L898" s="25" t="s">
        <v>239</v>
      </c>
    </row>
    <row r="899" spans="1:12" ht="18" hidden="1" customHeight="1" outlineLevel="2" x14ac:dyDescent="0.2">
      <c r="A899" s="18"/>
      <c r="B899" s="18"/>
      <c r="C899" s="18"/>
      <c r="D899" s="18" t="s">
        <v>352</v>
      </c>
      <c r="E899" s="18" t="s">
        <v>1571</v>
      </c>
      <c r="F899" s="18" t="s">
        <v>1572</v>
      </c>
      <c r="G899" s="36" t="s">
        <v>1573</v>
      </c>
      <c r="H899" s="18" t="s">
        <v>1544</v>
      </c>
      <c r="I899" s="18"/>
    </row>
    <row r="900" spans="1:12" ht="18" hidden="1" customHeight="1" outlineLevel="2" x14ac:dyDescent="0.2">
      <c r="A900" s="18"/>
      <c r="B900" s="18"/>
      <c r="C900" s="18"/>
      <c r="D900" s="18" t="s">
        <v>352</v>
      </c>
      <c r="E900" s="18" t="s">
        <v>1574</v>
      </c>
      <c r="F900" s="18" t="s">
        <v>1575</v>
      </c>
      <c r="G900" s="36" t="s">
        <v>1576</v>
      </c>
      <c r="H900" s="18" t="s">
        <v>1544</v>
      </c>
      <c r="I900" s="18" t="s">
        <v>1577</v>
      </c>
    </row>
    <row r="901" spans="1:12" ht="18" hidden="1" customHeight="1" outlineLevel="2" x14ac:dyDescent="0.2">
      <c r="A901" s="18"/>
      <c r="B901" s="18"/>
      <c r="C901" s="18"/>
      <c r="D901" s="18" t="s">
        <v>352</v>
      </c>
      <c r="E901" s="18" t="s">
        <v>1574</v>
      </c>
      <c r="F901" s="18" t="s">
        <v>1578</v>
      </c>
      <c r="G901" s="36" t="s">
        <v>1579</v>
      </c>
      <c r="H901" s="18" t="s">
        <v>1544</v>
      </c>
      <c r="I901" s="18" t="s">
        <v>1580</v>
      </c>
    </row>
    <row r="902" spans="1:12" ht="18" hidden="1" customHeight="1" outlineLevel="2" x14ac:dyDescent="0.2">
      <c r="A902" s="18"/>
      <c r="B902" s="18"/>
      <c r="C902" s="18"/>
      <c r="D902" s="18" t="s">
        <v>352</v>
      </c>
      <c r="E902" s="18" t="s">
        <v>1581</v>
      </c>
      <c r="F902" s="18" t="s">
        <v>1582</v>
      </c>
      <c r="G902" s="36" t="s">
        <v>1583</v>
      </c>
      <c r="H902" s="18" t="s">
        <v>1544</v>
      </c>
      <c r="I902" s="18"/>
    </row>
    <row r="903" spans="1:12" ht="18" hidden="1" customHeight="1" outlineLevel="2" x14ac:dyDescent="0.2">
      <c r="A903" s="18"/>
      <c r="B903" s="18"/>
      <c r="C903" s="18"/>
      <c r="D903" s="18" t="s">
        <v>352</v>
      </c>
      <c r="E903" s="18" t="s">
        <v>1584</v>
      </c>
      <c r="F903" s="18" t="s">
        <v>1585</v>
      </c>
      <c r="G903" s="36" t="s">
        <v>1586</v>
      </c>
      <c r="H903" s="18" t="s">
        <v>1513</v>
      </c>
      <c r="I903" s="18" t="s">
        <v>1587</v>
      </c>
    </row>
    <row r="904" spans="1:12" ht="18" hidden="1" customHeight="1" outlineLevel="2" x14ac:dyDescent="0.2">
      <c r="A904" s="18"/>
      <c r="B904" s="18"/>
      <c r="C904" s="18"/>
      <c r="D904" s="18" t="s">
        <v>352</v>
      </c>
      <c r="E904" s="18" t="s">
        <v>1584</v>
      </c>
      <c r="F904" s="18" t="s">
        <v>1588</v>
      </c>
      <c r="G904" s="36" t="s">
        <v>1589</v>
      </c>
      <c r="H904" s="18" t="s">
        <v>1513</v>
      </c>
      <c r="I904" s="18"/>
    </row>
    <row r="905" spans="1:12" ht="18" hidden="1" customHeight="1" outlineLevel="2" x14ac:dyDescent="0.2">
      <c r="A905" s="18"/>
      <c r="B905" s="18"/>
      <c r="C905" s="18"/>
      <c r="D905" s="18" t="s">
        <v>352</v>
      </c>
      <c r="E905" s="18" t="s">
        <v>1584</v>
      </c>
      <c r="F905" s="18" t="s">
        <v>1590</v>
      </c>
      <c r="G905" s="36" t="s">
        <v>1591</v>
      </c>
      <c r="H905" s="18" t="s">
        <v>1513</v>
      </c>
      <c r="I905" s="18"/>
    </row>
    <row r="906" spans="1:12" ht="18" hidden="1" customHeight="1" outlineLevel="2" x14ac:dyDescent="0.2">
      <c r="A906" s="18"/>
      <c r="B906" s="18"/>
      <c r="C906" s="18"/>
      <c r="D906" s="18" t="s">
        <v>352</v>
      </c>
      <c r="E906" s="18" t="s">
        <v>1584</v>
      </c>
      <c r="F906" s="18" t="s">
        <v>1592</v>
      </c>
      <c r="G906" s="36" t="s">
        <v>1593</v>
      </c>
      <c r="H906" s="18" t="s">
        <v>1513</v>
      </c>
      <c r="I906" s="18"/>
    </row>
    <row r="907" spans="1:12" ht="18" hidden="1" customHeight="1" outlineLevel="2" x14ac:dyDescent="0.2">
      <c r="A907" s="18"/>
      <c r="B907" s="18"/>
      <c r="C907" s="18"/>
      <c r="D907" s="18" t="s">
        <v>352</v>
      </c>
      <c r="E907" s="18" t="s">
        <v>1584</v>
      </c>
      <c r="F907" s="18" t="s">
        <v>1594</v>
      </c>
      <c r="G907" s="36">
        <v>613009</v>
      </c>
      <c r="H907" s="18" t="s">
        <v>1513</v>
      </c>
      <c r="I907" s="18"/>
    </row>
    <row r="908" spans="1:12" ht="18" hidden="1" customHeight="1" outlineLevel="2" x14ac:dyDescent="0.2">
      <c r="A908" s="18"/>
      <c r="B908" s="18"/>
      <c r="C908" s="18"/>
      <c r="D908" s="18" t="s">
        <v>352</v>
      </c>
      <c r="E908" s="18" t="s">
        <v>1584</v>
      </c>
      <c r="F908" s="18" t="s">
        <v>1595</v>
      </c>
      <c r="G908" s="36" t="s">
        <v>1596</v>
      </c>
      <c r="H908" s="18" t="s">
        <v>1513</v>
      </c>
      <c r="I908" s="18"/>
    </row>
    <row r="909" spans="1:12" ht="18" hidden="1" customHeight="1" outlineLevel="2" x14ac:dyDescent="0.2">
      <c r="A909" s="18"/>
      <c r="B909" s="18"/>
      <c r="C909" s="18"/>
      <c r="D909" s="18" t="s">
        <v>352</v>
      </c>
      <c r="E909" s="18" t="s">
        <v>1597</v>
      </c>
      <c r="F909" s="18"/>
      <c r="G909" s="36" t="s">
        <v>1598</v>
      </c>
      <c r="H909" s="18" t="s">
        <v>1513</v>
      </c>
      <c r="I909" s="18" t="s">
        <v>1599</v>
      </c>
    </row>
    <row r="910" spans="1:12" ht="18" hidden="1" customHeight="1" outlineLevel="2" x14ac:dyDescent="0.2">
      <c r="A910" s="18"/>
      <c r="B910" s="18"/>
      <c r="C910" s="18"/>
      <c r="D910" s="18" t="s">
        <v>352</v>
      </c>
      <c r="E910" s="18" t="s">
        <v>1600</v>
      </c>
      <c r="F910" s="18"/>
      <c r="G910" s="36"/>
      <c r="H910" s="18"/>
      <c r="I910" s="18"/>
    </row>
    <row r="911" spans="1:12" ht="18" hidden="1" customHeight="1" outlineLevel="2" x14ac:dyDescent="0.2">
      <c r="A911" s="18"/>
      <c r="B911" s="18"/>
      <c r="C911" s="18"/>
      <c r="D911" s="18" t="s">
        <v>352</v>
      </c>
      <c r="E911" s="18" t="s">
        <v>1601</v>
      </c>
      <c r="F911" s="18"/>
      <c r="G911" s="36"/>
      <c r="H911" s="18"/>
      <c r="I911" s="18"/>
    </row>
    <row r="912" spans="1:12" ht="18" hidden="1" customHeight="1" outlineLevel="2" x14ac:dyDescent="0.2">
      <c r="A912" s="18"/>
      <c r="B912" s="18"/>
      <c r="C912" s="18"/>
      <c r="D912" s="18" t="s">
        <v>3289</v>
      </c>
      <c r="E912" s="18" t="s">
        <v>1602</v>
      </c>
      <c r="F912" s="18" t="s">
        <v>1603</v>
      </c>
      <c r="G912" s="36" t="s">
        <v>1604</v>
      </c>
      <c r="H912" s="18" t="s">
        <v>1513</v>
      </c>
      <c r="I912" s="18" t="s">
        <v>1605</v>
      </c>
    </row>
    <row r="913" spans="1:12" ht="18" hidden="1" customHeight="1" outlineLevel="2" x14ac:dyDescent="0.2">
      <c r="A913" s="18"/>
      <c r="B913" s="18"/>
      <c r="C913" s="18"/>
      <c r="D913" s="18" t="s">
        <v>352</v>
      </c>
      <c r="E913" s="18" t="s">
        <v>1601</v>
      </c>
      <c r="F913" s="18" t="s">
        <v>1606</v>
      </c>
      <c r="G913" s="36" t="s">
        <v>1607</v>
      </c>
      <c r="H913" s="18" t="s">
        <v>1513</v>
      </c>
      <c r="I913" s="18" t="s">
        <v>1608</v>
      </c>
    </row>
    <row r="914" spans="1:12" ht="18" hidden="1" customHeight="1" outlineLevel="2" x14ac:dyDescent="0.2">
      <c r="A914" s="18"/>
      <c r="B914" s="18"/>
      <c r="C914" s="18"/>
      <c r="D914" s="18" t="s">
        <v>3290</v>
      </c>
      <c r="E914" s="18" t="s">
        <v>1609</v>
      </c>
      <c r="F914" s="18" t="s">
        <v>1610</v>
      </c>
      <c r="G914" s="36" t="s">
        <v>1611</v>
      </c>
      <c r="H914" s="18" t="s">
        <v>1513</v>
      </c>
      <c r="I914" s="18"/>
      <c r="J914" s="25" t="s">
        <v>211</v>
      </c>
      <c r="K914" s="25" t="s">
        <v>237</v>
      </c>
      <c r="L914" s="25" t="s">
        <v>238</v>
      </c>
    </row>
    <row r="915" spans="1:12" ht="18" hidden="1" customHeight="1" outlineLevel="2" x14ac:dyDescent="0.2">
      <c r="A915" s="18"/>
      <c r="B915" s="18"/>
      <c r="C915" s="18"/>
      <c r="D915" s="18" t="s">
        <v>352</v>
      </c>
      <c r="E915" s="18" t="s">
        <v>1612</v>
      </c>
      <c r="F915" s="18" t="s">
        <v>1613</v>
      </c>
      <c r="G915" s="36" t="s">
        <v>1614</v>
      </c>
      <c r="H915" s="18" t="s">
        <v>1513</v>
      </c>
      <c r="I915" s="18"/>
      <c r="J915" s="25" t="s">
        <v>211</v>
      </c>
    </row>
    <row r="916" spans="1:12" ht="18" hidden="1" customHeight="1" outlineLevel="2" x14ac:dyDescent="0.2">
      <c r="A916" s="18"/>
      <c r="B916" s="18"/>
      <c r="C916" s="18"/>
      <c r="D916" s="18"/>
      <c r="E916" s="18"/>
      <c r="F916" s="18"/>
      <c r="G916" s="36"/>
      <c r="H916" s="18"/>
      <c r="I916" s="18"/>
    </row>
    <row r="917" spans="1:12" customFormat="1" ht="18" hidden="1" customHeight="1" outlineLevel="1" collapsed="1" x14ac:dyDescent="0.25">
      <c r="A917" s="119" t="s">
        <v>3821</v>
      </c>
      <c r="B917" s="120"/>
      <c r="C917" s="120"/>
      <c r="D917" s="120"/>
      <c r="E917" s="120"/>
      <c r="F917" s="120"/>
      <c r="G917" s="120"/>
      <c r="H917" s="120"/>
      <c r="I917" s="120"/>
      <c r="J917" s="120"/>
      <c r="K917" s="120"/>
      <c r="L917" s="160"/>
    </row>
    <row r="918" spans="1:12" ht="18" hidden="1" customHeight="1" outlineLevel="2" x14ac:dyDescent="0.2">
      <c r="A918" s="18"/>
      <c r="B918" s="18"/>
      <c r="C918" s="18"/>
      <c r="D918" s="18" t="s">
        <v>352</v>
      </c>
      <c r="E918" s="18" t="s">
        <v>1675</v>
      </c>
      <c r="F918" s="18" t="s">
        <v>1676</v>
      </c>
      <c r="G918" s="36" t="s">
        <v>1677</v>
      </c>
      <c r="H918" s="18" t="s">
        <v>202</v>
      </c>
      <c r="I918" s="18" t="s">
        <v>1678</v>
      </c>
      <c r="J918" s="25" t="s">
        <v>211</v>
      </c>
    </row>
    <row r="919" spans="1:12" ht="18" hidden="1" customHeight="1" outlineLevel="2" x14ac:dyDescent="0.2">
      <c r="A919" s="18"/>
      <c r="B919" s="18"/>
      <c r="C919" s="18"/>
      <c r="D919" s="18" t="s">
        <v>352</v>
      </c>
      <c r="E919" s="33" t="s">
        <v>1675</v>
      </c>
      <c r="F919" s="18" t="s">
        <v>1679</v>
      </c>
      <c r="G919" s="36" t="s">
        <v>1680</v>
      </c>
      <c r="H919" s="18" t="s">
        <v>202</v>
      </c>
      <c r="I919" s="18" t="s">
        <v>1678</v>
      </c>
      <c r="J919" s="25" t="s">
        <v>211</v>
      </c>
      <c r="K919" s="25" t="s">
        <v>237</v>
      </c>
      <c r="L919" s="25" t="s">
        <v>238</v>
      </c>
    </row>
    <row r="920" spans="1:12" ht="18" hidden="1" customHeight="1" outlineLevel="2" x14ac:dyDescent="0.2">
      <c r="A920" s="18"/>
      <c r="B920" s="18"/>
      <c r="C920" s="18"/>
      <c r="D920" s="18" t="s">
        <v>3304</v>
      </c>
      <c r="E920" s="33" t="s">
        <v>1675</v>
      </c>
      <c r="F920" s="18" t="s">
        <v>1681</v>
      </c>
      <c r="G920" s="36" t="s">
        <v>1682</v>
      </c>
      <c r="H920" s="18" t="s">
        <v>1638</v>
      </c>
      <c r="I920" s="18" t="s">
        <v>3805</v>
      </c>
      <c r="J920" s="25" t="s">
        <v>211</v>
      </c>
      <c r="K920" s="25" t="s">
        <v>236</v>
      </c>
      <c r="L920" s="25" t="s">
        <v>278</v>
      </c>
    </row>
    <row r="921" spans="1:12" ht="18" hidden="1" customHeight="1" outlineLevel="2" x14ac:dyDescent="0.2">
      <c r="A921" s="18"/>
      <c r="B921" s="18"/>
      <c r="C921" s="18"/>
      <c r="D921" s="18" t="s">
        <v>3305</v>
      </c>
      <c r="E921" s="33" t="s">
        <v>1675</v>
      </c>
      <c r="F921" s="18" t="s">
        <v>1683</v>
      </c>
      <c r="G921" s="36" t="s">
        <v>1684</v>
      </c>
      <c r="H921" s="18" t="s">
        <v>1638</v>
      </c>
      <c r="I921" s="18" t="s">
        <v>3807</v>
      </c>
      <c r="J921" s="25" t="s">
        <v>211</v>
      </c>
      <c r="K921" s="25" t="s">
        <v>236</v>
      </c>
      <c r="L921" s="25" t="s">
        <v>278</v>
      </c>
    </row>
    <row r="922" spans="1:12" ht="18" hidden="1" customHeight="1" outlineLevel="2" x14ac:dyDescent="0.2">
      <c r="A922" s="18"/>
      <c r="B922" s="18"/>
      <c r="C922" s="18"/>
      <c r="D922" s="18" t="s">
        <v>3306</v>
      </c>
      <c r="E922" s="33" t="s">
        <v>1675</v>
      </c>
      <c r="F922" s="18" t="s">
        <v>1685</v>
      </c>
      <c r="G922" s="36" t="s">
        <v>1686</v>
      </c>
      <c r="H922" s="18" t="s">
        <v>1638</v>
      </c>
      <c r="I922" s="18" t="s">
        <v>3806</v>
      </c>
      <c r="J922" s="25" t="s">
        <v>211</v>
      </c>
      <c r="K922" s="25" t="s">
        <v>237</v>
      </c>
      <c r="L922" s="25" t="s">
        <v>238</v>
      </c>
    </row>
    <row r="923" spans="1:12" ht="18" hidden="1" customHeight="1" outlineLevel="2" x14ac:dyDescent="0.2">
      <c r="A923" s="18"/>
      <c r="B923" s="18"/>
      <c r="C923" s="18"/>
      <c r="D923" s="18" t="s">
        <v>3307</v>
      </c>
      <c r="E923" s="33" t="s">
        <v>1687</v>
      </c>
      <c r="F923" s="18"/>
      <c r="G923" s="36" t="s">
        <v>1688</v>
      </c>
      <c r="H923" s="18" t="s">
        <v>1638</v>
      </c>
      <c r="I923" s="18" t="s">
        <v>3808</v>
      </c>
      <c r="J923" s="25" t="s">
        <v>211</v>
      </c>
      <c r="K923" s="25" t="s">
        <v>237</v>
      </c>
      <c r="L923" s="25" t="s">
        <v>238</v>
      </c>
    </row>
    <row r="924" spans="1:12" ht="18" hidden="1" customHeight="1" outlineLevel="2" x14ac:dyDescent="0.2">
      <c r="A924" s="18"/>
      <c r="B924" s="18"/>
      <c r="C924" s="18"/>
      <c r="D924" s="18" t="s">
        <v>3308</v>
      </c>
      <c r="E924" s="33" t="s">
        <v>1689</v>
      </c>
      <c r="F924" s="18"/>
      <c r="G924" s="36" t="s">
        <v>1690</v>
      </c>
      <c r="H924" s="18" t="s">
        <v>1638</v>
      </c>
      <c r="I924" s="18" t="s">
        <v>3809</v>
      </c>
      <c r="J924" s="25" t="s">
        <v>211</v>
      </c>
      <c r="K924" s="25" t="s">
        <v>237</v>
      </c>
      <c r="L924" s="25" t="s">
        <v>238</v>
      </c>
    </row>
    <row r="925" spans="1:12" ht="18" hidden="1" customHeight="1" outlineLevel="2" x14ac:dyDescent="0.2">
      <c r="A925" s="18"/>
      <c r="B925" s="18"/>
      <c r="C925" s="18"/>
      <c r="D925" s="18" t="s">
        <v>3308</v>
      </c>
      <c r="E925" s="18" t="s">
        <v>1691</v>
      </c>
      <c r="F925" s="18"/>
      <c r="G925" s="36" t="s">
        <v>1692</v>
      </c>
      <c r="H925" s="18" t="s">
        <v>711</v>
      </c>
      <c r="I925" s="18" t="s">
        <v>1678</v>
      </c>
      <c r="J925" s="25" t="s">
        <v>211</v>
      </c>
    </row>
    <row r="926" spans="1:12" ht="18" hidden="1" customHeight="1" outlineLevel="2" x14ac:dyDescent="0.2">
      <c r="A926" s="18"/>
      <c r="B926" s="18"/>
      <c r="C926" s="18"/>
      <c r="D926" s="18" t="s">
        <v>352</v>
      </c>
      <c r="E926" s="18" t="s">
        <v>1693</v>
      </c>
      <c r="F926" s="18" t="s">
        <v>1694</v>
      </c>
      <c r="G926" s="36" t="s">
        <v>1695</v>
      </c>
      <c r="H926" s="18" t="s">
        <v>202</v>
      </c>
      <c r="I926" s="18" t="s">
        <v>1696</v>
      </c>
      <c r="J926" s="25" t="s">
        <v>405</v>
      </c>
    </row>
    <row r="927" spans="1:12" ht="18" hidden="1" customHeight="1" outlineLevel="2" x14ac:dyDescent="0.2">
      <c r="A927" s="18"/>
      <c r="B927" s="18"/>
      <c r="C927" s="18"/>
      <c r="D927" s="18" t="s">
        <v>352</v>
      </c>
      <c r="E927" s="18" t="s">
        <v>1693</v>
      </c>
      <c r="F927" s="18" t="s">
        <v>1697</v>
      </c>
      <c r="G927" s="36" t="s">
        <v>1698</v>
      </c>
      <c r="H927" s="18" t="s">
        <v>202</v>
      </c>
      <c r="I927" s="18" t="s">
        <v>1696</v>
      </c>
      <c r="J927" s="25" t="s">
        <v>405</v>
      </c>
    </row>
    <row r="928" spans="1:12" ht="18" hidden="1" customHeight="1" outlineLevel="2" x14ac:dyDescent="0.2">
      <c r="A928" s="18"/>
      <c r="B928" s="18"/>
      <c r="C928" s="18"/>
      <c r="D928" s="18" t="s">
        <v>352</v>
      </c>
      <c r="E928" s="18" t="s">
        <v>1693</v>
      </c>
      <c r="F928" s="18" t="s">
        <v>1699</v>
      </c>
      <c r="G928" s="36" t="s">
        <v>1700</v>
      </c>
      <c r="H928" s="18" t="s">
        <v>202</v>
      </c>
      <c r="I928" s="18" t="s">
        <v>1696</v>
      </c>
      <c r="J928" s="25" t="s">
        <v>405</v>
      </c>
    </row>
    <row r="929" spans="1:14" ht="18" hidden="1" customHeight="1" outlineLevel="2" x14ac:dyDescent="0.2">
      <c r="A929" s="18"/>
      <c r="B929" s="18"/>
      <c r="C929" s="18"/>
      <c r="D929" s="18" t="s">
        <v>352</v>
      </c>
      <c r="E929" s="18" t="s">
        <v>1701</v>
      </c>
      <c r="F929" s="18" t="s">
        <v>1702</v>
      </c>
      <c r="G929" s="36" t="s">
        <v>1703</v>
      </c>
      <c r="H929" s="18" t="s">
        <v>711</v>
      </c>
      <c r="I929" s="18" t="s">
        <v>1678</v>
      </c>
      <c r="J929" s="25" t="s">
        <v>211</v>
      </c>
    </row>
    <row r="930" spans="1:14" ht="18" hidden="1" customHeight="1" outlineLevel="2" x14ac:dyDescent="0.2">
      <c r="A930" s="18"/>
      <c r="B930" s="18"/>
      <c r="C930" s="18"/>
      <c r="D930" s="18" t="s">
        <v>3309</v>
      </c>
      <c r="E930" s="33" t="s">
        <v>1701</v>
      </c>
      <c r="F930" s="18" t="s">
        <v>1704</v>
      </c>
      <c r="G930" s="36" t="s">
        <v>1705</v>
      </c>
      <c r="H930" s="18" t="s">
        <v>711</v>
      </c>
      <c r="I930" s="18" t="s">
        <v>1678</v>
      </c>
      <c r="J930" s="25" t="s">
        <v>211</v>
      </c>
      <c r="K930" s="25" t="s">
        <v>237</v>
      </c>
      <c r="L930" s="25" t="s">
        <v>238</v>
      </c>
    </row>
    <row r="931" spans="1:14" ht="18" hidden="1" customHeight="1" outlineLevel="2" x14ac:dyDescent="0.2">
      <c r="A931" s="18"/>
      <c r="B931" s="18"/>
      <c r="C931" s="18"/>
      <c r="D931" s="18" t="s">
        <v>3310</v>
      </c>
      <c r="E931" s="33" t="s">
        <v>1701</v>
      </c>
      <c r="F931" s="18" t="s">
        <v>1706</v>
      </c>
      <c r="G931" s="36" t="s">
        <v>1707</v>
      </c>
      <c r="H931" s="18" t="s">
        <v>711</v>
      </c>
      <c r="I931" s="18" t="s">
        <v>1678</v>
      </c>
      <c r="J931" s="25" t="s">
        <v>211</v>
      </c>
      <c r="K931" s="25" t="s">
        <v>237</v>
      </c>
      <c r="L931" s="25" t="s">
        <v>238</v>
      </c>
    </row>
    <row r="932" spans="1:14" ht="18" hidden="1" customHeight="1" outlineLevel="2" x14ac:dyDescent="0.2">
      <c r="A932" s="18"/>
      <c r="B932" s="18"/>
      <c r="C932" s="18"/>
      <c r="D932" s="18" t="s">
        <v>3311</v>
      </c>
      <c r="E932" s="33" t="s">
        <v>1708</v>
      </c>
      <c r="F932" s="18" t="s">
        <v>1702</v>
      </c>
      <c r="G932" s="36" t="s">
        <v>1709</v>
      </c>
      <c r="H932" s="18" t="s">
        <v>711</v>
      </c>
      <c r="I932" s="18" t="s">
        <v>1710</v>
      </c>
      <c r="J932" s="25" t="s">
        <v>211</v>
      </c>
      <c r="K932" s="25" t="s">
        <v>237</v>
      </c>
      <c r="L932" s="25" t="s">
        <v>238</v>
      </c>
    </row>
    <row r="933" spans="1:14" ht="18" hidden="1" customHeight="1" outlineLevel="2" x14ac:dyDescent="0.2">
      <c r="A933" s="18"/>
      <c r="B933" s="18"/>
      <c r="C933" s="18"/>
      <c r="D933" s="18" t="s">
        <v>3312</v>
      </c>
      <c r="E933" s="18" t="s">
        <v>3813</v>
      </c>
      <c r="F933" s="18"/>
      <c r="G933" s="36" t="s">
        <v>1711</v>
      </c>
      <c r="H933" s="18" t="s">
        <v>711</v>
      </c>
      <c r="I933" s="18"/>
      <c r="J933" s="25" t="s">
        <v>211</v>
      </c>
    </row>
    <row r="934" spans="1:14" ht="18" hidden="1" customHeight="1" outlineLevel="2" x14ac:dyDescent="0.2">
      <c r="A934" s="18"/>
      <c r="B934" s="18"/>
      <c r="C934" s="18"/>
      <c r="D934" s="18"/>
      <c r="E934" s="18"/>
      <c r="F934" s="18"/>
      <c r="G934" s="36"/>
      <c r="H934" s="18"/>
      <c r="I934" s="18"/>
    </row>
    <row r="935" spans="1:14" customFormat="1" ht="18" hidden="1" customHeight="1" outlineLevel="1" collapsed="1" x14ac:dyDescent="0.25">
      <c r="A935" s="119" t="s">
        <v>82</v>
      </c>
      <c r="B935" s="120"/>
      <c r="C935" s="120"/>
      <c r="D935" s="120"/>
      <c r="E935" s="120"/>
      <c r="F935" s="120"/>
      <c r="G935" s="120"/>
      <c r="H935" s="120"/>
      <c r="I935" s="120"/>
      <c r="J935" s="120"/>
      <c r="K935" s="120"/>
      <c r="L935" s="160"/>
    </row>
    <row r="936" spans="1:14" ht="18" hidden="1" customHeight="1" outlineLevel="2" x14ac:dyDescent="0.2">
      <c r="A936" s="18"/>
      <c r="B936" s="18"/>
      <c r="C936" s="18"/>
      <c r="D936" s="18" t="s">
        <v>352</v>
      </c>
      <c r="E936" s="18" t="s">
        <v>1615</v>
      </c>
      <c r="F936" s="18" t="s">
        <v>887</v>
      </c>
      <c r="G936" s="36"/>
      <c r="H936" s="18"/>
      <c r="I936" s="18" t="s">
        <v>3810</v>
      </c>
      <c r="J936" s="25" t="s">
        <v>3089</v>
      </c>
    </row>
    <row r="937" spans="1:14" ht="18" hidden="1" customHeight="1" outlineLevel="2" x14ac:dyDescent="0.2">
      <c r="A937" s="18"/>
      <c r="B937" s="18"/>
      <c r="C937" s="18"/>
      <c r="D937" s="18" t="s">
        <v>352</v>
      </c>
      <c r="E937" s="18" t="s">
        <v>1615</v>
      </c>
      <c r="F937" s="18" t="s">
        <v>891</v>
      </c>
      <c r="G937" s="36"/>
      <c r="H937" s="18"/>
      <c r="I937" s="18" t="s">
        <v>3810</v>
      </c>
      <c r="J937" s="25" t="s">
        <v>3089</v>
      </c>
    </row>
    <row r="938" spans="1:14" ht="18" hidden="1" customHeight="1" outlineLevel="2" x14ac:dyDescent="0.2">
      <c r="A938" s="18"/>
      <c r="B938" s="18"/>
      <c r="C938" s="18"/>
      <c r="D938" s="18" t="s">
        <v>352</v>
      </c>
      <c r="E938" s="18" t="s">
        <v>1615</v>
      </c>
      <c r="F938" s="18" t="s">
        <v>1616</v>
      </c>
      <c r="G938" s="36"/>
      <c r="H938" s="18"/>
      <c r="I938" s="18" t="s">
        <v>3810</v>
      </c>
      <c r="J938" s="25" t="s">
        <v>3089</v>
      </c>
    </row>
    <row r="939" spans="1:14" ht="18" hidden="1" customHeight="1" outlineLevel="2" x14ac:dyDescent="0.2">
      <c r="A939" s="18"/>
      <c r="B939" s="18"/>
      <c r="C939" s="18"/>
      <c r="D939" s="18" t="s">
        <v>352</v>
      </c>
      <c r="E939" s="18" t="s">
        <v>1617</v>
      </c>
      <c r="F939" s="18" t="s">
        <v>875</v>
      </c>
      <c r="G939" s="36"/>
      <c r="H939" s="18"/>
      <c r="I939" s="18" t="s">
        <v>3811</v>
      </c>
      <c r="J939" s="25" t="s">
        <v>3090</v>
      </c>
    </row>
    <row r="940" spans="1:14" ht="18" hidden="1" customHeight="1" outlineLevel="2" x14ac:dyDescent="0.2">
      <c r="A940" s="18"/>
      <c r="B940" s="18"/>
      <c r="C940" s="18"/>
      <c r="D940" s="18" t="s">
        <v>352</v>
      </c>
      <c r="E940" s="18" t="s">
        <v>1617</v>
      </c>
      <c r="F940" s="18" t="s">
        <v>878</v>
      </c>
      <c r="G940" s="36"/>
      <c r="H940" s="18"/>
      <c r="I940" s="18" t="s">
        <v>3811</v>
      </c>
      <c r="J940" s="25" t="s">
        <v>3090</v>
      </c>
    </row>
    <row r="941" spans="1:14" ht="18" hidden="1" customHeight="1" outlineLevel="2" x14ac:dyDescent="0.2">
      <c r="A941" s="18"/>
      <c r="B941" s="18"/>
      <c r="C941" s="18"/>
      <c r="D941" s="18" t="s">
        <v>352</v>
      </c>
      <c r="E941" s="33" t="s">
        <v>1617</v>
      </c>
      <c r="F941" s="18" t="s">
        <v>880</v>
      </c>
      <c r="G941" s="36"/>
      <c r="H941" s="18"/>
      <c r="I941" s="18" t="s">
        <v>3811</v>
      </c>
      <c r="J941" s="25" t="s">
        <v>3090</v>
      </c>
      <c r="K941" s="25">
        <v>100</v>
      </c>
      <c r="L941" s="25">
        <v>200</v>
      </c>
    </row>
    <row r="942" spans="1:14" ht="18" hidden="1" customHeight="1" outlineLevel="2" x14ac:dyDescent="0.2">
      <c r="A942" s="18"/>
      <c r="B942" s="18"/>
      <c r="C942" s="18"/>
      <c r="D942" s="18" t="s">
        <v>352</v>
      </c>
      <c r="E942" s="33" t="s">
        <v>1618</v>
      </c>
      <c r="F942" s="18" t="s">
        <v>875</v>
      </c>
      <c r="G942" s="36" t="s">
        <v>1619</v>
      </c>
      <c r="H942" s="18" t="s">
        <v>1620</v>
      </c>
      <c r="I942" s="18" t="s">
        <v>3811</v>
      </c>
      <c r="J942" s="25" t="s">
        <v>3090</v>
      </c>
      <c r="K942" s="25">
        <v>300</v>
      </c>
      <c r="L942" s="25">
        <v>400</v>
      </c>
    </row>
    <row r="943" spans="1:14" ht="18" hidden="1" customHeight="1" outlineLevel="2" x14ac:dyDescent="0.2">
      <c r="A943" s="18"/>
      <c r="B943" s="18"/>
      <c r="C943" s="18"/>
      <c r="D943" s="18"/>
      <c r="E943" s="18"/>
      <c r="F943" s="18"/>
      <c r="G943" s="36"/>
      <c r="H943" s="18"/>
      <c r="I943" s="18"/>
    </row>
    <row r="944" spans="1:14" customFormat="1" ht="18" hidden="1" customHeight="1" outlineLevel="1" collapsed="1" x14ac:dyDescent="0.25">
      <c r="A944" s="119" t="s">
        <v>80</v>
      </c>
      <c r="B944" s="120"/>
      <c r="C944" s="120"/>
      <c r="D944" s="120"/>
      <c r="E944" s="120"/>
      <c r="F944" s="120"/>
      <c r="G944" s="120"/>
      <c r="H944" s="120"/>
      <c r="I944" s="120"/>
      <c r="J944" s="120"/>
      <c r="K944" s="120"/>
      <c r="L944" s="160"/>
      <c r="N944" s="9"/>
    </row>
    <row r="945" spans="1:12" ht="18" hidden="1" customHeight="1" outlineLevel="2" x14ac:dyDescent="0.2">
      <c r="A945" s="18"/>
      <c r="B945" s="18"/>
      <c r="C945" s="18"/>
      <c r="D945" s="18" t="s">
        <v>3291</v>
      </c>
      <c r="E945" s="18" t="s">
        <v>1621</v>
      </c>
      <c r="F945" s="18" t="s">
        <v>1622</v>
      </c>
      <c r="G945" s="36"/>
      <c r="H945" s="18"/>
      <c r="I945" s="18" t="s">
        <v>398</v>
      </c>
      <c r="J945" s="25" t="s">
        <v>3091</v>
      </c>
    </row>
    <row r="946" spans="1:12" ht="18" hidden="1" customHeight="1" outlineLevel="2" x14ac:dyDescent="0.2">
      <c r="A946" s="18"/>
      <c r="B946" s="18"/>
      <c r="C946" s="18"/>
      <c r="D946" s="18" t="s">
        <v>352</v>
      </c>
      <c r="E946" s="18" t="s">
        <v>1623</v>
      </c>
      <c r="F946" s="18" t="s">
        <v>1624</v>
      </c>
      <c r="G946" s="36">
        <v>187590</v>
      </c>
      <c r="H946" s="18" t="s">
        <v>1625</v>
      </c>
      <c r="I946" s="18" t="s">
        <v>1626</v>
      </c>
      <c r="J946" s="25" t="s">
        <v>211</v>
      </c>
    </row>
    <row r="947" spans="1:12" ht="18" hidden="1" customHeight="1" outlineLevel="2" x14ac:dyDescent="0.2">
      <c r="A947" s="18"/>
      <c r="B947" s="18"/>
      <c r="C947" s="18"/>
      <c r="D947" s="18" t="s">
        <v>352</v>
      </c>
      <c r="E947" s="18" t="s">
        <v>1623</v>
      </c>
      <c r="F947" s="18" t="s">
        <v>1627</v>
      </c>
      <c r="G947" s="36" t="s">
        <v>1628</v>
      </c>
      <c r="H947" s="18" t="s">
        <v>1625</v>
      </c>
      <c r="I947" s="18" t="s">
        <v>1626</v>
      </c>
      <c r="J947" s="25" t="s">
        <v>211</v>
      </c>
    </row>
    <row r="948" spans="1:12" ht="18" hidden="1" customHeight="1" outlineLevel="2" x14ac:dyDescent="0.2">
      <c r="A948" s="18"/>
      <c r="B948" s="18"/>
      <c r="C948" s="18"/>
      <c r="D948" s="33" t="s">
        <v>3292</v>
      </c>
      <c r="E948" s="18" t="s">
        <v>1621</v>
      </c>
      <c r="F948" s="18" t="s">
        <v>1629</v>
      </c>
      <c r="G948" s="36"/>
      <c r="H948" s="18"/>
      <c r="I948" s="18" t="s">
        <v>398</v>
      </c>
      <c r="J948" s="25" t="s">
        <v>3092</v>
      </c>
      <c r="K948" s="25">
        <v>100</v>
      </c>
      <c r="L948" s="25">
        <v>120</v>
      </c>
    </row>
    <row r="949" spans="1:12" ht="18" hidden="1" customHeight="1" outlineLevel="2" x14ac:dyDescent="0.2">
      <c r="A949" s="18"/>
      <c r="B949" s="18"/>
      <c r="C949" s="18"/>
      <c r="D949" s="18" t="s">
        <v>352</v>
      </c>
      <c r="E949" s="18" t="s">
        <v>1623</v>
      </c>
      <c r="F949" s="18" t="s">
        <v>1624</v>
      </c>
      <c r="G949" s="36" t="s">
        <v>1630</v>
      </c>
      <c r="H949" s="18" t="s">
        <v>1625</v>
      </c>
      <c r="I949" s="18" t="s">
        <v>1631</v>
      </c>
      <c r="J949" s="25" t="s">
        <v>211</v>
      </c>
    </row>
    <row r="950" spans="1:12" ht="18" hidden="1" customHeight="1" outlineLevel="2" x14ac:dyDescent="0.2">
      <c r="A950" s="18"/>
      <c r="B950" s="18"/>
      <c r="C950" s="18"/>
      <c r="D950" s="18" t="s">
        <v>352</v>
      </c>
      <c r="E950" s="18" t="s">
        <v>1623</v>
      </c>
      <c r="F950" s="18" t="s">
        <v>1627</v>
      </c>
      <c r="G950" s="36" t="s">
        <v>1632</v>
      </c>
      <c r="H950" s="18" t="s">
        <v>1625</v>
      </c>
      <c r="I950" s="18" t="s">
        <v>1631</v>
      </c>
      <c r="J950" s="25" t="s">
        <v>211</v>
      </c>
    </row>
    <row r="951" spans="1:12" ht="18" hidden="1" customHeight="1" outlineLevel="2" x14ac:dyDescent="0.2">
      <c r="A951" s="18"/>
      <c r="B951" s="18"/>
      <c r="C951" s="18"/>
      <c r="D951" s="33" t="s">
        <v>3293</v>
      </c>
      <c r="E951" s="18" t="s">
        <v>1621</v>
      </c>
      <c r="F951" s="18" t="s">
        <v>1633</v>
      </c>
      <c r="G951" s="36"/>
      <c r="H951" s="18"/>
      <c r="I951" s="18" t="s">
        <v>398</v>
      </c>
      <c r="J951" s="25" t="s">
        <v>3092</v>
      </c>
      <c r="K951" s="25">
        <v>50</v>
      </c>
      <c r="L951" s="25">
        <v>70</v>
      </c>
    </row>
    <row r="952" spans="1:12" ht="18" hidden="1" customHeight="1" outlineLevel="2" x14ac:dyDescent="0.2">
      <c r="A952" s="18"/>
      <c r="B952" s="18"/>
      <c r="C952" s="18"/>
      <c r="D952" s="33" t="s">
        <v>3294</v>
      </c>
      <c r="E952" s="18" t="s">
        <v>1621</v>
      </c>
      <c r="F952" s="18" t="s">
        <v>1634</v>
      </c>
      <c r="G952" s="36"/>
      <c r="H952" s="18"/>
      <c r="I952" s="18" t="s">
        <v>1635</v>
      </c>
      <c r="K952" s="25">
        <v>25</v>
      </c>
      <c r="L952" s="25">
        <v>30</v>
      </c>
    </row>
    <row r="953" spans="1:12" ht="18" hidden="1" customHeight="1" outlineLevel="2" x14ac:dyDescent="0.2">
      <c r="A953" s="18"/>
      <c r="B953" s="18"/>
      <c r="C953" s="18"/>
      <c r="D953" s="33" t="s">
        <v>3295</v>
      </c>
      <c r="E953" s="18" t="s">
        <v>1636</v>
      </c>
      <c r="F953" s="18"/>
      <c r="G953" s="36" t="s">
        <v>1637</v>
      </c>
      <c r="H953" s="18" t="s">
        <v>1638</v>
      </c>
      <c r="I953" s="18" t="s">
        <v>3812</v>
      </c>
      <c r="J953" s="25" t="s">
        <v>211</v>
      </c>
      <c r="K953" s="25" t="s">
        <v>237</v>
      </c>
      <c r="L953" s="25" t="s">
        <v>238</v>
      </c>
    </row>
    <row r="954" spans="1:12" ht="18" hidden="1" customHeight="1" outlineLevel="2" x14ac:dyDescent="0.2">
      <c r="A954" s="18"/>
      <c r="B954" s="18"/>
      <c r="C954" s="18"/>
      <c r="D954" s="18"/>
      <c r="E954" s="18"/>
      <c r="F954" s="18"/>
      <c r="G954" s="36"/>
      <c r="H954" s="18"/>
      <c r="I954" s="18"/>
    </row>
    <row r="955" spans="1:12" customFormat="1" ht="18" hidden="1" customHeight="1" outlineLevel="1" collapsed="1" x14ac:dyDescent="0.25">
      <c r="A955" s="119" t="s">
        <v>81</v>
      </c>
      <c r="B955" s="120"/>
      <c r="C955" s="120"/>
      <c r="D955" s="120"/>
      <c r="E955" s="120"/>
      <c r="F955" s="120"/>
      <c r="G955" s="120"/>
      <c r="H955" s="120"/>
      <c r="I955" s="120"/>
      <c r="J955" s="120"/>
      <c r="K955" s="120"/>
      <c r="L955" s="160"/>
    </row>
    <row r="956" spans="1:12" ht="18" hidden="1" customHeight="1" outlineLevel="2" x14ac:dyDescent="0.2">
      <c r="A956" s="25"/>
      <c r="B956" s="25"/>
      <c r="C956" s="25"/>
      <c r="D956" s="25"/>
      <c r="E956" s="38" t="s">
        <v>3364</v>
      </c>
      <c r="F956" s="25"/>
      <c r="G956" s="25"/>
      <c r="H956" s="25"/>
      <c r="I956" s="25"/>
    </row>
    <row r="957" spans="1:12" ht="18" hidden="1" customHeight="1" outlineLevel="2" x14ac:dyDescent="0.2">
      <c r="A957" s="25"/>
      <c r="B957" s="25"/>
      <c r="C957" s="25"/>
      <c r="D957" s="25"/>
      <c r="E957" s="59" t="s">
        <v>1639</v>
      </c>
      <c r="F957" s="25" t="s">
        <v>1664</v>
      </c>
      <c r="G957" s="25" t="s">
        <v>2131</v>
      </c>
      <c r="H957" s="25" t="s">
        <v>1664</v>
      </c>
      <c r="I957" s="25" t="s">
        <v>2132</v>
      </c>
      <c r="K957" s="25" t="s">
        <v>3103</v>
      </c>
      <c r="L957" s="25" t="s">
        <v>3113</v>
      </c>
    </row>
    <row r="958" spans="1:12" ht="18" hidden="1" customHeight="1" outlineLevel="2" x14ac:dyDescent="0.2">
      <c r="A958" s="25"/>
      <c r="B958" s="25"/>
      <c r="C958" s="25"/>
      <c r="D958" s="25"/>
      <c r="E958" s="59" t="s">
        <v>2133</v>
      </c>
      <c r="F958" s="25" t="s">
        <v>1664</v>
      </c>
      <c r="G958" s="25" t="s">
        <v>2134</v>
      </c>
      <c r="H958" s="25" t="s">
        <v>1664</v>
      </c>
      <c r="I958" s="25"/>
      <c r="K958" s="25">
        <v>4</v>
      </c>
      <c r="L958" s="25">
        <v>6</v>
      </c>
    </row>
    <row r="959" spans="1:12" ht="18" hidden="1" customHeight="1" outlineLevel="2" x14ac:dyDescent="0.2">
      <c r="A959" s="25"/>
      <c r="B959" s="25"/>
      <c r="C959" s="25"/>
      <c r="D959" s="25"/>
      <c r="E959" s="59" t="s">
        <v>2135</v>
      </c>
      <c r="F959" s="25" t="s">
        <v>1664</v>
      </c>
      <c r="G959" s="25" t="s">
        <v>2136</v>
      </c>
      <c r="H959" s="25" t="s">
        <v>1664</v>
      </c>
      <c r="I959" s="25" t="s">
        <v>2137</v>
      </c>
      <c r="K959" s="25" t="s">
        <v>3103</v>
      </c>
      <c r="L959" s="25" t="s">
        <v>3113</v>
      </c>
    </row>
    <row r="960" spans="1:12" ht="18" hidden="1" customHeight="1" outlineLevel="2" x14ac:dyDescent="0.2">
      <c r="A960" s="25"/>
      <c r="B960" s="25"/>
      <c r="C960" s="25"/>
      <c r="D960" s="25"/>
      <c r="E960" s="59" t="s">
        <v>2133</v>
      </c>
      <c r="F960" s="25" t="s">
        <v>1664</v>
      </c>
      <c r="G960" s="25" t="s">
        <v>2138</v>
      </c>
      <c r="H960" s="25" t="s">
        <v>1664</v>
      </c>
      <c r="I960" s="25"/>
      <c r="K960" s="25">
        <v>4</v>
      </c>
      <c r="L960" s="25">
        <v>6</v>
      </c>
    </row>
    <row r="961" spans="1:12" ht="18" hidden="1" customHeight="1" outlineLevel="2" x14ac:dyDescent="0.2">
      <c r="A961" s="25"/>
      <c r="B961" s="25"/>
      <c r="C961" s="25"/>
      <c r="D961" s="25"/>
      <c r="E961" s="25"/>
      <c r="F961" s="25"/>
      <c r="G961" s="25"/>
      <c r="H961" s="25"/>
      <c r="I961" s="25"/>
    </row>
    <row r="962" spans="1:12" ht="18" hidden="1" customHeight="1" outlineLevel="2" x14ac:dyDescent="0.2">
      <c r="A962" s="18"/>
      <c r="B962" s="18"/>
      <c r="C962" s="18"/>
      <c r="D962" s="18" t="s">
        <v>3296</v>
      </c>
      <c r="E962" s="33" t="s">
        <v>1639</v>
      </c>
      <c r="F962" s="18" t="s">
        <v>1640</v>
      </c>
      <c r="G962" s="36" t="s">
        <v>1641</v>
      </c>
      <c r="H962" s="18" t="s">
        <v>1642</v>
      </c>
      <c r="I962" s="18" t="s">
        <v>1643</v>
      </c>
      <c r="K962" s="25" t="s">
        <v>3103</v>
      </c>
      <c r="L962" s="25" t="s">
        <v>3113</v>
      </c>
    </row>
    <row r="963" spans="1:12" ht="18" hidden="1" customHeight="1" outlineLevel="2" x14ac:dyDescent="0.2">
      <c r="A963" s="18"/>
      <c r="B963" s="18"/>
      <c r="C963" s="18"/>
      <c r="D963" s="18" t="s">
        <v>352</v>
      </c>
      <c r="E963" s="33" t="s">
        <v>1644</v>
      </c>
      <c r="F963" s="18" t="s">
        <v>1640</v>
      </c>
      <c r="G963" s="36" t="s">
        <v>1645</v>
      </c>
      <c r="H963" s="18" t="s">
        <v>1642</v>
      </c>
      <c r="I963" s="18" t="s">
        <v>1643</v>
      </c>
      <c r="K963" s="25">
        <v>10</v>
      </c>
      <c r="L963" s="25">
        <v>15</v>
      </c>
    </row>
    <row r="964" spans="1:12" ht="18" hidden="1" customHeight="1" outlineLevel="2" x14ac:dyDescent="0.2">
      <c r="A964" s="18"/>
      <c r="B964" s="18"/>
      <c r="C964" s="18"/>
      <c r="D964" s="18" t="s">
        <v>3297</v>
      </c>
      <c r="E964" s="18" t="s">
        <v>1639</v>
      </c>
      <c r="F964" s="18" t="s">
        <v>1646</v>
      </c>
      <c r="G964" s="36" t="s">
        <v>1647</v>
      </c>
      <c r="H964" s="18" t="s">
        <v>1642</v>
      </c>
      <c r="I964" s="18" t="s">
        <v>1648</v>
      </c>
    </row>
    <row r="965" spans="1:12" ht="18" hidden="1" customHeight="1" outlineLevel="2" x14ac:dyDescent="0.2">
      <c r="A965" s="18"/>
      <c r="B965" s="18"/>
      <c r="C965" s="18"/>
      <c r="D965" s="18" t="s">
        <v>3298</v>
      </c>
      <c r="E965" s="18" t="s">
        <v>1644</v>
      </c>
      <c r="F965" s="18" t="s">
        <v>1646</v>
      </c>
      <c r="G965" s="36" t="s">
        <v>1649</v>
      </c>
      <c r="H965" s="18" t="s">
        <v>1642</v>
      </c>
      <c r="I965" s="18" t="s">
        <v>1648</v>
      </c>
    </row>
    <row r="966" spans="1:12" ht="18" hidden="1" customHeight="1" outlineLevel="2" x14ac:dyDescent="0.2">
      <c r="A966" s="18"/>
      <c r="B966" s="18"/>
      <c r="C966" s="18"/>
      <c r="D966" s="18" t="s">
        <v>3299</v>
      </c>
      <c r="E966" s="33" t="s">
        <v>1639</v>
      </c>
      <c r="F966" s="18" t="s">
        <v>1650</v>
      </c>
      <c r="G966" s="36" t="s">
        <v>1651</v>
      </c>
      <c r="H966" s="18" t="s">
        <v>1642</v>
      </c>
      <c r="I966" s="18" t="s">
        <v>1648</v>
      </c>
      <c r="K966" s="25">
        <v>20</v>
      </c>
      <c r="L966" s="25">
        <v>26</v>
      </c>
    </row>
    <row r="967" spans="1:12" ht="18" hidden="1" customHeight="1" outlineLevel="2" x14ac:dyDescent="0.2">
      <c r="A967" s="18"/>
      <c r="B967" s="18"/>
      <c r="C967" s="18"/>
      <c r="D967" s="18" t="s">
        <v>3300</v>
      </c>
      <c r="E967" s="33" t="s">
        <v>1644</v>
      </c>
      <c r="F967" s="18" t="s">
        <v>1650</v>
      </c>
      <c r="G967" s="36" t="s">
        <v>1652</v>
      </c>
      <c r="H967" s="18" t="s">
        <v>1642</v>
      </c>
      <c r="I967" s="18" t="s">
        <v>1648</v>
      </c>
      <c r="K967" s="25">
        <v>10</v>
      </c>
      <c r="L967" s="25">
        <v>15</v>
      </c>
    </row>
    <row r="968" spans="1:12" ht="18" hidden="1" customHeight="1" outlineLevel="2" x14ac:dyDescent="0.2">
      <c r="A968" s="18"/>
      <c r="B968" s="18"/>
      <c r="C968" s="18"/>
      <c r="D968" s="18" t="s">
        <v>3301</v>
      </c>
      <c r="E968" s="18" t="s">
        <v>1639</v>
      </c>
      <c r="F968" s="18" t="s">
        <v>1653</v>
      </c>
      <c r="G968" s="36" t="s">
        <v>1654</v>
      </c>
      <c r="H968" s="18" t="s">
        <v>1642</v>
      </c>
      <c r="I968" s="18" t="s">
        <v>1648</v>
      </c>
    </row>
    <row r="969" spans="1:12" ht="18" hidden="1" customHeight="1" outlineLevel="2" x14ac:dyDescent="0.2">
      <c r="A969" s="18"/>
      <c r="B969" s="18"/>
      <c r="C969" s="18"/>
      <c r="D969" s="18" t="s">
        <v>3302</v>
      </c>
      <c r="E969" s="18" t="s">
        <v>1644</v>
      </c>
      <c r="F969" s="18" t="s">
        <v>1653</v>
      </c>
      <c r="G969" s="36" t="s">
        <v>1655</v>
      </c>
      <c r="H969" s="18" t="s">
        <v>1642</v>
      </c>
      <c r="I969" s="18" t="s">
        <v>1648</v>
      </c>
    </row>
    <row r="970" spans="1:12" ht="18" hidden="1" customHeight="1" outlineLevel="2" x14ac:dyDescent="0.2">
      <c r="A970" s="18"/>
      <c r="B970" s="18"/>
      <c r="C970" s="18"/>
      <c r="D970" s="18" t="s">
        <v>352</v>
      </c>
      <c r="E970" s="18" t="s">
        <v>1656</v>
      </c>
      <c r="F970" s="18" t="s">
        <v>1653</v>
      </c>
      <c r="G970" s="36" t="s">
        <v>1657</v>
      </c>
      <c r="H970" s="18" t="s">
        <v>1642</v>
      </c>
      <c r="I970" s="18" t="s">
        <v>1648</v>
      </c>
    </row>
    <row r="971" spans="1:12" ht="18" hidden="1" customHeight="1" outlineLevel="2" x14ac:dyDescent="0.2">
      <c r="A971" s="18"/>
      <c r="B971" s="18"/>
      <c r="C971" s="18"/>
      <c r="D971" s="18" t="s">
        <v>352</v>
      </c>
      <c r="E971" s="18" t="s">
        <v>1639</v>
      </c>
      <c r="F971" s="18" t="s">
        <v>1658</v>
      </c>
      <c r="G971" s="36" t="s">
        <v>1659</v>
      </c>
      <c r="H971" s="18" t="s">
        <v>1642</v>
      </c>
      <c r="I971" s="18" t="s">
        <v>1648</v>
      </c>
    </row>
    <row r="972" spans="1:12" ht="18" hidden="1" customHeight="1" outlineLevel="2" x14ac:dyDescent="0.2">
      <c r="A972" s="18"/>
      <c r="B972" s="18"/>
      <c r="C972" s="18"/>
      <c r="D972" s="18" t="s">
        <v>352</v>
      </c>
      <c r="E972" s="18" t="s">
        <v>1644</v>
      </c>
      <c r="F972" s="18" t="s">
        <v>1658</v>
      </c>
      <c r="G972" s="36" t="s">
        <v>1660</v>
      </c>
      <c r="H972" s="18" t="s">
        <v>1642</v>
      </c>
      <c r="I972" s="18" t="s">
        <v>1648</v>
      </c>
    </row>
    <row r="973" spans="1:12" ht="18" hidden="1" customHeight="1" outlineLevel="2" x14ac:dyDescent="0.2">
      <c r="A973" s="18"/>
      <c r="B973" s="18"/>
      <c r="C973" s="18"/>
      <c r="D973" s="18" t="s">
        <v>352</v>
      </c>
      <c r="E973" s="18" t="s">
        <v>1656</v>
      </c>
      <c r="F973" s="18" t="s">
        <v>1658</v>
      </c>
      <c r="G973" s="36" t="s">
        <v>1661</v>
      </c>
      <c r="H973" s="18" t="s">
        <v>1642</v>
      </c>
      <c r="I973" s="18" t="s">
        <v>1648</v>
      </c>
    </row>
    <row r="974" spans="1:12" ht="18" hidden="1" customHeight="1" outlineLevel="2" x14ac:dyDescent="0.2">
      <c r="A974" s="18"/>
      <c r="B974" s="18"/>
      <c r="C974" s="18"/>
      <c r="D974" s="18" t="s">
        <v>352</v>
      </c>
      <c r="E974" s="18" t="s">
        <v>1639</v>
      </c>
      <c r="F974" s="18" t="s">
        <v>1662</v>
      </c>
      <c r="G974" s="36" t="s">
        <v>1663</v>
      </c>
      <c r="H974" s="18" t="s">
        <v>1664</v>
      </c>
      <c r="I974" s="18" t="s">
        <v>1665</v>
      </c>
    </row>
    <row r="975" spans="1:12" ht="18" hidden="1" customHeight="1" outlineLevel="2" x14ac:dyDescent="0.2">
      <c r="A975" s="18"/>
      <c r="B975" s="18"/>
      <c r="C975" s="18"/>
      <c r="D975" s="18" t="s">
        <v>3303</v>
      </c>
      <c r="E975" s="18" t="s">
        <v>1644</v>
      </c>
      <c r="F975" s="18" t="s">
        <v>1666</v>
      </c>
      <c r="G975" s="36" t="s">
        <v>1667</v>
      </c>
      <c r="H975" s="19" t="s">
        <v>1668</v>
      </c>
      <c r="I975" s="18" t="s">
        <v>816</v>
      </c>
    </row>
    <row r="976" spans="1:12" ht="18" hidden="1" customHeight="1" outlineLevel="2" x14ac:dyDescent="0.2">
      <c r="A976" s="18"/>
      <c r="B976" s="18"/>
      <c r="C976" s="18"/>
      <c r="D976" s="18" t="s">
        <v>3303</v>
      </c>
      <c r="E976" s="18" t="s">
        <v>1656</v>
      </c>
      <c r="F976" s="18" t="s">
        <v>1666</v>
      </c>
      <c r="G976" s="36" t="s">
        <v>1669</v>
      </c>
      <c r="H976" s="19" t="s">
        <v>1668</v>
      </c>
      <c r="I976" s="18" t="s">
        <v>816</v>
      </c>
    </row>
    <row r="977" spans="1:12" ht="18" hidden="1" customHeight="1" outlineLevel="2" x14ac:dyDescent="0.2">
      <c r="A977" s="18"/>
      <c r="B977" s="18"/>
      <c r="C977" s="18"/>
      <c r="D977" s="18" t="s">
        <v>3303</v>
      </c>
      <c r="E977" s="18" t="s">
        <v>1670</v>
      </c>
      <c r="F977" s="18" t="s">
        <v>1666</v>
      </c>
      <c r="G977" s="36" t="s">
        <v>1671</v>
      </c>
      <c r="H977" s="19" t="s">
        <v>1668</v>
      </c>
      <c r="I977" s="18" t="s">
        <v>816</v>
      </c>
    </row>
    <row r="978" spans="1:12" ht="18" hidden="1" customHeight="1" outlineLevel="2" x14ac:dyDescent="0.2">
      <c r="A978" s="18"/>
      <c r="B978" s="18"/>
      <c r="C978" s="18"/>
      <c r="D978" s="18" t="s">
        <v>3303</v>
      </c>
      <c r="E978" s="18" t="s">
        <v>1639</v>
      </c>
      <c r="F978" s="18" t="s">
        <v>1672</v>
      </c>
      <c r="G978" s="36" t="s">
        <v>1673</v>
      </c>
      <c r="H978" s="19" t="s">
        <v>1668</v>
      </c>
      <c r="I978" s="18" t="s">
        <v>1665</v>
      </c>
    </row>
    <row r="979" spans="1:12" ht="18" hidden="1" customHeight="1" outlineLevel="2" x14ac:dyDescent="0.2">
      <c r="A979" s="18"/>
      <c r="B979" s="18"/>
      <c r="C979" s="18"/>
      <c r="D979" s="18" t="s">
        <v>3303</v>
      </c>
      <c r="E979" s="18" t="s">
        <v>1644</v>
      </c>
      <c r="F979" s="18" t="s">
        <v>1672</v>
      </c>
      <c r="G979" s="36" t="s">
        <v>1674</v>
      </c>
      <c r="H979" s="19" t="s">
        <v>1668</v>
      </c>
      <c r="I979" s="18" t="s">
        <v>816</v>
      </c>
    </row>
    <row r="980" spans="1:12" ht="18" hidden="1" customHeight="1" outlineLevel="2" x14ac:dyDescent="0.2">
      <c r="A980" s="18"/>
      <c r="B980" s="18"/>
      <c r="C980" s="18"/>
      <c r="D980" s="18"/>
      <c r="E980" s="18"/>
      <c r="F980" s="18"/>
      <c r="G980" s="36"/>
      <c r="H980" s="18"/>
      <c r="I980" s="18"/>
    </row>
    <row r="981" spans="1:12" customFormat="1" ht="18" hidden="1" customHeight="1" outlineLevel="1" collapsed="1" x14ac:dyDescent="0.25">
      <c r="A981" s="119" t="s">
        <v>83</v>
      </c>
      <c r="B981" s="120"/>
      <c r="C981" s="120"/>
      <c r="D981" s="120"/>
      <c r="E981" s="120"/>
      <c r="F981" s="120"/>
      <c r="G981" s="120"/>
      <c r="H981" s="120"/>
      <c r="I981" s="120"/>
      <c r="J981" s="120"/>
      <c r="K981" s="120"/>
      <c r="L981" s="160"/>
    </row>
    <row r="982" spans="1:12" ht="18" hidden="1" customHeight="1" outlineLevel="2" x14ac:dyDescent="0.2">
      <c r="A982" s="18"/>
      <c r="B982" s="18"/>
      <c r="C982" s="18"/>
      <c r="D982" s="18" t="s">
        <v>3313</v>
      </c>
      <c r="E982" s="33" t="s">
        <v>1712</v>
      </c>
      <c r="F982" s="18" t="s">
        <v>1713</v>
      </c>
      <c r="G982" s="36" t="s">
        <v>1714</v>
      </c>
      <c r="H982" s="18" t="s">
        <v>1638</v>
      </c>
      <c r="I982" s="18" t="s">
        <v>3814</v>
      </c>
      <c r="K982" s="25">
        <v>20</v>
      </c>
      <c r="L982" s="25">
        <v>25</v>
      </c>
    </row>
    <row r="983" spans="1:12" ht="18" hidden="1" customHeight="1" outlineLevel="2" x14ac:dyDescent="0.2">
      <c r="A983" s="18"/>
      <c r="B983" s="18"/>
      <c r="C983" s="18"/>
      <c r="D983" s="18" t="s">
        <v>352</v>
      </c>
      <c r="E983" s="18" t="s">
        <v>1712</v>
      </c>
      <c r="F983" s="18" t="s">
        <v>1715</v>
      </c>
      <c r="G983" s="36" t="s">
        <v>1716</v>
      </c>
      <c r="H983" s="18" t="s">
        <v>1638</v>
      </c>
      <c r="I983" s="18" t="s">
        <v>3815</v>
      </c>
    </row>
    <row r="984" spans="1:12" ht="18" hidden="1" customHeight="1" outlineLevel="2" x14ac:dyDescent="0.2">
      <c r="A984" s="18"/>
      <c r="B984" s="18"/>
      <c r="C984" s="18"/>
      <c r="D984" s="18" t="s">
        <v>3314</v>
      </c>
      <c r="E984" s="33" t="s">
        <v>1712</v>
      </c>
      <c r="F984" s="18" t="s">
        <v>1717</v>
      </c>
      <c r="G984" s="36" t="s">
        <v>1718</v>
      </c>
      <c r="H984" s="18" t="s">
        <v>1638</v>
      </c>
      <c r="I984" s="18" t="s">
        <v>3816</v>
      </c>
      <c r="K984" s="25">
        <v>20</v>
      </c>
      <c r="L984" s="25">
        <v>25</v>
      </c>
    </row>
    <row r="985" spans="1:12" ht="18" hidden="1" customHeight="1" outlineLevel="2" x14ac:dyDescent="0.2">
      <c r="A985" s="18"/>
      <c r="B985" s="18"/>
      <c r="C985" s="18"/>
      <c r="D985" s="18" t="s">
        <v>3315</v>
      </c>
      <c r="E985" s="33" t="s">
        <v>1712</v>
      </c>
      <c r="F985" s="18" t="s">
        <v>1719</v>
      </c>
      <c r="G985" s="36" t="s">
        <v>1720</v>
      </c>
      <c r="H985" s="18" t="s">
        <v>1638</v>
      </c>
      <c r="I985" s="18" t="s">
        <v>3817</v>
      </c>
      <c r="K985" s="25">
        <v>20</v>
      </c>
      <c r="L985" s="25">
        <v>25</v>
      </c>
    </row>
    <row r="986" spans="1:12" ht="18" hidden="1" customHeight="1" outlineLevel="2" x14ac:dyDescent="0.2">
      <c r="A986" s="18"/>
      <c r="B986" s="18"/>
      <c r="C986" s="18"/>
      <c r="D986" s="18" t="s">
        <v>3316</v>
      </c>
      <c r="E986" s="33" t="s">
        <v>1712</v>
      </c>
      <c r="F986" s="18" t="s">
        <v>1721</v>
      </c>
      <c r="G986" s="36" t="s">
        <v>1722</v>
      </c>
      <c r="H986" s="18" t="s">
        <v>1638</v>
      </c>
      <c r="I986" s="18" t="s">
        <v>3818</v>
      </c>
      <c r="K986" s="25">
        <v>10</v>
      </c>
      <c r="L986" s="25">
        <v>13</v>
      </c>
    </row>
    <row r="987" spans="1:12" ht="18" hidden="1" customHeight="1" outlineLevel="2" x14ac:dyDescent="0.2">
      <c r="A987" s="18"/>
      <c r="B987" s="18"/>
      <c r="C987" s="18"/>
      <c r="D987" s="18" t="s">
        <v>352</v>
      </c>
      <c r="E987" s="18" t="s">
        <v>1712</v>
      </c>
      <c r="F987" s="18" t="s">
        <v>1723</v>
      </c>
      <c r="G987" s="36" t="s">
        <v>1724</v>
      </c>
      <c r="H987" s="18" t="s">
        <v>1638</v>
      </c>
      <c r="I987" s="18" t="s">
        <v>3819</v>
      </c>
    </row>
    <row r="988" spans="1:12" ht="18" hidden="1" customHeight="1" outlineLevel="2" x14ac:dyDescent="0.2">
      <c r="A988" s="18"/>
      <c r="B988" s="18"/>
      <c r="C988" s="18"/>
      <c r="D988" s="18" t="s">
        <v>3317</v>
      </c>
      <c r="E988" s="18" t="s">
        <v>1712</v>
      </c>
      <c r="F988" s="18" t="s">
        <v>1725</v>
      </c>
      <c r="G988" s="36" t="s">
        <v>1726</v>
      </c>
      <c r="H988" s="18" t="s">
        <v>1638</v>
      </c>
      <c r="I988" s="18" t="s">
        <v>3820</v>
      </c>
    </row>
    <row r="989" spans="1:12" ht="18" hidden="1" customHeight="1" outlineLevel="2" x14ac:dyDescent="0.2">
      <c r="A989" s="18"/>
      <c r="B989" s="18"/>
      <c r="C989" s="18"/>
      <c r="D989" s="18"/>
      <c r="E989" s="18"/>
      <c r="F989" s="18"/>
      <c r="G989" s="36"/>
      <c r="H989" s="18"/>
      <c r="I989" s="18"/>
    </row>
    <row r="990" spans="1:12" customFormat="1" ht="18" hidden="1" customHeight="1" outlineLevel="1" collapsed="1" x14ac:dyDescent="0.25">
      <c r="A990" s="119" t="s">
        <v>73</v>
      </c>
      <c r="B990" s="120"/>
      <c r="C990" s="120"/>
      <c r="D990" s="120"/>
      <c r="E990" s="120"/>
      <c r="F990" s="120"/>
      <c r="G990" s="120"/>
      <c r="H990" s="120"/>
      <c r="I990" s="120"/>
      <c r="J990" s="120"/>
      <c r="K990" s="120"/>
      <c r="L990" s="160"/>
    </row>
    <row r="991" spans="1:12" ht="18" hidden="1" customHeight="1" outlineLevel="2" x14ac:dyDescent="0.2">
      <c r="A991" s="18"/>
      <c r="B991" s="18"/>
      <c r="C991" s="18"/>
      <c r="D991" s="18" t="s">
        <v>352</v>
      </c>
      <c r="E991" s="33" t="s">
        <v>1731</v>
      </c>
      <c r="F991" s="18" t="s">
        <v>1732</v>
      </c>
      <c r="G991" s="36" t="s">
        <v>1733</v>
      </c>
      <c r="H991" s="18" t="s">
        <v>1731</v>
      </c>
      <c r="I991" s="18" t="s">
        <v>1734</v>
      </c>
      <c r="J991" s="25" t="s">
        <v>211</v>
      </c>
      <c r="K991" s="25" t="s">
        <v>294</v>
      </c>
      <c r="L991" s="25" t="s">
        <v>237</v>
      </c>
    </row>
    <row r="992" spans="1:12" ht="18" hidden="1" customHeight="1" outlineLevel="2" x14ac:dyDescent="0.2">
      <c r="A992" s="18"/>
      <c r="B992" s="18"/>
      <c r="C992" s="18"/>
      <c r="D992" s="18" t="s">
        <v>352</v>
      </c>
      <c r="E992" s="33" t="s">
        <v>1731</v>
      </c>
      <c r="F992" s="18" t="s">
        <v>1735</v>
      </c>
      <c r="G992" s="36" t="s">
        <v>1736</v>
      </c>
      <c r="H992" s="18" t="s">
        <v>1731</v>
      </c>
      <c r="I992" s="18" t="s">
        <v>1734</v>
      </c>
      <c r="J992" s="25" t="s">
        <v>350</v>
      </c>
      <c r="K992" s="25" t="s">
        <v>237</v>
      </c>
      <c r="L992" s="25" t="s">
        <v>238</v>
      </c>
    </row>
    <row r="993" spans="1:12" ht="18" hidden="1" customHeight="1" outlineLevel="2" x14ac:dyDescent="0.2">
      <c r="A993" s="18"/>
      <c r="B993" s="18"/>
      <c r="C993" s="18"/>
      <c r="D993" s="18" t="s">
        <v>352</v>
      </c>
      <c r="E993" s="33" t="s">
        <v>1731</v>
      </c>
      <c r="F993" s="18" t="s">
        <v>1737</v>
      </c>
      <c r="G993" s="36" t="s">
        <v>1738</v>
      </c>
      <c r="H993" s="18" t="s">
        <v>1731</v>
      </c>
      <c r="I993" s="18" t="s">
        <v>1739</v>
      </c>
      <c r="J993" s="25" t="s">
        <v>350</v>
      </c>
      <c r="K993" s="25" t="s">
        <v>237</v>
      </c>
      <c r="L993" s="25" t="s">
        <v>238</v>
      </c>
    </row>
    <row r="994" spans="1:12" ht="18" hidden="1" customHeight="1" outlineLevel="2" x14ac:dyDescent="0.2">
      <c r="A994" s="18"/>
      <c r="B994" s="18"/>
      <c r="C994" s="18"/>
      <c r="D994" s="18" t="s">
        <v>352</v>
      </c>
      <c r="E994" s="33" t="s">
        <v>1731</v>
      </c>
      <c r="F994" s="18" t="s">
        <v>1740</v>
      </c>
      <c r="G994" s="36" t="s">
        <v>1741</v>
      </c>
      <c r="H994" s="18" t="s">
        <v>1731</v>
      </c>
      <c r="I994" s="18" t="s">
        <v>1739</v>
      </c>
      <c r="J994" s="25" t="s">
        <v>405</v>
      </c>
      <c r="K994" s="25" t="s">
        <v>237</v>
      </c>
      <c r="L994" s="25" t="s">
        <v>238</v>
      </c>
    </row>
    <row r="995" spans="1:12" ht="18" hidden="1" customHeight="1" outlineLevel="2" x14ac:dyDescent="0.2">
      <c r="A995" s="18"/>
      <c r="B995" s="18"/>
      <c r="C995" s="18"/>
      <c r="D995" s="18" t="s">
        <v>352</v>
      </c>
      <c r="E995" s="33" t="s">
        <v>1731</v>
      </c>
      <c r="F995" s="18" t="s">
        <v>1742</v>
      </c>
      <c r="G995" s="36" t="s">
        <v>1743</v>
      </c>
      <c r="H995" s="18" t="s">
        <v>1731</v>
      </c>
      <c r="I995" s="18" t="s">
        <v>1744</v>
      </c>
      <c r="J995" s="25" t="s">
        <v>211</v>
      </c>
      <c r="K995" s="25" t="s">
        <v>294</v>
      </c>
      <c r="L995" s="25" t="s">
        <v>237</v>
      </c>
    </row>
    <row r="996" spans="1:12" ht="18" hidden="1" customHeight="1" outlineLevel="2" x14ac:dyDescent="0.2">
      <c r="A996" s="18"/>
      <c r="B996" s="18"/>
      <c r="C996" s="18"/>
      <c r="D996" s="18" t="s">
        <v>352</v>
      </c>
      <c r="E996" s="18" t="s">
        <v>1745</v>
      </c>
      <c r="F996" s="18" t="s">
        <v>1746</v>
      </c>
      <c r="G996" s="36" t="s">
        <v>1747</v>
      </c>
      <c r="H996" s="18" t="s">
        <v>711</v>
      </c>
      <c r="I996" s="18" t="s">
        <v>1748</v>
      </c>
      <c r="J996" s="25" t="s">
        <v>376</v>
      </c>
    </row>
    <row r="997" spans="1:12" ht="18" hidden="1" customHeight="1" outlineLevel="2" x14ac:dyDescent="0.2">
      <c r="A997" s="18"/>
      <c r="B997" s="18"/>
      <c r="C997" s="18"/>
      <c r="D997" s="18" t="s">
        <v>3319</v>
      </c>
      <c r="E997" s="18" t="s">
        <v>1745</v>
      </c>
      <c r="F997" s="18" t="s">
        <v>1749</v>
      </c>
      <c r="G997" s="36" t="s">
        <v>1750</v>
      </c>
      <c r="H997" s="18" t="s">
        <v>711</v>
      </c>
      <c r="I997" s="18" t="s">
        <v>1748</v>
      </c>
      <c r="J997" s="25" t="s">
        <v>376</v>
      </c>
    </row>
    <row r="998" spans="1:12" ht="18" hidden="1" customHeight="1" outlineLevel="2" x14ac:dyDescent="0.2">
      <c r="A998" s="18"/>
      <c r="B998" s="18"/>
      <c r="C998" s="18"/>
      <c r="D998" s="18" t="s">
        <v>3320</v>
      </c>
      <c r="E998" s="33" t="s">
        <v>1745</v>
      </c>
      <c r="F998" s="18" t="s">
        <v>1751</v>
      </c>
      <c r="G998" s="36" t="s">
        <v>1752</v>
      </c>
      <c r="H998" s="18" t="s">
        <v>711</v>
      </c>
      <c r="I998" s="18" t="s">
        <v>1748</v>
      </c>
      <c r="J998" s="25" t="s">
        <v>376</v>
      </c>
      <c r="K998" s="25">
        <v>20</v>
      </c>
      <c r="L998" s="25">
        <v>30</v>
      </c>
    </row>
    <row r="999" spans="1:12" ht="18" hidden="1" customHeight="1" outlineLevel="2" x14ac:dyDescent="0.2">
      <c r="A999" s="18"/>
      <c r="B999" s="18"/>
      <c r="C999" s="18"/>
      <c r="D999" s="18" t="s">
        <v>3321</v>
      </c>
      <c r="E999" s="33" t="s">
        <v>1745</v>
      </c>
      <c r="F999" s="18" t="s">
        <v>1753</v>
      </c>
      <c r="G999" s="36" t="s">
        <v>1754</v>
      </c>
      <c r="H999" s="18" t="s">
        <v>711</v>
      </c>
      <c r="I999" s="18" t="s">
        <v>1748</v>
      </c>
      <c r="J999" s="25" t="s">
        <v>376</v>
      </c>
      <c r="K999" s="25">
        <v>20</v>
      </c>
      <c r="L999" s="25">
        <v>30</v>
      </c>
    </row>
    <row r="1000" spans="1:12" ht="18" hidden="1" customHeight="1" outlineLevel="2" x14ac:dyDescent="0.2">
      <c r="A1000" s="18"/>
      <c r="B1000" s="18"/>
      <c r="C1000" s="18"/>
      <c r="D1000" s="18" t="s">
        <v>3322</v>
      </c>
      <c r="E1000" s="33" t="s">
        <v>1745</v>
      </c>
      <c r="F1000" s="18" t="s">
        <v>1755</v>
      </c>
      <c r="G1000" s="36" t="s">
        <v>1756</v>
      </c>
      <c r="H1000" s="18" t="s">
        <v>711</v>
      </c>
      <c r="I1000" s="18" t="s">
        <v>1748</v>
      </c>
      <c r="J1000" s="25" t="s">
        <v>376</v>
      </c>
      <c r="K1000" s="25">
        <v>20</v>
      </c>
      <c r="L1000" s="25">
        <v>30</v>
      </c>
    </row>
    <row r="1001" spans="1:12" ht="18" hidden="1" customHeight="1" outlineLevel="2" x14ac:dyDescent="0.2">
      <c r="A1001" s="18"/>
      <c r="B1001" s="18"/>
      <c r="C1001" s="18"/>
      <c r="D1001" s="18" t="s">
        <v>352</v>
      </c>
      <c r="E1001" s="18" t="s">
        <v>1830</v>
      </c>
      <c r="F1001" s="18" t="s">
        <v>1831</v>
      </c>
      <c r="G1001" s="36"/>
      <c r="H1001" s="18" t="s">
        <v>1832</v>
      </c>
      <c r="I1001" s="18"/>
      <c r="J1001" s="25" t="s">
        <v>211</v>
      </c>
    </row>
    <row r="1002" spans="1:12" ht="18" hidden="1" customHeight="1" outlineLevel="2" x14ac:dyDescent="0.2">
      <c r="A1002" s="18"/>
      <c r="B1002" s="18"/>
      <c r="C1002" s="18"/>
      <c r="D1002" s="18"/>
      <c r="E1002" s="18"/>
      <c r="F1002" s="18"/>
      <c r="G1002" s="36"/>
      <c r="H1002" s="18"/>
      <c r="I1002" s="18"/>
    </row>
    <row r="1003" spans="1:12" customFormat="1" ht="18" hidden="1" customHeight="1" outlineLevel="1" collapsed="1" x14ac:dyDescent="0.25">
      <c r="A1003" s="119" t="s">
        <v>84</v>
      </c>
      <c r="B1003" s="120"/>
      <c r="C1003" s="120"/>
      <c r="D1003" s="120"/>
      <c r="E1003" s="120"/>
      <c r="F1003" s="120"/>
      <c r="G1003" s="120"/>
      <c r="H1003" s="120"/>
      <c r="I1003" s="120"/>
      <c r="J1003" s="120"/>
      <c r="K1003" s="120"/>
      <c r="L1003" s="160"/>
    </row>
    <row r="1004" spans="1:12" ht="18" hidden="1" customHeight="1" outlineLevel="2" x14ac:dyDescent="0.2">
      <c r="A1004" s="18"/>
      <c r="B1004" s="18"/>
      <c r="C1004" s="18"/>
      <c r="D1004" s="18" t="s">
        <v>3323</v>
      </c>
      <c r="E1004" s="18" t="s">
        <v>1757</v>
      </c>
      <c r="F1004" s="18" t="s">
        <v>1758</v>
      </c>
      <c r="G1004" s="36" t="s">
        <v>1759</v>
      </c>
      <c r="H1004" s="18" t="s">
        <v>711</v>
      </c>
      <c r="I1004" s="18" t="s">
        <v>1760</v>
      </c>
      <c r="J1004" s="25" t="s">
        <v>3093</v>
      </c>
    </row>
    <row r="1005" spans="1:12" ht="18" hidden="1" customHeight="1" outlineLevel="2" x14ac:dyDescent="0.2">
      <c r="A1005" s="18"/>
      <c r="B1005" s="18"/>
      <c r="C1005" s="18"/>
      <c r="D1005" s="18" t="s">
        <v>3324</v>
      </c>
      <c r="E1005" s="18" t="s">
        <v>1757</v>
      </c>
      <c r="F1005" s="18" t="s">
        <v>1761</v>
      </c>
      <c r="G1005" s="36" t="s">
        <v>1762</v>
      </c>
      <c r="H1005" s="18" t="s">
        <v>711</v>
      </c>
      <c r="I1005" s="18" t="s">
        <v>1760</v>
      </c>
      <c r="J1005" s="25" t="s">
        <v>350</v>
      </c>
    </row>
    <row r="1006" spans="1:12" ht="18" hidden="1" customHeight="1" outlineLevel="2" x14ac:dyDescent="0.2">
      <c r="A1006" s="18"/>
      <c r="B1006" s="18"/>
      <c r="C1006" s="18"/>
      <c r="D1006" s="18" t="s">
        <v>3325</v>
      </c>
      <c r="E1006" s="18" t="s">
        <v>1757</v>
      </c>
      <c r="F1006" s="18" t="s">
        <v>1763</v>
      </c>
      <c r="G1006" s="36" t="s">
        <v>1764</v>
      </c>
      <c r="H1006" s="18" t="s">
        <v>711</v>
      </c>
      <c r="I1006" s="18" t="s">
        <v>1760</v>
      </c>
      <c r="J1006" s="25" t="s">
        <v>3094</v>
      </c>
    </row>
    <row r="1007" spans="1:12" ht="18" hidden="1" customHeight="1" outlineLevel="2" x14ac:dyDescent="0.2">
      <c r="A1007" s="18"/>
      <c r="B1007" s="18"/>
      <c r="C1007" s="18"/>
      <c r="D1007" s="18" t="s">
        <v>3326</v>
      </c>
      <c r="E1007" s="18" t="s">
        <v>1757</v>
      </c>
      <c r="F1007" s="18" t="s">
        <v>1765</v>
      </c>
      <c r="G1007" s="36" t="s">
        <v>1766</v>
      </c>
      <c r="H1007" s="18" t="s">
        <v>711</v>
      </c>
      <c r="I1007" s="18" t="s">
        <v>1760</v>
      </c>
      <c r="J1007" s="25" t="s">
        <v>3095</v>
      </c>
    </row>
    <row r="1008" spans="1:12" ht="18" hidden="1" customHeight="1" outlineLevel="2" x14ac:dyDescent="0.2">
      <c r="A1008" s="18"/>
      <c r="B1008" s="18"/>
      <c r="C1008" s="18"/>
      <c r="D1008" s="18" t="s">
        <v>3327</v>
      </c>
      <c r="E1008" s="18" t="s">
        <v>1757</v>
      </c>
      <c r="F1008" s="18" t="s">
        <v>1767</v>
      </c>
      <c r="G1008" s="36" t="s">
        <v>1768</v>
      </c>
      <c r="H1008" s="18" t="s">
        <v>711</v>
      </c>
      <c r="I1008" s="18" t="s">
        <v>1760</v>
      </c>
      <c r="J1008" s="25" t="s">
        <v>426</v>
      </c>
    </row>
    <row r="1009" spans="1:14" ht="18" hidden="1" customHeight="1" outlineLevel="2" x14ac:dyDescent="0.2">
      <c r="A1009" s="18"/>
      <c r="B1009" s="18"/>
      <c r="C1009" s="18"/>
      <c r="D1009" s="18" t="s">
        <v>352</v>
      </c>
      <c r="E1009" s="18" t="s">
        <v>1757</v>
      </c>
      <c r="F1009" s="18" t="s">
        <v>1769</v>
      </c>
      <c r="G1009" s="36" t="s">
        <v>1770</v>
      </c>
      <c r="H1009" s="18" t="s">
        <v>711</v>
      </c>
      <c r="I1009" s="18" t="s">
        <v>1760</v>
      </c>
      <c r="J1009" s="25" t="s">
        <v>426</v>
      </c>
    </row>
    <row r="1010" spans="1:14" ht="18" hidden="1" customHeight="1" outlineLevel="2" x14ac:dyDescent="0.2">
      <c r="A1010" s="18"/>
      <c r="B1010" s="18"/>
      <c r="C1010" s="18"/>
      <c r="D1010" s="18" t="s">
        <v>352</v>
      </c>
      <c r="E1010" s="18" t="s">
        <v>1771</v>
      </c>
      <c r="F1010" s="18" t="s">
        <v>1772</v>
      </c>
      <c r="G1010" s="36" t="s">
        <v>1773</v>
      </c>
      <c r="H1010" s="18" t="s">
        <v>711</v>
      </c>
      <c r="I1010" s="18" t="s">
        <v>1760</v>
      </c>
      <c r="J1010" s="25" t="s">
        <v>3093</v>
      </c>
    </row>
    <row r="1011" spans="1:14" ht="18" hidden="1" customHeight="1" outlineLevel="2" x14ac:dyDescent="0.2">
      <c r="A1011" s="18"/>
      <c r="B1011" s="18"/>
      <c r="C1011" s="18"/>
      <c r="D1011" s="18" t="s">
        <v>352</v>
      </c>
      <c r="E1011" s="18" t="s">
        <v>1771</v>
      </c>
      <c r="F1011" s="18" t="s">
        <v>1774</v>
      </c>
      <c r="G1011" s="36" t="s">
        <v>1775</v>
      </c>
      <c r="H1011" s="18" t="s">
        <v>711</v>
      </c>
      <c r="I1011" s="18" t="s">
        <v>1760</v>
      </c>
      <c r="J1011" s="25" t="s">
        <v>350</v>
      </c>
    </row>
    <row r="1012" spans="1:14" ht="18" hidden="1" customHeight="1" outlineLevel="2" x14ac:dyDescent="0.2">
      <c r="A1012" s="18"/>
      <c r="B1012" s="18"/>
      <c r="C1012" s="18"/>
      <c r="D1012" s="18" t="s">
        <v>352</v>
      </c>
      <c r="E1012" s="18" t="s">
        <v>1771</v>
      </c>
      <c r="F1012" s="18" t="s">
        <v>1776</v>
      </c>
      <c r="G1012" s="36" t="s">
        <v>1777</v>
      </c>
      <c r="H1012" s="18" t="s">
        <v>711</v>
      </c>
      <c r="I1012" s="18" t="s">
        <v>1760</v>
      </c>
      <c r="J1012" s="25" t="s">
        <v>3094</v>
      </c>
    </row>
    <row r="1013" spans="1:14" ht="18" hidden="1" customHeight="1" outlineLevel="2" x14ac:dyDescent="0.2">
      <c r="A1013" s="18"/>
      <c r="B1013" s="18"/>
      <c r="C1013" s="18"/>
      <c r="D1013" s="18" t="s">
        <v>352</v>
      </c>
      <c r="E1013" s="18" t="s">
        <v>1771</v>
      </c>
      <c r="F1013" s="18" t="s">
        <v>1778</v>
      </c>
      <c r="G1013" s="36" t="s">
        <v>1779</v>
      </c>
      <c r="H1013" s="18" t="s">
        <v>711</v>
      </c>
      <c r="I1013" s="18" t="s">
        <v>1760</v>
      </c>
      <c r="J1013" s="25" t="s">
        <v>3095</v>
      </c>
    </row>
    <row r="1014" spans="1:14" ht="18" hidden="1" customHeight="1" outlineLevel="2" x14ac:dyDescent="0.2">
      <c r="A1014" s="18"/>
      <c r="B1014" s="18"/>
      <c r="C1014" s="18"/>
      <c r="D1014" s="18" t="s">
        <v>3328</v>
      </c>
      <c r="E1014" s="18" t="s">
        <v>1780</v>
      </c>
      <c r="F1014" s="18" t="s">
        <v>1781</v>
      </c>
      <c r="G1014" s="36" t="s">
        <v>1782</v>
      </c>
      <c r="H1014" s="18" t="s">
        <v>711</v>
      </c>
      <c r="I1014" s="18" t="s">
        <v>1760</v>
      </c>
      <c r="J1014" s="25" t="s">
        <v>405</v>
      </c>
    </row>
    <row r="1015" spans="1:14" ht="18" hidden="1" customHeight="1" outlineLevel="2" x14ac:dyDescent="0.2">
      <c r="A1015" s="18"/>
      <c r="B1015" s="18"/>
      <c r="C1015" s="18"/>
      <c r="D1015" s="18" t="s">
        <v>3329</v>
      </c>
      <c r="E1015" s="18" t="s">
        <v>1780</v>
      </c>
      <c r="F1015" s="18" t="s">
        <v>1783</v>
      </c>
      <c r="G1015" s="36" t="s">
        <v>1784</v>
      </c>
      <c r="H1015" s="18" t="s">
        <v>711</v>
      </c>
      <c r="I1015" s="18" t="s">
        <v>1760</v>
      </c>
      <c r="J1015" s="25" t="s">
        <v>426</v>
      </c>
    </row>
    <row r="1016" spans="1:14" ht="18" hidden="1" customHeight="1" outlineLevel="2" x14ac:dyDescent="0.2">
      <c r="A1016" s="18"/>
      <c r="B1016" s="18"/>
      <c r="C1016" s="18"/>
      <c r="D1016" s="18" t="s">
        <v>3330</v>
      </c>
      <c r="E1016" s="18" t="s">
        <v>1780</v>
      </c>
      <c r="F1016" s="18" t="s">
        <v>1785</v>
      </c>
      <c r="G1016" s="36" t="s">
        <v>1786</v>
      </c>
      <c r="H1016" s="18" t="s">
        <v>711</v>
      </c>
      <c r="I1016" s="18" t="s">
        <v>1760</v>
      </c>
      <c r="J1016" s="25" t="s">
        <v>426</v>
      </c>
    </row>
    <row r="1017" spans="1:14" ht="18" hidden="1" customHeight="1" outlineLevel="2" x14ac:dyDescent="0.2">
      <c r="A1017" s="18"/>
      <c r="B1017" s="18"/>
      <c r="C1017" s="18"/>
      <c r="D1017" s="18" t="s">
        <v>352</v>
      </c>
      <c r="E1017" s="18" t="s">
        <v>1787</v>
      </c>
      <c r="F1017" s="18"/>
      <c r="G1017" s="36" t="s">
        <v>1788</v>
      </c>
      <c r="H1017" s="18" t="s">
        <v>711</v>
      </c>
      <c r="I1017" s="18" t="s">
        <v>1760</v>
      </c>
      <c r="J1017" s="25" t="s">
        <v>426</v>
      </c>
    </row>
    <row r="1018" spans="1:14" ht="18" hidden="1" customHeight="1" outlineLevel="2" x14ac:dyDescent="0.2">
      <c r="A1018" s="18"/>
      <c r="B1018" s="18"/>
      <c r="C1018" s="18"/>
      <c r="D1018" s="18" t="s">
        <v>352</v>
      </c>
      <c r="E1018" s="18" t="s">
        <v>1789</v>
      </c>
      <c r="F1018" s="18" t="s">
        <v>1790</v>
      </c>
      <c r="G1018" s="36"/>
      <c r="H1018" s="18"/>
      <c r="I1018" s="18" t="s">
        <v>1791</v>
      </c>
      <c r="J1018" s="25" t="s">
        <v>2063</v>
      </c>
    </row>
    <row r="1019" spans="1:14" ht="18" hidden="1" customHeight="1" outlineLevel="2" x14ac:dyDescent="0.2">
      <c r="A1019" s="18"/>
      <c r="B1019" s="18"/>
      <c r="C1019" s="18"/>
      <c r="D1019" s="18" t="s">
        <v>352</v>
      </c>
      <c r="E1019" s="18" t="s">
        <v>1824</v>
      </c>
      <c r="F1019" s="18" t="s">
        <v>1825</v>
      </c>
      <c r="G1019" s="36" t="s">
        <v>1826</v>
      </c>
      <c r="H1019" s="18" t="s">
        <v>1625</v>
      </c>
      <c r="I1019" s="18" t="s">
        <v>3757</v>
      </c>
      <c r="J1019" s="25" t="s">
        <v>2642</v>
      </c>
    </row>
    <row r="1020" spans="1:14" ht="18" hidden="1" customHeight="1" outlineLevel="2" x14ac:dyDescent="0.2">
      <c r="A1020" s="18"/>
      <c r="B1020" s="18"/>
      <c r="C1020" s="18"/>
      <c r="D1020" s="18" t="s">
        <v>352</v>
      </c>
      <c r="E1020" s="18" t="s">
        <v>1824</v>
      </c>
      <c r="F1020" s="18" t="s">
        <v>1827</v>
      </c>
      <c r="G1020" s="36" t="s">
        <v>1828</v>
      </c>
      <c r="H1020" s="18" t="s">
        <v>1625</v>
      </c>
      <c r="I1020" s="18" t="s">
        <v>3758</v>
      </c>
      <c r="J1020" s="25" t="s">
        <v>2642</v>
      </c>
    </row>
    <row r="1021" spans="1:14" ht="18" hidden="1" customHeight="1" outlineLevel="2" x14ac:dyDescent="0.2">
      <c r="A1021" s="18"/>
      <c r="B1021" s="18"/>
      <c r="C1021" s="18"/>
      <c r="D1021" s="18" t="s">
        <v>352</v>
      </c>
      <c r="E1021" s="18" t="s">
        <v>1824</v>
      </c>
      <c r="F1021" s="18" t="s">
        <v>1829</v>
      </c>
      <c r="G1021" s="36" t="s">
        <v>1828</v>
      </c>
      <c r="H1021" s="18" t="s">
        <v>1625</v>
      </c>
      <c r="I1021" s="18" t="s">
        <v>3759</v>
      </c>
      <c r="J1021" s="25" t="s">
        <v>2642</v>
      </c>
    </row>
    <row r="1022" spans="1:14" ht="18" hidden="1" customHeight="1" outlineLevel="2" x14ac:dyDescent="0.2">
      <c r="A1022" s="18"/>
      <c r="B1022" s="18"/>
      <c r="C1022" s="18"/>
      <c r="D1022" s="18"/>
      <c r="E1022" s="18"/>
      <c r="F1022" s="18"/>
      <c r="G1022" s="36"/>
      <c r="H1022" s="18"/>
      <c r="I1022" s="18"/>
    </row>
    <row r="1023" spans="1:14" customFormat="1" ht="18" hidden="1" customHeight="1" outlineLevel="1" collapsed="1" x14ac:dyDescent="0.25">
      <c r="A1023" s="119" t="s">
        <v>85</v>
      </c>
      <c r="B1023" s="120"/>
      <c r="C1023" s="120"/>
      <c r="D1023" s="120"/>
      <c r="E1023" s="120"/>
      <c r="F1023" s="120"/>
      <c r="G1023" s="120"/>
      <c r="H1023" s="120"/>
      <c r="I1023" s="120"/>
      <c r="J1023" s="120"/>
      <c r="K1023" s="120"/>
      <c r="L1023" s="160"/>
      <c r="N1023" s="9"/>
    </row>
    <row r="1024" spans="1:14" ht="18" hidden="1" customHeight="1" outlineLevel="2" x14ac:dyDescent="0.2">
      <c r="A1024" s="18"/>
      <c r="B1024" s="18"/>
      <c r="C1024" s="18"/>
      <c r="D1024" s="18" t="s">
        <v>352</v>
      </c>
      <c r="E1024" s="18" t="s">
        <v>1792</v>
      </c>
      <c r="F1024" s="18" t="s">
        <v>1793</v>
      </c>
      <c r="G1024" s="36" t="s">
        <v>1794</v>
      </c>
      <c r="H1024" s="18" t="s">
        <v>1795</v>
      </c>
      <c r="I1024" s="18" t="s">
        <v>1796</v>
      </c>
    </row>
    <row r="1025" spans="1:12" ht="18" hidden="1" customHeight="1" outlineLevel="2" x14ac:dyDescent="0.2">
      <c r="A1025" s="18"/>
      <c r="B1025" s="18"/>
      <c r="C1025" s="18"/>
      <c r="D1025" s="18" t="s">
        <v>352</v>
      </c>
      <c r="E1025" s="18" t="s">
        <v>1792</v>
      </c>
      <c r="F1025" s="18" t="s">
        <v>1797</v>
      </c>
      <c r="G1025" s="36" t="s">
        <v>1798</v>
      </c>
      <c r="H1025" s="18" t="s">
        <v>1795</v>
      </c>
      <c r="I1025" s="18" t="s">
        <v>1799</v>
      </c>
    </row>
    <row r="1026" spans="1:12" ht="18" hidden="1" customHeight="1" outlineLevel="2" x14ac:dyDescent="0.2">
      <c r="A1026" s="18"/>
      <c r="B1026" s="18"/>
      <c r="C1026" s="18"/>
      <c r="D1026" s="18" t="s">
        <v>352</v>
      </c>
      <c r="E1026" s="18" t="s">
        <v>1792</v>
      </c>
      <c r="F1026" s="18" t="s">
        <v>1800</v>
      </c>
      <c r="G1026" s="36" t="s">
        <v>1801</v>
      </c>
      <c r="H1026" s="18" t="s">
        <v>1795</v>
      </c>
      <c r="I1026" s="18" t="s">
        <v>1802</v>
      </c>
    </row>
    <row r="1027" spans="1:12" ht="18" hidden="1" customHeight="1" outlineLevel="2" x14ac:dyDescent="0.2">
      <c r="A1027" s="18"/>
      <c r="B1027" s="18"/>
      <c r="C1027" s="18"/>
      <c r="D1027" s="18" t="s">
        <v>352</v>
      </c>
      <c r="E1027" s="18" t="s">
        <v>1803</v>
      </c>
      <c r="F1027" s="18" t="s">
        <v>1804</v>
      </c>
      <c r="G1027" s="36" t="s">
        <v>1805</v>
      </c>
      <c r="H1027" s="18" t="s">
        <v>1795</v>
      </c>
      <c r="I1027" s="18" t="s">
        <v>1806</v>
      </c>
      <c r="J1027" s="25" t="s">
        <v>674</v>
      </c>
    </row>
    <row r="1028" spans="1:12" ht="18" hidden="1" customHeight="1" outlineLevel="2" x14ac:dyDescent="0.2">
      <c r="A1028" s="18"/>
      <c r="B1028" s="18"/>
      <c r="C1028" s="18"/>
      <c r="D1028" s="18" t="s">
        <v>352</v>
      </c>
      <c r="E1028" s="18" t="s">
        <v>1803</v>
      </c>
      <c r="F1028" s="18" t="s">
        <v>1807</v>
      </c>
      <c r="G1028" s="36" t="s">
        <v>1808</v>
      </c>
      <c r="H1028" s="18" t="s">
        <v>1795</v>
      </c>
      <c r="I1028" s="18" t="s">
        <v>1806</v>
      </c>
      <c r="J1028" s="25" t="s">
        <v>674</v>
      </c>
    </row>
    <row r="1029" spans="1:12" ht="18" hidden="1" customHeight="1" outlineLevel="2" x14ac:dyDescent="0.2">
      <c r="A1029" s="18"/>
      <c r="B1029" s="18"/>
      <c r="C1029" s="18"/>
      <c r="D1029" s="18" t="s">
        <v>352</v>
      </c>
      <c r="E1029" s="33" t="s">
        <v>1803</v>
      </c>
      <c r="F1029" s="18" t="s">
        <v>1809</v>
      </c>
      <c r="G1029" s="36" t="s">
        <v>1810</v>
      </c>
      <c r="H1029" s="18" t="s">
        <v>1795</v>
      </c>
      <c r="I1029" s="18" t="s">
        <v>1806</v>
      </c>
      <c r="J1029" s="25" t="s">
        <v>674</v>
      </c>
      <c r="K1029" s="25">
        <v>20</v>
      </c>
      <c r="L1029" s="25">
        <v>30</v>
      </c>
    </row>
    <row r="1030" spans="1:12" ht="18" hidden="1" customHeight="1" outlineLevel="2" x14ac:dyDescent="0.2">
      <c r="A1030" s="18"/>
      <c r="B1030" s="18"/>
      <c r="C1030" s="18"/>
      <c r="D1030" s="18" t="s">
        <v>352</v>
      </c>
      <c r="E1030" s="18" t="s">
        <v>1803</v>
      </c>
      <c r="F1030" s="18" t="s">
        <v>1811</v>
      </c>
      <c r="G1030" s="36" t="s">
        <v>1812</v>
      </c>
      <c r="H1030" s="18" t="s">
        <v>1795</v>
      </c>
      <c r="I1030" s="18" t="s">
        <v>1806</v>
      </c>
      <c r="J1030" s="25" t="s">
        <v>674</v>
      </c>
    </row>
    <row r="1031" spans="1:12" ht="18" hidden="1" customHeight="1" outlineLevel="2" x14ac:dyDescent="0.2">
      <c r="A1031" s="18"/>
      <c r="B1031" s="18"/>
      <c r="C1031" s="18"/>
      <c r="D1031" s="18" t="s">
        <v>352</v>
      </c>
      <c r="E1031" s="18" t="s">
        <v>1803</v>
      </c>
      <c r="F1031" s="18" t="s">
        <v>1813</v>
      </c>
      <c r="G1031" s="36" t="s">
        <v>1814</v>
      </c>
      <c r="H1031" s="18" t="s">
        <v>1795</v>
      </c>
      <c r="I1031" s="18" t="s">
        <v>1806</v>
      </c>
      <c r="J1031" s="25" t="s">
        <v>674</v>
      </c>
    </row>
    <row r="1032" spans="1:12" ht="18" hidden="1" customHeight="1" outlineLevel="2" x14ac:dyDescent="0.2">
      <c r="A1032" s="18"/>
      <c r="B1032" s="18"/>
      <c r="C1032" s="18"/>
      <c r="D1032" s="18" t="s">
        <v>352</v>
      </c>
      <c r="E1032" s="18" t="s">
        <v>1803</v>
      </c>
      <c r="F1032" s="18" t="s">
        <v>1815</v>
      </c>
      <c r="G1032" s="36" t="s">
        <v>1816</v>
      </c>
      <c r="H1032" s="18" t="s">
        <v>1795</v>
      </c>
      <c r="I1032" s="18" t="s">
        <v>1806</v>
      </c>
      <c r="J1032" s="25" t="s">
        <v>674</v>
      </c>
    </row>
    <row r="1033" spans="1:12" ht="18" hidden="1" customHeight="1" outlineLevel="2" x14ac:dyDescent="0.2">
      <c r="A1033" s="18"/>
      <c r="B1033" s="18"/>
      <c r="C1033" s="18"/>
      <c r="D1033" s="18" t="s">
        <v>352</v>
      </c>
      <c r="E1033" s="18" t="s">
        <v>1803</v>
      </c>
      <c r="F1033" s="18" t="s">
        <v>1817</v>
      </c>
      <c r="G1033" s="36" t="s">
        <v>1818</v>
      </c>
      <c r="H1033" s="18" t="s">
        <v>1795</v>
      </c>
      <c r="I1033" s="18" t="s">
        <v>1806</v>
      </c>
      <c r="J1033" s="25" t="s">
        <v>674</v>
      </c>
    </row>
    <row r="1034" spans="1:12" ht="18" hidden="1" customHeight="1" outlineLevel="2" x14ac:dyDescent="0.2">
      <c r="A1034" s="18"/>
      <c r="B1034" s="18"/>
      <c r="C1034" s="18"/>
      <c r="D1034" s="18" t="s">
        <v>352</v>
      </c>
      <c r="E1034" s="18" t="s">
        <v>1819</v>
      </c>
      <c r="F1034" s="18"/>
      <c r="G1034" s="36" t="s">
        <v>1820</v>
      </c>
      <c r="H1034" s="18" t="s">
        <v>1795</v>
      </c>
      <c r="I1034" s="18" t="s">
        <v>1821</v>
      </c>
      <c r="J1034" s="25" t="s">
        <v>674</v>
      </c>
    </row>
    <row r="1035" spans="1:12" ht="18" hidden="1" customHeight="1" outlineLevel="2" x14ac:dyDescent="0.2">
      <c r="A1035" s="18"/>
      <c r="B1035" s="18"/>
      <c r="C1035" s="18"/>
      <c r="D1035" s="18" t="s">
        <v>352</v>
      </c>
      <c r="E1035" s="18" t="s">
        <v>1819</v>
      </c>
      <c r="F1035" s="18"/>
      <c r="G1035" s="36" t="s">
        <v>1822</v>
      </c>
      <c r="H1035" s="18" t="s">
        <v>1795</v>
      </c>
      <c r="I1035" s="18" t="s">
        <v>1823</v>
      </c>
      <c r="J1035" s="25" t="s">
        <v>674</v>
      </c>
    </row>
    <row r="1036" spans="1:12" ht="18" hidden="1" customHeight="1" outlineLevel="2" x14ac:dyDescent="0.2">
      <c r="A1036" s="18"/>
      <c r="B1036" s="18"/>
      <c r="C1036" s="18"/>
      <c r="D1036" s="18"/>
      <c r="E1036" s="18"/>
      <c r="F1036" s="18"/>
      <c r="G1036" s="36"/>
      <c r="H1036" s="18"/>
      <c r="I1036" s="18"/>
    </row>
    <row r="1037" spans="1:12" ht="18" hidden="1" customHeight="1" outlineLevel="1" collapsed="1" x14ac:dyDescent="0.2">
      <c r="A1037" s="119" t="s">
        <v>87</v>
      </c>
      <c r="B1037" s="120"/>
      <c r="C1037" s="120"/>
      <c r="D1037" s="120"/>
      <c r="E1037" s="120"/>
      <c r="F1037" s="120"/>
      <c r="G1037" s="120"/>
      <c r="H1037" s="120"/>
      <c r="I1037" s="120"/>
      <c r="J1037" s="120"/>
      <c r="K1037" s="120"/>
      <c r="L1037" s="160"/>
    </row>
    <row r="1038" spans="1:12" ht="18" hidden="1" customHeight="1" outlineLevel="2" x14ac:dyDescent="0.2">
      <c r="A1038" s="18"/>
      <c r="B1038" s="18"/>
      <c r="C1038" s="18"/>
      <c r="D1038" s="18" t="s">
        <v>352</v>
      </c>
      <c r="E1038" s="18" t="s">
        <v>1833</v>
      </c>
      <c r="F1038" s="18" t="s">
        <v>1834</v>
      </c>
      <c r="G1038" s="36" t="s">
        <v>1835</v>
      </c>
      <c r="H1038" s="18" t="s">
        <v>711</v>
      </c>
      <c r="I1038" s="18"/>
      <c r="J1038" s="25" t="s">
        <v>3096</v>
      </c>
    </row>
    <row r="1039" spans="1:12" ht="18" hidden="1" customHeight="1" outlineLevel="2" x14ac:dyDescent="0.2">
      <c r="A1039" s="18"/>
      <c r="B1039" s="18"/>
      <c r="C1039" s="18"/>
      <c r="D1039" s="18" t="s">
        <v>352</v>
      </c>
      <c r="E1039" s="18" t="s">
        <v>1833</v>
      </c>
      <c r="F1039" s="18" t="s">
        <v>1836</v>
      </c>
      <c r="G1039" s="36" t="s">
        <v>1837</v>
      </c>
      <c r="H1039" s="18" t="s">
        <v>711</v>
      </c>
      <c r="I1039" s="18"/>
      <c r="J1039" s="25" t="s">
        <v>3096</v>
      </c>
    </row>
    <row r="1040" spans="1:12" ht="18" hidden="1" customHeight="1" outlineLevel="2" x14ac:dyDescent="0.2">
      <c r="A1040" s="18"/>
      <c r="B1040" s="18"/>
      <c r="C1040" s="18"/>
      <c r="D1040" s="18" t="s">
        <v>352</v>
      </c>
      <c r="E1040" s="18" t="s">
        <v>1838</v>
      </c>
      <c r="F1040" s="18" t="s">
        <v>1836</v>
      </c>
      <c r="G1040" s="36" t="s">
        <v>1839</v>
      </c>
      <c r="H1040" s="18" t="s">
        <v>711</v>
      </c>
      <c r="I1040" s="18"/>
      <c r="J1040" s="25" t="s">
        <v>211</v>
      </c>
    </row>
    <row r="1041" spans="1:12" ht="18" hidden="1" customHeight="1" outlineLevel="2" x14ac:dyDescent="0.2">
      <c r="A1041" s="18"/>
      <c r="B1041" s="18"/>
      <c r="C1041" s="18"/>
      <c r="D1041" s="18" t="s">
        <v>352</v>
      </c>
      <c r="E1041" s="18" t="s">
        <v>1833</v>
      </c>
      <c r="F1041" s="18" t="s">
        <v>1840</v>
      </c>
      <c r="G1041" s="36" t="s">
        <v>1841</v>
      </c>
      <c r="H1041" s="18" t="s">
        <v>711</v>
      </c>
      <c r="I1041" s="18"/>
      <c r="J1041" s="25" t="s">
        <v>212</v>
      </c>
    </row>
    <row r="1042" spans="1:12" ht="18" hidden="1" customHeight="1" outlineLevel="2" x14ac:dyDescent="0.2">
      <c r="A1042" s="18"/>
      <c r="B1042" s="18"/>
      <c r="C1042" s="18"/>
      <c r="D1042" s="18" t="s">
        <v>352</v>
      </c>
      <c r="E1042" s="18" t="s">
        <v>1838</v>
      </c>
      <c r="F1042" s="18" t="s">
        <v>1840</v>
      </c>
      <c r="G1042" s="36" t="s">
        <v>1842</v>
      </c>
      <c r="H1042" s="18" t="s">
        <v>711</v>
      </c>
      <c r="I1042" s="18"/>
      <c r="J1042" s="25" t="s">
        <v>211</v>
      </c>
    </row>
    <row r="1043" spans="1:12" ht="18" hidden="1" customHeight="1" outlineLevel="2" x14ac:dyDescent="0.2">
      <c r="A1043" s="18"/>
      <c r="B1043" s="18"/>
      <c r="C1043" s="18"/>
      <c r="D1043" s="18" t="s">
        <v>352</v>
      </c>
      <c r="E1043" s="18" t="s">
        <v>1833</v>
      </c>
      <c r="F1043" s="18" t="s">
        <v>1843</v>
      </c>
      <c r="G1043" s="36" t="s">
        <v>1844</v>
      </c>
      <c r="H1043" s="18" t="s">
        <v>711</v>
      </c>
      <c r="I1043" s="18"/>
      <c r="J1043" s="25" t="s">
        <v>212</v>
      </c>
    </row>
    <row r="1044" spans="1:12" ht="18" hidden="1" customHeight="1" outlineLevel="2" x14ac:dyDescent="0.2">
      <c r="A1044" s="18"/>
      <c r="B1044" s="18"/>
      <c r="C1044" s="18"/>
      <c r="D1044" s="18" t="s">
        <v>352</v>
      </c>
      <c r="E1044" s="18" t="s">
        <v>1838</v>
      </c>
      <c r="F1044" s="18" t="s">
        <v>1843</v>
      </c>
      <c r="G1044" s="36" t="s">
        <v>1845</v>
      </c>
      <c r="H1044" s="18" t="s">
        <v>711</v>
      </c>
      <c r="I1044" s="18"/>
      <c r="J1044" s="25" t="s">
        <v>211</v>
      </c>
    </row>
    <row r="1045" spans="1:12" ht="18" hidden="1" customHeight="1" outlineLevel="2" x14ac:dyDescent="0.2">
      <c r="A1045" s="18"/>
      <c r="B1045" s="18"/>
      <c r="C1045" s="18"/>
      <c r="D1045" s="18" t="s">
        <v>352</v>
      </c>
      <c r="E1045" s="18" t="s">
        <v>1833</v>
      </c>
      <c r="F1045" s="18" t="s">
        <v>1846</v>
      </c>
      <c r="G1045" s="36" t="s">
        <v>1847</v>
      </c>
      <c r="H1045" s="18" t="s">
        <v>711</v>
      </c>
      <c r="I1045" s="18"/>
      <c r="J1045" s="25" t="s">
        <v>212</v>
      </c>
    </row>
    <row r="1046" spans="1:12" ht="18" hidden="1" customHeight="1" outlineLevel="2" x14ac:dyDescent="0.2">
      <c r="A1046" s="18"/>
      <c r="B1046" s="18"/>
      <c r="C1046" s="18"/>
      <c r="D1046" s="18" t="s">
        <v>352</v>
      </c>
      <c r="E1046" s="18" t="s">
        <v>1833</v>
      </c>
      <c r="F1046" s="18" t="s">
        <v>1848</v>
      </c>
      <c r="G1046" s="36" t="s">
        <v>1849</v>
      </c>
      <c r="H1046" s="18" t="s">
        <v>711</v>
      </c>
      <c r="I1046" s="18"/>
      <c r="J1046" s="25" t="s">
        <v>222</v>
      </c>
    </row>
    <row r="1047" spans="1:12" ht="18" hidden="1" customHeight="1" outlineLevel="2" x14ac:dyDescent="0.2">
      <c r="A1047" s="18"/>
      <c r="B1047" s="18"/>
      <c r="C1047" s="18"/>
      <c r="D1047" s="18" t="s">
        <v>352</v>
      </c>
      <c r="E1047" s="18" t="s">
        <v>1833</v>
      </c>
      <c r="F1047" s="18" t="s">
        <v>1850</v>
      </c>
      <c r="G1047" s="36" t="s">
        <v>1851</v>
      </c>
      <c r="H1047" s="18" t="s">
        <v>711</v>
      </c>
      <c r="I1047" s="18"/>
      <c r="J1047" s="25" t="s">
        <v>222</v>
      </c>
    </row>
    <row r="1048" spans="1:12" ht="18" hidden="1" customHeight="1" outlineLevel="2" x14ac:dyDescent="0.2">
      <c r="A1048" s="18"/>
      <c r="B1048" s="18"/>
      <c r="C1048" s="18"/>
      <c r="D1048" s="18" t="s">
        <v>352</v>
      </c>
      <c r="E1048" s="18" t="s">
        <v>1833</v>
      </c>
      <c r="F1048" s="18" t="s">
        <v>1852</v>
      </c>
      <c r="G1048" s="36" t="s">
        <v>1853</v>
      </c>
      <c r="H1048" s="18" t="s">
        <v>711</v>
      </c>
      <c r="I1048" s="18"/>
      <c r="J1048" s="25" t="s">
        <v>674</v>
      </c>
    </row>
    <row r="1049" spans="1:12" ht="18" hidden="1" customHeight="1" outlineLevel="2" x14ac:dyDescent="0.2">
      <c r="A1049" s="18"/>
      <c r="B1049" s="18"/>
      <c r="C1049" s="18"/>
      <c r="D1049" s="18" t="s">
        <v>352</v>
      </c>
      <c r="E1049" s="18" t="s">
        <v>1833</v>
      </c>
      <c r="F1049" s="18" t="s">
        <v>1854</v>
      </c>
      <c r="G1049" s="36" t="s">
        <v>1855</v>
      </c>
      <c r="H1049" s="18" t="s">
        <v>711</v>
      </c>
      <c r="I1049" s="18"/>
      <c r="J1049" s="25" t="s">
        <v>674</v>
      </c>
    </row>
    <row r="1050" spans="1:12" ht="18" hidden="1" customHeight="1" outlineLevel="2" x14ac:dyDescent="0.2">
      <c r="A1050" s="18"/>
      <c r="B1050" s="18"/>
      <c r="C1050" s="18"/>
      <c r="D1050" s="18" t="s">
        <v>352</v>
      </c>
      <c r="E1050" s="18" t="s">
        <v>1833</v>
      </c>
      <c r="F1050" s="18" t="s">
        <v>1856</v>
      </c>
      <c r="G1050" s="36" t="s">
        <v>1857</v>
      </c>
      <c r="H1050" s="18" t="s">
        <v>711</v>
      </c>
      <c r="I1050" s="18"/>
      <c r="J1050" s="25" t="s">
        <v>674</v>
      </c>
    </row>
    <row r="1051" spans="1:12" ht="18" hidden="1" customHeight="1" outlineLevel="2" x14ac:dyDescent="0.2">
      <c r="A1051" s="18"/>
      <c r="B1051" s="18"/>
      <c r="C1051" s="18"/>
      <c r="D1051" s="18" t="s">
        <v>352</v>
      </c>
      <c r="E1051" s="18" t="s">
        <v>1858</v>
      </c>
      <c r="F1051" s="18" t="s">
        <v>1859</v>
      </c>
      <c r="G1051" s="36" t="s">
        <v>1860</v>
      </c>
      <c r="H1051" s="18" t="s">
        <v>711</v>
      </c>
      <c r="I1051" s="18"/>
      <c r="J1051" s="25" t="s">
        <v>674</v>
      </c>
    </row>
    <row r="1052" spans="1:12" ht="18" hidden="1" customHeight="1" outlineLevel="2" x14ac:dyDescent="0.2">
      <c r="A1052" s="18"/>
      <c r="B1052" s="18"/>
      <c r="C1052" s="18"/>
      <c r="D1052" s="18"/>
      <c r="E1052" s="18"/>
      <c r="F1052" s="18"/>
      <c r="G1052" s="36"/>
      <c r="H1052" s="18"/>
      <c r="I1052" s="18"/>
    </row>
    <row r="1053" spans="1:12" ht="18" hidden="1" customHeight="1" outlineLevel="1" collapsed="1" x14ac:dyDescent="0.2">
      <c r="A1053" s="119" t="s">
        <v>88</v>
      </c>
      <c r="B1053" s="120"/>
      <c r="C1053" s="120"/>
      <c r="D1053" s="120"/>
      <c r="E1053" s="120"/>
      <c r="F1053" s="120"/>
      <c r="G1053" s="120"/>
      <c r="H1053" s="120"/>
      <c r="I1053" s="120"/>
      <c r="J1053" s="120"/>
      <c r="K1053" s="120"/>
      <c r="L1053" s="160"/>
    </row>
    <row r="1054" spans="1:12" ht="18" hidden="1" customHeight="1" outlineLevel="2" x14ac:dyDescent="0.2">
      <c r="A1054" s="18"/>
      <c r="B1054" s="18"/>
      <c r="C1054" s="18"/>
      <c r="D1054" s="18" t="s">
        <v>352</v>
      </c>
      <c r="E1054" s="18" t="s">
        <v>1861</v>
      </c>
      <c r="F1054" s="18" t="s">
        <v>1862</v>
      </c>
      <c r="G1054" s="36" t="s">
        <v>1863</v>
      </c>
      <c r="H1054" s="18" t="s">
        <v>711</v>
      </c>
      <c r="I1054" s="18" t="s">
        <v>3760</v>
      </c>
      <c r="J1054" s="25" t="s">
        <v>3097</v>
      </c>
    </row>
    <row r="1055" spans="1:12" ht="18" hidden="1" customHeight="1" outlineLevel="2" x14ac:dyDescent="0.2">
      <c r="A1055" s="18"/>
      <c r="B1055" s="18"/>
      <c r="C1055" s="18"/>
      <c r="D1055" s="18" t="s">
        <v>352</v>
      </c>
      <c r="E1055" s="18" t="s">
        <v>1861</v>
      </c>
      <c r="F1055" s="18" t="s">
        <v>375</v>
      </c>
      <c r="G1055" s="36" t="s">
        <v>1865</v>
      </c>
      <c r="H1055" s="18" t="s">
        <v>711</v>
      </c>
      <c r="I1055" s="18" t="s">
        <v>3761</v>
      </c>
      <c r="J1055" s="25" t="s">
        <v>3097</v>
      </c>
    </row>
    <row r="1056" spans="1:12" ht="18" hidden="1" customHeight="1" outlineLevel="2" x14ac:dyDescent="0.2">
      <c r="A1056" s="18"/>
      <c r="B1056" s="18"/>
      <c r="C1056" s="18"/>
      <c r="D1056" s="18" t="s">
        <v>352</v>
      </c>
      <c r="E1056" s="18" t="s">
        <v>1861</v>
      </c>
      <c r="F1056" s="18" t="s">
        <v>1866</v>
      </c>
      <c r="G1056" s="36" t="s">
        <v>1867</v>
      </c>
      <c r="H1056" s="18" t="s">
        <v>711</v>
      </c>
      <c r="I1056" s="18" t="s">
        <v>3762</v>
      </c>
      <c r="J1056" s="25" t="s">
        <v>3097</v>
      </c>
    </row>
    <row r="1057" spans="1:12" ht="18" hidden="1" customHeight="1" outlineLevel="2" x14ac:dyDescent="0.2">
      <c r="A1057" s="18"/>
      <c r="B1057" s="18"/>
      <c r="C1057" s="18"/>
      <c r="D1057" s="18" t="s">
        <v>352</v>
      </c>
      <c r="E1057" s="18" t="s">
        <v>1861</v>
      </c>
      <c r="F1057" s="18" t="s">
        <v>675</v>
      </c>
      <c r="G1057" s="36" t="s">
        <v>1868</v>
      </c>
      <c r="H1057" s="18" t="s">
        <v>711</v>
      </c>
      <c r="I1057" s="18" t="s">
        <v>3763</v>
      </c>
      <c r="J1057" s="25" t="s">
        <v>3097</v>
      </c>
    </row>
    <row r="1058" spans="1:12" ht="18" hidden="1" customHeight="1" outlineLevel="2" x14ac:dyDescent="0.2">
      <c r="A1058" s="18"/>
      <c r="B1058" s="18"/>
      <c r="C1058" s="18"/>
      <c r="D1058" s="18" t="s">
        <v>352</v>
      </c>
      <c r="E1058" s="18" t="s">
        <v>1861</v>
      </c>
      <c r="F1058" s="18" t="s">
        <v>1869</v>
      </c>
      <c r="G1058" s="36" t="s">
        <v>1870</v>
      </c>
      <c r="H1058" s="18" t="s">
        <v>711</v>
      </c>
      <c r="I1058" s="18" t="s">
        <v>3764</v>
      </c>
      <c r="J1058" s="25" t="s">
        <v>3097</v>
      </c>
    </row>
    <row r="1059" spans="1:12" ht="18" hidden="1" customHeight="1" outlineLevel="2" x14ac:dyDescent="0.2">
      <c r="A1059" s="18"/>
      <c r="B1059" s="18"/>
      <c r="C1059" s="18"/>
      <c r="D1059" s="18" t="s">
        <v>352</v>
      </c>
      <c r="E1059" s="18" t="s">
        <v>1861</v>
      </c>
      <c r="F1059" s="18" t="s">
        <v>673</v>
      </c>
      <c r="G1059" s="36" t="s">
        <v>1871</v>
      </c>
      <c r="H1059" s="18" t="s">
        <v>711</v>
      </c>
      <c r="I1059" s="18" t="s">
        <v>3765</v>
      </c>
      <c r="J1059" s="25" t="s">
        <v>3097</v>
      </c>
    </row>
    <row r="1060" spans="1:12" ht="18" hidden="1" customHeight="1" outlineLevel="2" x14ac:dyDescent="0.2">
      <c r="A1060" s="18"/>
      <c r="B1060" s="18"/>
      <c r="C1060" s="18"/>
      <c r="D1060" s="18" t="s">
        <v>352</v>
      </c>
      <c r="E1060" s="18" t="s">
        <v>1861</v>
      </c>
      <c r="F1060" s="18" t="s">
        <v>1872</v>
      </c>
      <c r="G1060" s="36" t="s">
        <v>1873</v>
      </c>
      <c r="H1060" s="18" t="s">
        <v>711</v>
      </c>
      <c r="I1060" s="18" t="s">
        <v>3766</v>
      </c>
      <c r="J1060" s="25" t="s">
        <v>3097</v>
      </c>
    </row>
    <row r="1061" spans="1:12" ht="18" hidden="1" customHeight="1" outlineLevel="2" x14ac:dyDescent="0.2">
      <c r="A1061" s="18"/>
      <c r="B1061" s="18"/>
      <c r="C1061" s="18"/>
      <c r="D1061" s="18" t="s">
        <v>352</v>
      </c>
      <c r="E1061" s="18" t="s">
        <v>1861</v>
      </c>
      <c r="F1061" s="18" t="s">
        <v>1874</v>
      </c>
      <c r="G1061" s="36" t="s">
        <v>1875</v>
      </c>
      <c r="H1061" s="18" t="s">
        <v>711</v>
      </c>
      <c r="I1061" s="18" t="s">
        <v>3767</v>
      </c>
      <c r="J1061" s="25" t="s">
        <v>3097</v>
      </c>
    </row>
    <row r="1062" spans="1:12" ht="18" hidden="1" customHeight="1" outlineLevel="2" x14ac:dyDescent="0.2">
      <c r="A1062" s="18"/>
      <c r="B1062" s="18"/>
      <c r="C1062" s="18"/>
      <c r="D1062" s="18" t="s">
        <v>352</v>
      </c>
      <c r="E1062" s="18" t="s">
        <v>1861</v>
      </c>
      <c r="F1062" s="18" t="s">
        <v>1876</v>
      </c>
      <c r="G1062" s="36" t="s">
        <v>1877</v>
      </c>
      <c r="H1062" s="18" t="s">
        <v>711</v>
      </c>
      <c r="I1062" s="18" t="s">
        <v>3768</v>
      </c>
      <c r="J1062" s="25" t="s">
        <v>3097</v>
      </c>
    </row>
    <row r="1063" spans="1:12" ht="18" hidden="1" customHeight="1" outlineLevel="2" x14ac:dyDescent="0.2">
      <c r="A1063" s="18"/>
      <c r="B1063" s="18"/>
      <c r="C1063" s="18"/>
      <c r="D1063" s="18" t="s">
        <v>352</v>
      </c>
      <c r="E1063" s="18" t="s">
        <v>1861</v>
      </c>
      <c r="F1063" s="18" t="s">
        <v>1878</v>
      </c>
      <c r="G1063" s="36" t="s">
        <v>1879</v>
      </c>
      <c r="H1063" s="18" t="s">
        <v>711</v>
      </c>
      <c r="I1063" s="18" t="s">
        <v>3769</v>
      </c>
      <c r="J1063" s="25" t="s">
        <v>3097</v>
      </c>
    </row>
    <row r="1064" spans="1:12" ht="18" hidden="1" customHeight="1" outlineLevel="2" x14ac:dyDescent="0.2">
      <c r="A1064" s="18"/>
      <c r="B1064" s="18"/>
      <c r="C1064" s="18"/>
      <c r="D1064" s="18" t="s">
        <v>352</v>
      </c>
      <c r="E1064" s="18" t="s">
        <v>1880</v>
      </c>
      <c r="F1064" s="18" t="s">
        <v>1881</v>
      </c>
      <c r="G1064" s="36" t="s">
        <v>1882</v>
      </c>
      <c r="H1064" s="18" t="s">
        <v>711</v>
      </c>
      <c r="I1064" s="18"/>
      <c r="J1064" s="25" t="s">
        <v>3098</v>
      </c>
    </row>
    <row r="1065" spans="1:12" ht="18" hidden="1" customHeight="1" outlineLevel="2" x14ac:dyDescent="0.2">
      <c r="A1065" s="18"/>
      <c r="B1065" s="18"/>
      <c r="C1065" s="18"/>
      <c r="D1065" s="18" t="s">
        <v>352</v>
      </c>
      <c r="E1065" s="18" t="s">
        <v>1861</v>
      </c>
      <c r="F1065" s="18" t="s">
        <v>1883</v>
      </c>
      <c r="G1065" s="36" t="s">
        <v>1884</v>
      </c>
      <c r="H1065" s="18" t="s">
        <v>711</v>
      </c>
      <c r="I1065" s="18" t="s">
        <v>1864</v>
      </c>
      <c r="J1065" s="25" t="s">
        <v>3099</v>
      </c>
    </row>
    <row r="1066" spans="1:12" ht="18" hidden="1" customHeight="1" outlineLevel="2" x14ac:dyDescent="0.2">
      <c r="A1066" s="18"/>
      <c r="B1066" s="18"/>
      <c r="C1066" s="18"/>
      <c r="D1066" s="18" t="s">
        <v>352</v>
      </c>
      <c r="E1066" s="18" t="s">
        <v>1861</v>
      </c>
      <c r="F1066" s="18" t="s">
        <v>1885</v>
      </c>
      <c r="G1066" s="36" t="s">
        <v>1886</v>
      </c>
      <c r="H1066" s="18" t="s">
        <v>711</v>
      </c>
      <c r="I1066" s="18" t="s">
        <v>1864</v>
      </c>
      <c r="J1066" s="25" t="s">
        <v>3099</v>
      </c>
    </row>
    <row r="1067" spans="1:12" ht="18" hidden="1" customHeight="1" outlineLevel="2" x14ac:dyDescent="0.2">
      <c r="A1067" s="18"/>
      <c r="B1067" s="18"/>
      <c r="C1067" s="18"/>
      <c r="D1067" s="18" t="s">
        <v>352</v>
      </c>
      <c r="E1067" s="18" t="s">
        <v>1861</v>
      </c>
      <c r="F1067" s="18" t="s">
        <v>1887</v>
      </c>
      <c r="G1067" s="36" t="s">
        <v>1888</v>
      </c>
      <c r="H1067" s="18" t="s">
        <v>711</v>
      </c>
      <c r="I1067" s="18" t="s">
        <v>1864</v>
      </c>
      <c r="J1067" s="25" t="s">
        <v>3099</v>
      </c>
    </row>
    <row r="1068" spans="1:12" ht="18" hidden="1" customHeight="1" outlineLevel="2" x14ac:dyDescent="0.2">
      <c r="A1068" s="18"/>
      <c r="B1068" s="18"/>
      <c r="C1068" s="18"/>
      <c r="D1068" s="18"/>
      <c r="E1068" s="18"/>
      <c r="F1068" s="18"/>
      <c r="G1068" s="36"/>
      <c r="H1068" s="18"/>
      <c r="I1068" s="18"/>
    </row>
    <row r="1069" spans="1:12" ht="18" hidden="1" customHeight="1" outlineLevel="1" collapsed="1" x14ac:dyDescent="0.2">
      <c r="A1069" s="119" t="s">
        <v>102</v>
      </c>
      <c r="B1069" s="120"/>
      <c r="C1069" s="120"/>
      <c r="D1069" s="120"/>
      <c r="E1069" s="120"/>
      <c r="F1069" s="120"/>
      <c r="G1069" s="120"/>
      <c r="H1069" s="120"/>
      <c r="I1069" s="120"/>
      <c r="J1069" s="120"/>
      <c r="K1069" s="120"/>
      <c r="L1069" s="160"/>
    </row>
    <row r="1070" spans="1:12" ht="18" hidden="1" customHeight="1" outlineLevel="2" x14ac:dyDescent="0.2">
      <c r="A1070" s="25"/>
      <c r="B1070" s="25"/>
      <c r="C1070" s="25"/>
      <c r="D1070" s="25"/>
      <c r="E1070" s="59" t="s">
        <v>2040</v>
      </c>
      <c r="F1070" s="25" t="s">
        <v>2041</v>
      </c>
      <c r="G1070" s="25" t="s">
        <v>2042</v>
      </c>
      <c r="H1070" s="25"/>
      <c r="I1070" s="25" t="s">
        <v>3842</v>
      </c>
      <c r="K1070" s="25" t="s">
        <v>57</v>
      </c>
      <c r="L1070" s="25" t="s">
        <v>3108</v>
      </c>
    </row>
    <row r="1071" spans="1:12" ht="18" hidden="1" customHeight="1" outlineLevel="2" x14ac:dyDescent="0.2">
      <c r="A1071" s="25"/>
      <c r="B1071" s="25"/>
      <c r="C1071" s="25"/>
      <c r="D1071" s="25"/>
      <c r="E1071" s="25" t="s">
        <v>2040</v>
      </c>
      <c r="F1071" s="25" t="s">
        <v>2043</v>
      </c>
      <c r="G1071" s="25" t="s">
        <v>2044</v>
      </c>
      <c r="H1071" s="25"/>
      <c r="I1071" s="25" t="s">
        <v>2045</v>
      </c>
    </row>
    <row r="1072" spans="1:12" ht="18" hidden="1" customHeight="1" outlineLevel="2" x14ac:dyDescent="0.2">
      <c r="A1072" s="25"/>
      <c r="B1072" s="25"/>
      <c r="C1072" s="25"/>
      <c r="D1072" s="25"/>
      <c r="E1072" s="25" t="s">
        <v>2040</v>
      </c>
      <c r="F1072" s="25" t="s">
        <v>2046</v>
      </c>
      <c r="G1072" s="25" t="s">
        <v>2047</v>
      </c>
      <c r="H1072" s="25"/>
      <c r="I1072" s="25" t="s">
        <v>2048</v>
      </c>
    </row>
    <row r="1073" spans="1:12" ht="18" hidden="1" customHeight="1" outlineLevel="2" x14ac:dyDescent="0.2">
      <c r="A1073" s="25"/>
      <c r="B1073" s="25"/>
      <c r="C1073" s="25"/>
      <c r="D1073" s="25"/>
      <c r="E1073" s="59" t="s">
        <v>2040</v>
      </c>
      <c r="F1073" s="25" t="s">
        <v>2049</v>
      </c>
      <c r="G1073" s="25" t="s">
        <v>2050</v>
      </c>
      <c r="H1073" s="25"/>
      <c r="I1073" s="25" t="s">
        <v>3843</v>
      </c>
      <c r="K1073" s="25" t="s">
        <v>57</v>
      </c>
      <c r="L1073" s="25" t="s">
        <v>3108</v>
      </c>
    </row>
    <row r="1074" spans="1:12" ht="18" hidden="1" customHeight="1" outlineLevel="2" x14ac:dyDescent="0.2">
      <c r="A1074" s="25"/>
      <c r="B1074" s="25"/>
      <c r="C1074" s="25"/>
      <c r="D1074" s="25"/>
      <c r="E1074" s="25" t="s">
        <v>2040</v>
      </c>
      <c r="F1074" s="25" t="s">
        <v>2051</v>
      </c>
      <c r="G1074" s="25" t="s">
        <v>2052</v>
      </c>
      <c r="H1074" s="25"/>
      <c r="I1074" s="25" t="s">
        <v>2053</v>
      </c>
    </row>
    <row r="1075" spans="1:12" ht="18" hidden="1" customHeight="1" outlineLevel="2" x14ac:dyDescent="0.2">
      <c r="A1075" s="25"/>
      <c r="B1075" s="25"/>
      <c r="C1075" s="25"/>
      <c r="D1075" s="25"/>
      <c r="E1075" s="25" t="s">
        <v>2040</v>
      </c>
      <c r="F1075" s="25" t="s">
        <v>2054</v>
      </c>
      <c r="G1075" s="25"/>
      <c r="H1075" s="25" t="s">
        <v>2055</v>
      </c>
      <c r="I1075" s="25"/>
    </row>
    <row r="1076" spans="1:12" ht="18" hidden="1" customHeight="1" outlineLevel="2" x14ac:dyDescent="0.2">
      <c r="A1076" s="25"/>
      <c r="B1076" s="25"/>
      <c r="C1076" s="25"/>
      <c r="D1076" s="25"/>
      <c r="E1076" s="25" t="s">
        <v>2040</v>
      </c>
      <c r="F1076" s="25" t="s">
        <v>2056</v>
      </c>
      <c r="G1076" s="25"/>
      <c r="H1076" s="25" t="s">
        <v>2055</v>
      </c>
      <c r="I1076" s="25"/>
    </row>
    <row r="1077" spans="1:12" ht="18" hidden="1" customHeight="1" outlineLevel="2" x14ac:dyDescent="0.2">
      <c r="A1077" s="18"/>
      <c r="B1077" s="18"/>
      <c r="C1077" s="18"/>
      <c r="D1077" s="18"/>
      <c r="E1077" s="18"/>
      <c r="F1077" s="18"/>
      <c r="G1077" s="36"/>
      <c r="H1077" s="18"/>
      <c r="I1077" s="18"/>
    </row>
    <row r="1078" spans="1:12" ht="18" hidden="1" customHeight="1" outlineLevel="1" collapsed="1" x14ac:dyDescent="0.2">
      <c r="A1078" s="119" t="s">
        <v>89</v>
      </c>
      <c r="B1078" s="120"/>
      <c r="C1078" s="120"/>
      <c r="D1078" s="120"/>
      <c r="E1078" s="120"/>
      <c r="F1078" s="120"/>
      <c r="G1078" s="120"/>
      <c r="H1078" s="120"/>
      <c r="I1078" s="120"/>
      <c r="J1078" s="120"/>
      <c r="K1078" s="120"/>
      <c r="L1078" s="160"/>
    </row>
    <row r="1079" spans="1:12" ht="18" hidden="1" customHeight="1" outlineLevel="2" x14ac:dyDescent="0.2">
      <c r="A1079" s="18"/>
      <c r="B1079" s="18"/>
      <c r="C1079" s="18"/>
      <c r="D1079" s="18" t="s">
        <v>352</v>
      </c>
      <c r="E1079" s="18" t="s">
        <v>3748</v>
      </c>
      <c r="F1079" s="18" t="s">
        <v>1889</v>
      </c>
      <c r="G1079" s="36">
        <v>98000</v>
      </c>
      <c r="H1079" s="18" t="s">
        <v>711</v>
      </c>
      <c r="I1079" s="18" t="s">
        <v>3751</v>
      </c>
    </row>
    <row r="1080" spans="1:12" ht="18" hidden="1" customHeight="1" outlineLevel="2" x14ac:dyDescent="0.2">
      <c r="A1080" s="18"/>
      <c r="B1080" s="18"/>
      <c r="C1080" s="18"/>
      <c r="D1080" s="18" t="s">
        <v>352</v>
      </c>
      <c r="E1080" s="18" t="s">
        <v>3748</v>
      </c>
      <c r="F1080" s="18" t="s">
        <v>1890</v>
      </c>
      <c r="G1080" s="36" t="s">
        <v>1891</v>
      </c>
      <c r="H1080" s="18" t="s">
        <v>711</v>
      </c>
      <c r="I1080" s="18" t="s">
        <v>3750</v>
      </c>
    </row>
    <row r="1081" spans="1:12" ht="18" hidden="1" customHeight="1" outlineLevel="2" x14ac:dyDescent="0.2">
      <c r="A1081" s="18"/>
      <c r="B1081" s="18"/>
      <c r="C1081" s="18"/>
      <c r="D1081" s="18" t="s">
        <v>352</v>
      </c>
      <c r="E1081" s="18" t="s">
        <v>3748</v>
      </c>
      <c r="F1081" s="18" t="s">
        <v>1892</v>
      </c>
      <c r="G1081" s="36" t="s">
        <v>1893</v>
      </c>
      <c r="H1081" s="18" t="s">
        <v>711</v>
      </c>
      <c r="I1081" s="18" t="s">
        <v>3749</v>
      </c>
    </row>
    <row r="1082" spans="1:12" ht="18" hidden="1" customHeight="1" outlineLevel="2" x14ac:dyDescent="0.2">
      <c r="A1082" s="18"/>
      <c r="B1082" s="18"/>
      <c r="C1082" s="18"/>
      <c r="D1082" s="18" t="s">
        <v>352</v>
      </c>
      <c r="E1082" s="18" t="s">
        <v>3748</v>
      </c>
      <c r="F1082" s="18" t="s">
        <v>1894</v>
      </c>
      <c r="G1082" s="36" t="s">
        <v>1895</v>
      </c>
      <c r="H1082" s="18" t="s">
        <v>711</v>
      </c>
      <c r="I1082" s="18" t="s">
        <v>3752</v>
      </c>
    </row>
    <row r="1083" spans="1:12" ht="18" hidden="1" customHeight="1" outlineLevel="2" x14ac:dyDescent="0.2">
      <c r="A1083" s="18"/>
      <c r="B1083" s="18"/>
      <c r="C1083" s="18"/>
      <c r="D1083" s="18" t="s">
        <v>352</v>
      </c>
      <c r="E1083" s="18" t="s">
        <v>3748</v>
      </c>
      <c r="F1083" s="18" t="s">
        <v>1896</v>
      </c>
      <c r="G1083" s="36" t="s">
        <v>1897</v>
      </c>
      <c r="H1083" s="18" t="s">
        <v>711</v>
      </c>
      <c r="I1083" s="18" t="s">
        <v>3753</v>
      </c>
    </row>
    <row r="1084" spans="1:12" ht="18" hidden="1" customHeight="1" outlineLevel="2" x14ac:dyDescent="0.2">
      <c r="A1084" s="18"/>
      <c r="B1084" s="18"/>
      <c r="C1084" s="18"/>
      <c r="D1084" s="18" t="s">
        <v>352</v>
      </c>
      <c r="E1084" s="18" t="s">
        <v>3748</v>
      </c>
      <c r="F1084" s="18" t="s">
        <v>1898</v>
      </c>
      <c r="G1084" s="36" t="s">
        <v>1899</v>
      </c>
      <c r="H1084" s="18" t="s">
        <v>711</v>
      </c>
      <c r="I1084" s="18" t="s">
        <v>3754</v>
      </c>
    </row>
    <row r="1085" spans="1:12" ht="18" hidden="1" customHeight="1" outlineLevel="2" x14ac:dyDescent="0.2">
      <c r="A1085" s="18"/>
      <c r="B1085" s="18"/>
      <c r="C1085" s="18"/>
      <c r="D1085" s="18" t="s">
        <v>352</v>
      </c>
      <c r="E1085" s="18" t="s">
        <v>3748</v>
      </c>
      <c r="F1085" s="18" t="s">
        <v>1900</v>
      </c>
      <c r="G1085" s="36" t="s">
        <v>1901</v>
      </c>
      <c r="H1085" s="18" t="s">
        <v>711</v>
      </c>
      <c r="I1085" s="18" t="s">
        <v>3755</v>
      </c>
    </row>
    <row r="1086" spans="1:12" ht="18" hidden="1" customHeight="1" outlineLevel="2" x14ac:dyDescent="0.2">
      <c r="A1086" s="18"/>
      <c r="B1086" s="18"/>
      <c r="C1086" s="18"/>
      <c r="D1086" s="18" t="s">
        <v>352</v>
      </c>
      <c r="E1086" s="18" t="s">
        <v>3748</v>
      </c>
      <c r="F1086" s="18" t="s">
        <v>1902</v>
      </c>
      <c r="G1086" s="36" t="s">
        <v>1903</v>
      </c>
      <c r="H1086" s="18" t="s">
        <v>711</v>
      </c>
      <c r="I1086" s="18" t="s">
        <v>3756</v>
      </c>
    </row>
    <row r="1087" spans="1:12" ht="18" hidden="1" customHeight="1" outlineLevel="2" x14ac:dyDescent="0.2">
      <c r="A1087" s="18"/>
      <c r="B1087" s="18"/>
      <c r="C1087" s="18"/>
      <c r="D1087" s="18"/>
      <c r="E1087" s="18"/>
      <c r="F1087" s="18"/>
      <c r="G1087" s="36"/>
      <c r="H1087" s="18"/>
      <c r="I1087" s="18"/>
    </row>
    <row r="1088" spans="1:12" ht="18" hidden="1" customHeight="1" outlineLevel="2" x14ac:dyDescent="0.2">
      <c r="A1088" s="18"/>
      <c r="B1088" s="18"/>
      <c r="C1088" s="18"/>
      <c r="D1088" s="18" t="s">
        <v>352</v>
      </c>
      <c r="E1088" s="18" t="s">
        <v>3748</v>
      </c>
      <c r="F1088" s="18" t="s">
        <v>1904</v>
      </c>
      <c r="G1088" s="36" t="s">
        <v>1905</v>
      </c>
      <c r="H1088" s="18" t="s">
        <v>711</v>
      </c>
      <c r="I1088" s="18" t="s">
        <v>3770</v>
      </c>
    </row>
    <row r="1089" spans="1:14" ht="18" hidden="1" customHeight="1" outlineLevel="2" x14ac:dyDescent="0.2">
      <c r="A1089" s="18"/>
      <c r="B1089" s="18"/>
      <c r="C1089" s="18"/>
      <c r="D1089" s="18" t="s">
        <v>3331</v>
      </c>
      <c r="E1089" s="18" t="s">
        <v>3748</v>
      </c>
      <c r="F1089" s="18" t="s">
        <v>1906</v>
      </c>
      <c r="G1089" s="36" t="s">
        <v>1907</v>
      </c>
      <c r="H1089" s="18" t="s">
        <v>711</v>
      </c>
      <c r="I1089" s="18" t="s">
        <v>3771</v>
      </c>
    </row>
    <row r="1090" spans="1:14" ht="18" hidden="1" customHeight="1" outlineLevel="2" x14ac:dyDescent="0.2">
      <c r="A1090" s="18"/>
      <c r="B1090" s="18"/>
      <c r="C1090" s="18"/>
      <c r="D1090" s="18" t="s">
        <v>3332</v>
      </c>
      <c r="E1090" s="33" t="s">
        <v>3748</v>
      </c>
      <c r="F1090" s="18" t="s">
        <v>1908</v>
      </c>
      <c r="G1090" s="36" t="s">
        <v>1909</v>
      </c>
      <c r="H1090" s="18" t="s">
        <v>711</v>
      </c>
      <c r="I1090" s="18" t="s">
        <v>3772</v>
      </c>
    </row>
    <row r="1091" spans="1:14" ht="18" hidden="1" customHeight="1" outlineLevel="2" x14ac:dyDescent="0.2">
      <c r="A1091" s="18"/>
      <c r="B1091" s="18"/>
      <c r="C1091" s="18"/>
      <c r="D1091" s="18" t="s">
        <v>3333</v>
      </c>
      <c r="E1091" s="33" t="s">
        <v>3748</v>
      </c>
      <c r="F1091" s="18" t="s">
        <v>1910</v>
      </c>
      <c r="G1091" s="36" t="s">
        <v>1911</v>
      </c>
      <c r="H1091" s="18" t="s">
        <v>711</v>
      </c>
      <c r="I1091" s="18" t="s">
        <v>3773</v>
      </c>
    </row>
    <row r="1092" spans="1:14" ht="18" hidden="1" customHeight="1" outlineLevel="2" x14ac:dyDescent="0.2">
      <c r="A1092" s="18"/>
      <c r="B1092" s="18"/>
      <c r="C1092" s="18"/>
      <c r="D1092" s="18" t="s">
        <v>3334</v>
      </c>
      <c r="E1092" s="33" t="s">
        <v>3748</v>
      </c>
      <c r="F1092" s="18" t="s">
        <v>1912</v>
      </c>
      <c r="G1092" s="36" t="s">
        <v>1913</v>
      </c>
      <c r="H1092" s="18" t="s">
        <v>711</v>
      </c>
      <c r="I1092" s="18" t="s">
        <v>3774</v>
      </c>
    </row>
    <row r="1093" spans="1:14" ht="18" hidden="1" customHeight="1" outlineLevel="2" x14ac:dyDescent="0.2">
      <c r="A1093" s="18"/>
      <c r="B1093" s="18"/>
      <c r="C1093" s="18"/>
      <c r="D1093" s="18" t="s">
        <v>3335</v>
      </c>
      <c r="E1093" s="33" t="s">
        <v>3748</v>
      </c>
      <c r="F1093" s="18" t="s">
        <v>1914</v>
      </c>
      <c r="G1093" s="36" t="s">
        <v>1915</v>
      </c>
      <c r="H1093" s="18" t="s">
        <v>711</v>
      </c>
      <c r="I1093" s="18" t="s">
        <v>3775</v>
      </c>
    </row>
    <row r="1094" spans="1:14" ht="18" hidden="1" customHeight="1" outlineLevel="2" x14ac:dyDescent="0.2">
      <c r="A1094" s="18"/>
      <c r="B1094" s="18"/>
      <c r="C1094" s="18"/>
      <c r="D1094" s="18" t="s">
        <v>352</v>
      </c>
      <c r="E1094" s="18" t="s">
        <v>3748</v>
      </c>
      <c r="F1094" s="18" t="s">
        <v>1916</v>
      </c>
      <c r="G1094" s="36" t="s">
        <v>1917</v>
      </c>
      <c r="H1094" s="18" t="s">
        <v>711</v>
      </c>
      <c r="I1094" s="18" t="s">
        <v>3776</v>
      </c>
    </row>
    <row r="1095" spans="1:14" ht="18" hidden="1" customHeight="1" outlineLevel="2" x14ac:dyDescent="0.2">
      <c r="A1095" s="18"/>
      <c r="B1095" s="18"/>
      <c r="C1095" s="18"/>
      <c r="D1095" s="18" t="s">
        <v>352</v>
      </c>
      <c r="E1095" s="18" t="s">
        <v>3748</v>
      </c>
      <c r="F1095" s="18" t="s">
        <v>1918</v>
      </c>
      <c r="G1095" s="36" t="s">
        <v>1919</v>
      </c>
      <c r="H1095" s="18" t="s">
        <v>711</v>
      </c>
      <c r="I1095" s="18" t="s">
        <v>3777</v>
      </c>
    </row>
    <row r="1096" spans="1:14" ht="18" hidden="1" customHeight="1" outlineLevel="2" x14ac:dyDescent="0.2">
      <c r="A1096" s="18"/>
      <c r="B1096" s="18"/>
      <c r="C1096" s="18"/>
      <c r="D1096" s="18"/>
      <c r="E1096" s="18"/>
      <c r="F1096" s="18"/>
      <c r="G1096" s="36"/>
      <c r="H1096" s="18"/>
      <c r="I1096" s="18"/>
    </row>
    <row r="1097" spans="1:14" ht="18" hidden="1" customHeight="1" outlineLevel="1" x14ac:dyDescent="0.2">
      <c r="A1097" s="119" t="s">
        <v>90</v>
      </c>
      <c r="B1097" s="120"/>
      <c r="C1097" s="120"/>
      <c r="D1097" s="120"/>
      <c r="E1097" s="120"/>
      <c r="F1097" s="120"/>
      <c r="G1097" s="120"/>
      <c r="H1097" s="120"/>
      <c r="I1097" s="120"/>
      <c r="J1097" s="120"/>
      <c r="K1097" s="120"/>
      <c r="L1097" s="160"/>
    </row>
    <row r="1098" spans="1:14" ht="18" hidden="1" customHeight="1" outlineLevel="2" x14ac:dyDescent="0.2">
      <c r="A1098" s="18"/>
      <c r="B1098" s="18"/>
      <c r="C1098" s="18"/>
      <c r="D1098" s="18" t="s">
        <v>352</v>
      </c>
      <c r="E1098" s="19" t="s">
        <v>4200</v>
      </c>
      <c r="F1098" s="18"/>
      <c r="G1098" s="36" t="s">
        <v>1920</v>
      </c>
      <c r="H1098" s="18" t="s">
        <v>1921</v>
      </c>
      <c r="I1098" s="18" t="s">
        <v>1922</v>
      </c>
      <c r="J1098" s="25" t="s">
        <v>3100</v>
      </c>
    </row>
    <row r="1099" spans="1:14" ht="18" hidden="1" customHeight="1" outlineLevel="2" x14ac:dyDescent="0.2">
      <c r="A1099" s="18"/>
      <c r="B1099" s="18"/>
      <c r="C1099" s="18"/>
      <c r="D1099" s="18" t="s">
        <v>352</v>
      </c>
      <c r="E1099" s="33" t="s">
        <v>1727</v>
      </c>
      <c r="F1099" s="18" t="s">
        <v>708</v>
      </c>
      <c r="G1099" s="36" t="s">
        <v>1728</v>
      </c>
      <c r="H1099" s="18" t="s">
        <v>1729</v>
      </c>
      <c r="I1099" s="18" t="s">
        <v>710</v>
      </c>
      <c r="K1099" s="25">
        <v>10</v>
      </c>
      <c r="L1099" s="25">
        <v>15</v>
      </c>
    </row>
    <row r="1100" spans="1:14" ht="18" hidden="1" customHeight="1" outlineLevel="2" x14ac:dyDescent="0.2">
      <c r="A1100" s="18"/>
      <c r="B1100" s="18"/>
      <c r="C1100" s="18"/>
      <c r="D1100" s="18" t="s">
        <v>3318</v>
      </c>
      <c r="E1100" s="33" t="s">
        <v>1727</v>
      </c>
      <c r="F1100" s="18" t="s">
        <v>1730</v>
      </c>
      <c r="G1100" s="36"/>
      <c r="H1100" s="18"/>
      <c r="I1100" s="18" t="s">
        <v>710</v>
      </c>
      <c r="K1100" s="25">
        <v>5</v>
      </c>
      <c r="L1100" s="25">
        <v>7</v>
      </c>
    </row>
    <row r="1101" spans="1:14" ht="18" hidden="1" customHeight="1" outlineLevel="2" x14ac:dyDescent="0.2">
      <c r="A1101" s="18"/>
      <c r="B1101" s="18"/>
      <c r="C1101" s="18"/>
      <c r="D1101" s="18"/>
      <c r="E1101" s="18"/>
      <c r="F1101" s="18"/>
      <c r="G1101" s="36"/>
      <c r="H1101" s="18"/>
      <c r="I1101" s="18"/>
      <c r="N1101" s="21"/>
    </row>
    <row r="1102" spans="1:14" ht="18" customHeight="1" collapsed="1" x14ac:dyDescent="0.2">
      <c r="A1102" s="131" t="s">
        <v>3822</v>
      </c>
      <c r="B1102" s="132"/>
      <c r="C1102" s="132"/>
      <c r="D1102" s="132" t="s">
        <v>3336</v>
      </c>
      <c r="E1102" s="132"/>
      <c r="F1102" s="132"/>
      <c r="G1102" s="132"/>
      <c r="H1102" s="132"/>
      <c r="I1102" s="132"/>
      <c r="J1102" s="132"/>
      <c r="K1102" s="132"/>
      <c r="L1102" s="176"/>
    </row>
    <row r="1103" spans="1:14" ht="18" hidden="1" customHeight="1" outlineLevel="1" collapsed="1" x14ac:dyDescent="0.2">
      <c r="A1103" s="119" t="s">
        <v>92</v>
      </c>
      <c r="B1103" s="120"/>
      <c r="C1103" s="120"/>
      <c r="D1103" s="120"/>
      <c r="E1103" s="120"/>
      <c r="F1103" s="120"/>
      <c r="G1103" s="120"/>
      <c r="H1103" s="120"/>
      <c r="I1103" s="120"/>
      <c r="J1103" s="120"/>
      <c r="K1103" s="120"/>
      <c r="L1103" s="160"/>
    </row>
    <row r="1104" spans="1:14" ht="18" hidden="1" customHeight="1" outlineLevel="2" x14ac:dyDescent="0.2">
      <c r="A1104" s="25"/>
      <c r="B1104" s="25"/>
      <c r="C1104" s="25"/>
      <c r="D1104" s="25" t="s">
        <v>3337</v>
      </c>
      <c r="E1104" s="37" t="s">
        <v>1923</v>
      </c>
      <c r="F1104" s="25" t="s">
        <v>1924</v>
      </c>
      <c r="G1104" s="25" t="s">
        <v>1925</v>
      </c>
      <c r="H1104" s="65" t="s">
        <v>1926</v>
      </c>
      <c r="I1104" s="25" t="s">
        <v>3830</v>
      </c>
      <c r="J1104" s="25" t="s">
        <v>350</v>
      </c>
      <c r="K1104" s="25" t="s">
        <v>3114</v>
      </c>
      <c r="L1104" s="25" t="s">
        <v>3115</v>
      </c>
    </row>
    <row r="1105" spans="1:12" ht="18" hidden="1" customHeight="1" outlineLevel="2" x14ac:dyDescent="0.2">
      <c r="A1105" s="25"/>
      <c r="B1105" s="25"/>
      <c r="C1105" s="25"/>
      <c r="D1105" s="25" t="s">
        <v>3338</v>
      </c>
      <c r="E1105" s="37" t="s">
        <v>1923</v>
      </c>
      <c r="F1105" s="25" t="s">
        <v>1927</v>
      </c>
      <c r="G1105" s="25" t="s">
        <v>1928</v>
      </c>
      <c r="H1105" s="65" t="s">
        <v>1926</v>
      </c>
      <c r="I1105" s="25" t="s">
        <v>3831</v>
      </c>
      <c r="J1105" s="25" t="s">
        <v>350</v>
      </c>
      <c r="K1105" s="25" t="s">
        <v>3114</v>
      </c>
      <c r="L1105" s="25" t="s">
        <v>3115</v>
      </c>
    </row>
    <row r="1106" spans="1:12" ht="18" hidden="1" customHeight="1" outlineLevel="2" x14ac:dyDescent="0.2">
      <c r="A1106" s="25"/>
      <c r="B1106" s="25"/>
      <c r="C1106" s="25"/>
      <c r="D1106" s="25" t="s">
        <v>3339</v>
      </c>
      <c r="E1106" s="37" t="s">
        <v>1923</v>
      </c>
      <c r="F1106" s="25" t="s">
        <v>1929</v>
      </c>
      <c r="G1106" s="25" t="s">
        <v>1930</v>
      </c>
      <c r="H1106" s="65" t="s">
        <v>1926</v>
      </c>
      <c r="I1106" s="25" t="s">
        <v>3832</v>
      </c>
      <c r="J1106" s="25" t="s">
        <v>350</v>
      </c>
      <c r="K1106" s="25" t="s">
        <v>3116</v>
      </c>
      <c r="L1106" s="25" t="s">
        <v>3117</v>
      </c>
    </row>
    <row r="1107" spans="1:12" ht="18" hidden="1" customHeight="1" outlineLevel="2" x14ac:dyDescent="0.2">
      <c r="A1107" s="25"/>
      <c r="B1107" s="25"/>
      <c r="C1107" s="25"/>
      <c r="D1107" s="25" t="s">
        <v>3340</v>
      </c>
      <c r="E1107" s="25" t="s">
        <v>1923</v>
      </c>
      <c r="F1107" s="25" t="s">
        <v>1931</v>
      </c>
      <c r="G1107" s="25" t="s">
        <v>1932</v>
      </c>
      <c r="H1107" s="65" t="s">
        <v>1933</v>
      </c>
      <c r="I1107" s="25"/>
    </row>
    <row r="1108" spans="1:12" ht="18" hidden="1" customHeight="1" outlineLevel="2" x14ac:dyDescent="0.2">
      <c r="A1108" s="25"/>
      <c r="B1108" s="25"/>
      <c r="C1108" s="25"/>
      <c r="D1108" s="25" t="s">
        <v>3341</v>
      </c>
      <c r="E1108" s="25" t="s">
        <v>1923</v>
      </c>
      <c r="F1108" s="25" t="s">
        <v>1934</v>
      </c>
      <c r="G1108" s="25" t="s">
        <v>1935</v>
      </c>
      <c r="H1108" s="65" t="s">
        <v>1933</v>
      </c>
      <c r="I1108" s="25"/>
    </row>
    <row r="1109" spans="1:12" ht="18" hidden="1" customHeight="1" outlineLevel="2" x14ac:dyDescent="0.2">
      <c r="A1109" s="25"/>
      <c r="B1109" s="25"/>
      <c r="C1109" s="25"/>
      <c r="D1109" s="25"/>
      <c r="E1109" s="25"/>
      <c r="F1109" s="25"/>
      <c r="G1109" s="25"/>
      <c r="H1109" s="25"/>
      <c r="I1109" s="25"/>
    </row>
    <row r="1110" spans="1:12" ht="18" hidden="1" customHeight="1" outlineLevel="2" x14ac:dyDescent="0.2">
      <c r="A1110" s="25"/>
      <c r="B1110" s="25"/>
      <c r="C1110" s="25"/>
      <c r="D1110" s="25" t="s">
        <v>3342</v>
      </c>
      <c r="E1110" s="37" t="s">
        <v>1923</v>
      </c>
      <c r="F1110" s="25" t="s">
        <v>1936</v>
      </c>
      <c r="G1110" s="25" t="s">
        <v>1930</v>
      </c>
      <c r="H1110" s="65" t="s">
        <v>1926</v>
      </c>
      <c r="I1110" s="25" t="s">
        <v>3833</v>
      </c>
      <c r="K1110" s="25" t="s">
        <v>3118</v>
      </c>
      <c r="L1110" s="25" t="s">
        <v>3116</v>
      </c>
    </row>
    <row r="1111" spans="1:12" ht="18" hidden="1" customHeight="1" outlineLevel="2" x14ac:dyDescent="0.2">
      <c r="A1111" s="25"/>
      <c r="B1111" s="25"/>
      <c r="C1111" s="25"/>
      <c r="D1111" s="25" t="s">
        <v>3343</v>
      </c>
      <c r="E1111" s="37" t="s">
        <v>1923</v>
      </c>
      <c r="F1111" s="25" t="s">
        <v>1937</v>
      </c>
      <c r="G1111" s="25" t="s">
        <v>1938</v>
      </c>
      <c r="H1111" s="65" t="s">
        <v>1933</v>
      </c>
    </row>
    <row r="1112" spans="1:12" ht="18" hidden="1" customHeight="1" outlineLevel="2" x14ac:dyDescent="0.2">
      <c r="A1112" s="25"/>
      <c r="B1112" s="25"/>
      <c r="C1112" s="25"/>
      <c r="D1112" s="25" t="s">
        <v>3344</v>
      </c>
      <c r="E1112" s="37" t="s">
        <v>1923</v>
      </c>
      <c r="F1112" s="25" t="s">
        <v>1939</v>
      </c>
      <c r="G1112" s="25" t="s">
        <v>1940</v>
      </c>
      <c r="H1112" s="65" t="s">
        <v>1933</v>
      </c>
      <c r="I1112" s="25" t="s">
        <v>3833</v>
      </c>
      <c r="K1112" s="25" t="s">
        <v>3118</v>
      </c>
      <c r="L1112" s="25" t="s">
        <v>3116</v>
      </c>
    </row>
    <row r="1113" spans="1:12" ht="18" hidden="1" customHeight="1" outlineLevel="2" x14ac:dyDescent="0.2">
      <c r="A1113" s="25"/>
      <c r="B1113" s="25"/>
      <c r="C1113" s="25"/>
      <c r="D1113" s="25" t="s">
        <v>3345</v>
      </c>
      <c r="E1113" s="25" t="s">
        <v>1923</v>
      </c>
      <c r="F1113" s="25" t="s">
        <v>1941</v>
      </c>
      <c r="G1113" s="25" t="s">
        <v>1942</v>
      </c>
      <c r="H1113" s="65" t="s">
        <v>1933</v>
      </c>
      <c r="I1113" s="25"/>
    </row>
    <row r="1114" spans="1:12" ht="18" hidden="1" customHeight="1" outlineLevel="2" x14ac:dyDescent="0.2">
      <c r="A1114" s="25"/>
      <c r="B1114" s="25"/>
      <c r="C1114" s="25"/>
      <c r="D1114" s="25"/>
      <c r="E1114" s="25"/>
      <c r="F1114" s="25"/>
      <c r="G1114" s="25"/>
      <c r="H1114" s="25"/>
      <c r="I1114" s="25"/>
    </row>
    <row r="1115" spans="1:12" ht="18" hidden="1" customHeight="1" outlineLevel="2" x14ac:dyDescent="0.2">
      <c r="A1115" s="25"/>
      <c r="B1115" s="25"/>
      <c r="C1115" s="25"/>
      <c r="D1115" s="25" t="s">
        <v>3346</v>
      </c>
      <c r="E1115" s="59" t="s">
        <v>1923</v>
      </c>
      <c r="F1115" s="25" t="s">
        <v>1943</v>
      </c>
      <c r="G1115" s="25" t="s">
        <v>1940</v>
      </c>
      <c r="H1115" s="65" t="s">
        <v>1933</v>
      </c>
    </row>
    <row r="1116" spans="1:12" ht="18" hidden="1" customHeight="1" outlineLevel="2" x14ac:dyDescent="0.2">
      <c r="A1116" s="25"/>
      <c r="B1116" s="25"/>
      <c r="C1116" s="25"/>
      <c r="D1116" s="25" t="s">
        <v>352</v>
      </c>
      <c r="E1116" s="25" t="s">
        <v>1923</v>
      </c>
      <c r="F1116" s="25" t="s">
        <v>1944</v>
      </c>
      <c r="G1116" s="25" t="s">
        <v>1945</v>
      </c>
      <c r="H1116" s="65" t="s">
        <v>1933</v>
      </c>
    </row>
    <row r="1117" spans="1:12" ht="18" hidden="1" customHeight="1" outlineLevel="2" x14ac:dyDescent="0.2">
      <c r="A1117" s="25"/>
      <c r="B1117" s="25"/>
      <c r="C1117" s="25"/>
      <c r="D1117" s="25" t="s">
        <v>3347</v>
      </c>
      <c r="E1117" s="59" t="s">
        <v>1923</v>
      </c>
      <c r="F1117" s="25" t="s">
        <v>1946</v>
      </c>
      <c r="G1117" s="25" t="s">
        <v>1947</v>
      </c>
      <c r="H1117" s="65" t="s">
        <v>1933</v>
      </c>
    </row>
    <row r="1118" spans="1:12" ht="18" hidden="1" customHeight="1" outlineLevel="2" x14ac:dyDescent="0.2">
      <c r="A1118" s="25"/>
      <c r="B1118" s="25"/>
      <c r="C1118" s="25"/>
      <c r="D1118" s="25" t="s">
        <v>3348</v>
      </c>
      <c r="E1118" s="59" t="s">
        <v>1923</v>
      </c>
      <c r="F1118" s="25" t="s">
        <v>1948</v>
      </c>
      <c r="G1118" s="25" t="s">
        <v>1942</v>
      </c>
      <c r="H1118" s="65" t="s">
        <v>1933</v>
      </c>
    </row>
    <row r="1119" spans="1:12" ht="18" hidden="1" customHeight="1" outlineLevel="2" x14ac:dyDescent="0.2">
      <c r="A1119" s="25"/>
      <c r="B1119" s="25"/>
      <c r="C1119" s="25"/>
      <c r="D1119" s="25" t="s">
        <v>3349</v>
      </c>
      <c r="E1119" s="25" t="s">
        <v>1923</v>
      </c>
      <c r="F1119" s="25" t="s">
        <v>1949</v>
      </c>
      <c r="G1119" s="25" t="s">
        <v>1947</v>
      </c>
      <c r="H1119" s="65" t="s">
        <v>1933</v>
      </c>
    </row>
    <row r="1120" spans="1:12" ht="18" hidden="1" customHeight="1" outlineLevel="2" x14ac:dyDescent="0.2">
      <c r="A1120" s="25"/>
      <c r="B1120" s="25"/>
      <c r="C1120" s="25"/>
      <c r="D1120" s="25" t="s">
        <v>3350</v>
      </c>
      <c r="E1120" s="59" t="s">
        <v>1923</v>
      </c>
      <c r="F1120" s="25" t="s">
        <v>1950</v>
      </c>
      <c r="G1120" s="25" t="s">
        <v>1935</v>
      </c>
      <c r="H1120" s="65" t="s">
        <v>1933</v>
      </c>
    </row>
    <row r="1121" spans="1:12" ht="18" hidden="1" customHeight="1" outlineLevel="2" x14ac:dyDescent="0.2">
      <c r="A1121" s="25"/>
      <c r="B1121" s="25"/>
      <c r="C1121" s="25"/>
      <c r="D1121" s="25" t="s">
        <v>352</v>
      </c>
      <c r="E1121" s="25" t="s">
        <v>1923</v>
      </c>
      <c r="F1121" s="25" t="s">
        <v>1951</v>
      </c>
      <c r="G1121" s="25" t="s">
        <v>1952</v>
      </c>
      <c r="H1121" s="65" t="s">
        <v>1953</v>
      </c>
    </row>
    <row r="1122" spans="1:12" ht="18" hidden="1" customHeight="1" outlineLevel="2" x14ac:dyDescent="0.2">
      <c r="A1122" s="25"/>
      <c r="B1122" s="25"/>
      <c r="C1122" s="25"/>
      <c r="D1122" s="25" t="s">
        <v>3351</v>
      </c>
      <c r="E1122" s="25" t="s">
        <v>1923</v>
      </c>
      <c r="F1122" s="25" t="s">
        <v>1954</v>
      </c>
      <c r="G1122" s="25" t="s">
        <v>1955</v>
      </c>
      <c r="H1122" s="65" t="s">
        <v>1953</v>
      </c>
    </row>
    <row r="1123" spans="1:12" ht="18" hidden="1" customHeight="1" outlineLevel="2" x14ac:dyDescent="0.2">
      <c r="A1123" s="25"/>
      <c r="B1123" s="25"/>
      <c r="C1123" s="25"/>
      <c r="D1123" s="25" t="s">
        <v>352</v>
      </c>
      <c r="E1123" s="25" t="s">
        <v>1923</v>
      </c>
      <c r="F1123" s="25" t="s">
        <v>1956</v>
      </c>
      <c r="G1123" s="25" t="s">
        <v>1957</v>
      </c>
      <c r="H1123" s="65" t="s">
        <v>1953</v>
      </c>
    </row>
    <row r="1124" spans="1:12" ht="18" hidden="1" customHeight="1" outlineLevel="2" x14ac:dyDescent="0.2">
      <c r="A1124" s="25"/>
      <c r="B1124" s="25"/>
      <c r="C1124" s="25"/>
      <c r="D1124" s="25" t="s">
        <v>352</v>
      </c>
      <c r="E1124" s="25" t="s">
        <v>1923</v>
      </c>
      <c r="F1124" s="25" t="s">
        <v>1958</v>
      </c>
      <c r="G1124" s="25" t="s">
        <v>1959</v>
      </c>
      <c r="H1124" s="65" t="s">
        <v>1953</v>
      </c>
    </row>
    <row r="1125" spans="1:12" ht="18" hidden="1" customHeight="1" outlineLevel="2" x14ac:dyDescent="0.2">
      <c r="A1125" s="25"/>
      <c r="B1125" s="25"/>
      <c r="C1125" s="25"/>
      <c r="D1125" s="25" t="s">
        <v>352</v>
      </c>
      <c r="E1125" s="25" t="s">
        <v>1923</v>
      </c>
      <c r="F1125" s="25" t="s">
        <v>1960</v>
      </c>
      <c r="G1125" s="25" t="s">
        <v>1961</v>
      </c>
      <c r="H1125" s="65" t="s">
        <v>1962</v>
      </c>
    </row>
    <row r="1126" spans="1:12" ht="18" hidden="1" customHeight="1" outlineLevel="2" x14ac:dyDescent="0.2">
      <c r="A1126" s="25"/>
      <c r="B1126" s="25"/>
      <c r="C1126" s="25"/>
      <c r="D1126" s="25" t="s">
        <v>352</v>
      </c>
      <c r="E1126" s="25" t="s">
        <v>1923</v>
      </c>
      <c r="F1126" s="25" t="s">
        <v>1972</v>
      </c>
      <c r="G1126" s="25" t="s">
        <v>1973</v>
      </c>
      <c r="H1126" s="65" t="s">
        <v>1974</v>
      </c>
    </row>
    <row r="1127" spans="1:12" ht="18" hidden="1" customHeight="1" outlineLevel="2" x14ac:dyDescent="0.2">
      <c r="A1127" s="25"/>
      <c r="B1127" s="25"/>
      <c r="C1127" s="25"/>
      <c r="D1127" s="25" t="s">
        <v>352</v>
      </c>
      <c r="E1127" s="25" t="s">
        <v>1923</v>
      </c>
      <c r="F1127" s="25" t="s">
        <v>1975</v>
      </c>
      <c r="G1127" s="25" t="s">
        <v>1932</v>
      </c>
      <c r="H1127" s="65" t="s">
        <v>1933</v>
      </c>
    </row>
    <row r="1128" spans="1:12" ht="18" hidden="1" customHeight="1" outlineLevel="2" x14ac:dyDescent="0.2">
      <c r="A1128" s="25"/>
      <c r="B1128" s="25"/>
      <c r="C1128" s="25"/>
      <c r="D1128" s="25" t="s">
        <v>352</v>
      </c>
      <c r="E1128" s="25" t="s">
        <v>1923</v>
      </c>
      <c r="F1128" s="25" t="s">
        <v>1976</v>
      </c>
      <c r="G1128" s="25" t="s">
        <v>1942</v>
      </c>
      <c r="H1128" s="65" t="s">
        <v>1933</v>
      </c>
    </row>
    <row r="1129" spans="1:12" ht="18" hidden="1" customHeight="1" outlineLevel="2" x14ac:dyDescent="0.2">
      <c r="A1129" s="25"/>
      <c r="B1129" s="25"/>
      <c r="C1129" s="25"/>
      <c r="D1129" s="25" t="s">
        <v>352</v>
      </c>
      <c r="E1129" s="25" t="s">
        <v>1923</v>
      </c>
      <c r="F1129" s="25" t="s">
        <v>1977</v>
      </c>
      <c r="G1129" s="25" t="s">
        <v>1935</v>
      </c>
      <c r="H1129" s="65" t="s">
        <v>1933</v>
      </c>
    </row>
    <row r="1130" spans="1:12" ht="18" hidden="1" customHeight="1" outlineLevel="2" x14ac:dyDescent="0.2">
      <c r="A1130" s="25"/>
      <c r="B1130" s="25"/>
      <c r="C1130" s="25"/>
      <c r="D1130" s="25" t="s">
        <v>352</v>
      </c>
      <c r="E1130" s="25" t="s">
        <v>1923</v>
      </c>
      <c r="F1130" s="25" t="s">
        <v>1978</v>
      </c>
      <c r="G1130" s="25" t="s">
        <v>1979</v>
      </c>
      <c r="H1130" s="65" t="s">
        <v>1953</v>
      </c>
    </row>
    <row r="1131" spans="1:12" ht="18" hidden="1" customHeight="1" outlineLevel="2" x14ac:dyDescent="0.2">
      <c r="A1131" s="25"/>
      <c r="B1131" s="25"/>
      <c r="C1131" s="25"/>
      <c r="D1131" s="25"/>
      <c r="E1131" s="25"/>
      <c r="F1131" s="25"/>
      <c r="G1131" s="25"/>
      <c r="H1131" s="25"/>
      <c r="I1131" s="25"/>
    </row>
    <row r="1132" spans="1:12" ht="18" hidden="1" customHeight="1" outlineLevel="1" collapsed="1" x14ac:dyDescent="0.2">
      <c r="A1132" s="119" t="s">
        <v>3823</v>
      </c>
      <c r="B1132" s="120"/>
      <c r="C1132" s="120"/>
      <c r="D1132" s="120"/>
      <c r="E1132" s="120"/>
      <c r="F1132" s="120"/>
      <c r="G1132" s="120"/>
      <c r="H1132" s="120"/>
      <c r="I1132" s="120"/>
      <c r="J1132" s="120"/>
      <c r="K1132" s="120"/>
      <c r="L1132" s="160"/>
    </row>
    <row r="1133" spans="1:12" ht="18" hidden="1" customHeight="1" outlineLevel="2" x14ac:dyDescent="0.2">
      <c r="A1133" s="25"/>
      <c r="B1133" s="25"/>
      <c r="C1133" s="25"/>
      <c r="D1133" s="25" t="s">
        <v>352</v>
      </c>
      <c r="E1133" s="25" t="s">
        <v>1990</v>
      </c>
      <c r="F1133" s="25" t="s">
        <v>1991</v>
      </c>
      <c r="G1133" s="25" t="s">
        <v>1992</v>
      </c>
      <c r="H1133" s="11" t="s">
        <v>1926</v>
      </c>
      <c r="I1133" s="25" t="s">
        <v>3825</v>
      </c>
    </row>
    <row r="1134" spans="1:12" ht="18" hidden="1" customHeight="1" outlineLevel="2" x14ac:dyDescent="0.2">
      <c r="A1134" s="25"/>
      <c r="B1134" s="25"/>
      <c r="C1134" s="25"/>
      <c r="D1134" s="25" t="s">
        <v>352</v>
      </c>
      <c r="E1134" s="25" t="s">
        <v>1990</v>
      </c>
      <c r="F1134" s="25" t="s">
        <v>1993</v>
      </c>
      <c r="G1134" s="25" t="s">
        <v>1994</v>
      </c>
      <c r="H1134" s="11" t="s">
        <v>1926</v>
      </c>
      <c r="I1134" s="25" t="s">
        <v>3824</v>
      </c>
    </row>
    <row r="1135" spans="1:12" ht="18" hidden="1" customHeight="1" outlineLevel="2" x14ac:dyDescent="0.2">
      <c r="A1135" s="25"/>
      <c r="B1135" s="25"/>
      <c r="C1135" s="25"/>
      <c r="D1135" s="25" t="s">
        <v>352</v>
      </c>
      <c r="E1135" s="25" t="s">
        <v>1990</v>
      </c>
      <c r="F1135" s="25" t="s">
        <v>1995</v>
      </c>
      <c r="G1135" s="25" t="s">
        <v>1996</v>
      </c>
      <c r="H1135" s="11" t="s">
        <v>1926</v>
      </c>
      <c r="I1135" s="25" t="s">
        <v>3825</v>
      </c>
    </row>
    <row r="1136" spans="1:12" ht="18" hidden="1" customHeight="1" outlineLevel="2" x14ac:dyDescent="0.2">
      <c r="A1136" s="25"/>
      <c r="B1136" s="25"/>
      <c r="C1136" s="25"/>
      <c r="D1136" s="25" t="s">
        <v>352</v>
      </c>
      <c r="E1136" s="25" t="s">
        <v>1990</v>
      </c>
      <c r="F1136" s="25" t="s">
        <v>1997</v>
      </c>
      <c r="G1136" s="25" t="s">
        <v>1998</v>
      </c>
      <c r="H1136" s="11" t="s">
        <v>1926</v>
      </c>
      <c r="I1136" s="25" t="s">
        <v>3825</v>
      </c>
    </row>
    <row r="1137" spans="1:12" ht="18" hidden="1" customHeight="1" outlineLevel="2" x14ac:dyDescent="0.2">
      <c r="A1137" s="25"/>
      <c r="B1137" s="25"/>
      <c r="C1137" s="25"/>
      <c r="D1137" s="25" t="s">
        <v>352</v>
      </c>
      <c r="E1137" s="25" t="s">
        <v>1990</v>
      </c>
      <c r="F1137" s="25" t="s">
        <v>1999</v>
      </c>
      <c r="G1137" s="25" t="s">
        <v>2000</v>
      </c>
      <c r="H1137" s="11" t="s">
        <v>1926</v>
      </c>
      <c r="I1137" s="25" t="s">
        <v>3825</v>
      </c>
    </row>
    <row r="1138" spans="1:12" ht="18" hidden="1" customHeight="1" outlineLevel="2" x14ac:dyDescent="0.2">
      <c r="A1138" s="25"/>
      <c r="B1138" s="25"/>
      <c r="C1138" s="25"/>
      <c r="D1138" s="25" t="s">
        <v>352</v>
      </c>
      <c r="E1138" s="25" t="s">
        <v>1990</v>
      </c>
      <c r="F1138" s="25" t="s">
        <v>2001</v>
      </c>
      <c r="G1138" s="25" t="s">
        <v>1938</v>
      </c>
      <c r="H1138" s="11" t="s">
        <v>1933</v>
      </c>
      <c r="I1138" s="25" t="s">
        <v>3826</v>
      </c>
    </row>
    <row r="1139" spans="1:12" ht="18" hidden="1" customHeight="1" outlineLevel="2" x14ac:dyDescent="0.2">
      <c r="A1139" s="25"/>
      <c r="B1139" s="25"/>
      <c r="C1139" s="25"/>
      <c r="D1139" s="25" t="s">
        <v>352</v>
      </c>
      <c r="E1139" s="59" t="s">
        <v>1990</v>
      </c>
      <c r="F1139" s="25" t="s">
        <v>2002</v>
      </c>
      <c r="G1139" s="25" t="s">
        <v>2003</v>
      </c>
      <c r="H1139" s="11" t="s">
        <v>1926</v>
      </c>
      <c r="I1139" s="25" t="s">
        <v>3825</v>
      </c>
      <c r="K1139" s="25" t="s">
        <v>3116</v>
      </c>
      <c r="L1139" s="25" t="s">
        <v>3114</v>
      </c>
    </row>
    <row r="1140" spans="1:12" ht="18" hidden="1" customHeight="1" outlineLevel="2" x14ac:dyDescent="0.2">
      <c r="A1140" s="25"/>
      <c r="B1140" s="25"/>
      <c r="C1140" s="25"/>
      <c r="D1140" s="25" t="s">
        <v>352</v>
      </c>
      <c r="E1140" s="59" t="s">
        <v>1990</v>
      </c>
      <c r="F1140" s="25" t="s">
        <v>2004</v>
      </c>
      <c r="G1140" s="25" t="s">
        <v>3827</v>
      </c>
      <c r="H1140" s="11"/>
      <c r="I1140" s="25" t="s">
        <v>3060</v>
      </c>
      <c r="K1140" s="25" t="s">
        <v>3116</v>
      </c>
      <c r="L1140" s="25" t="s">
        <v>3114</v>
      </c>
    </row>
    <row r="1141" spans="1:12" ht="18" hidden="1" customHeight="1" outlineLevel="2" x14ac:dyDescent="0.2">
      <c r="A1141" s="25"/>
      <c r="B1141" s="25"/>
      <c r="C1141" s="25"/>
      <c r="D1141" s="25" t="s">
        <v>352</v>
      </c>
      <c r="E1141" s="25" t="s">
        <v>1990</v>
      </c>
      <c r="F1141" s="25" t="s">
        <v>2005</v>
      </c>
      <c r="G1141" s="25" t="s">
        <v>2006</v>
      </c>
      <c r="H1141" s="11" t="s">
        <v>1926</v>
      </c>
      <c r="I1141" s="25" t="s">
        <v>3825</v>
      </c>
    </row>
    <row r="1142" spans="1:12" ht="18" hidden="1" customHeight="1" outlineLevel="2" x14ac:dyDescent="0.2">
      <c r="A1142" s="25"/>
      <c r="B1142" s="25"/>
      <c r="C1142" s="25"/>
      <c r="D1142" s="25"/>
      <c r="E1142" s="25"/>
      <c r="F1142" s="25"/>
      <c r="G1142" s="25"/>
      <c r="H1142" s="25"/>
      <c r="I1142" s="25"/>
    </row>
    <row r="1143" spans="1:12" ht="18" hidden="1" customHeight="1" outlineLevel="2" x14ac:dyDescent="0.2">
      <c r="A1143" s="25"/>
      <c r="B1143" s="25"/>
      <c r="C1143" s="25"/>
      <c r="D1143" s="25" t="s">
        <v>352</v>
      </c>
      <c r="E1143" s="25" t="s">
        <v>2027</v>
      </c>
      <c r="F1143" s="25" t="s">
        <v>2028</v>
      </c>
      <c r="G1143" s="25" t="s">
        <v>1925</v>
      </c>
      <c r="H1143" s="11" t="s">
        <v>1926</v>
      </c>
      <c r="I1143" s="25" t="s">
        <v>3829</v>
      </c>
    </row>
    <row r="1144" spans="1:12" ht="18" hidden="1" customHeight="1" outlineLevel="2" x14ac:dyDescent="0.2">
      <c r="A1144" s="25"/>
      <c r="B1144" s="25"/>
      <c r="C1144" s="25"/>
      <c r="D1144" s="25" t="s">
        <v>352</v>
      </c>
      <c r="E1144" s="25" t="s">
        <v>2027</v>
      </c>
      <c r="F1144" s="25" t="s">
        <v>2029</v>
      </c>
      <c r="G1144" s="25" t="s">
        <v>2030</v>
      </c>
      <c r="H1144" s="11" t="s">
        <v>1933</v>
      </c>
      <c r="I1144" s="25" t="s">
        <v>3829</v>
      </c>
    </row>
    <row r="1145" spans="1:12" ht="18" hidden="1" customHeight="1" outlineLevel="2" x14ac:dyDescent="0.2">
      <c r="A1145" s="25"/>
      <c r="B1145" s="25"/>
      <c r="C1145" s="25"/>
      <c r="D1145" s="25" t="s">
        <v>352</v>
      </c>
      <c r="E1145" s="25" t="s">
        <v>2027</v>
      </c>
      <c r="F1145" s="25" t="s">
        <v>1944</v>
      </c>
      <c r="G1145" s="25" t="s">
        <v>2031</v>
      </c>
      <c r="H1145" s="11" t="s">
        <v>1933</v>
      </c>
      <c r="I1145" s="25" t="s">
        <v>3829</v>
      </c>
    </row>
    <row r="1146" spans="1:12" ht="18" hidden="1" customHeight="1" outlineLevel="2" x14ac:dyDescent="0.2">
      <c r="A1146" s="25"/>
      <c r="B1146" s="25"/>
      <c r="C1146" s="25"/>
      <c r="D1146" s="25" t="s">
        <v>352</v>
      </c>
      <c r="E1146" s="25" t="s">
        <v>2027</v>
      </c>
      <c r="F1146" s="25" t="s">
        <v>1949</v>
      </c>
      <c r="G1146" s="25" t="s">
        <v>2032</v>
      </c>
      <c r="H1146" s="11" t="s">
        <v>1933</v>
      </c>
      <c r="I1146" s="25" t="s">
        <v>3829</v>
      </c>
    </row>
    <row r="1147" spans="1:12" ht="18" hidden="1" customHeight="1" outlineLevel="2" x14ac:dyDescent="0.2">
      <c r="A1147" s="25"/>
      <c r="B1147" s="25"/>
      <c r="C1147" s="25"/>
      <c r="D1147" s="25" t="s">
        <v>352</v>
      </c>
      <c r="E1147" s="25" t="s">
        <v>2027</v>
      </c>
      <c r="F1147" s="25" t="s">
        <v>1951</v>
      </c>
      <c r="G1147" s="25" t="s">
        <v>2033</v>
      </c>
      <c r="H1147" s="11" t="s">
        <v>1953</v>
      </c>
      <c r="I1147" s="25" t="s">
        <v>3829</v>
      </c>
    </row>
    <row r="1148" spans="1:12" ht="18" hidden="1" customHeight="1" outlineLevel="2" x14ac:dyDescent="0.2">
      <c r="A1148" s="25"/>
      <c r="B1148" s="25"/>
      <c r="C1148" s="25"/>
      <c r="D1148" s="25" t="s">
        <v>352</v>
      </c>
      <c r="E1148" s="25" t="s">
        <v>2027</v>
      </c>
      <c r="F1148" s="25" t="s">
        <v>1956</v>
      </c>
      <c r="G1148" s="25" t="s">
        <v>2034</v>
      </c>
      <c r="H1148" s="11" t="s">
        <v>1953</v>
      </c>
      <c r="I1148" s="25" t="s">
        <v>3829</v>
      </c>
    </row>
    <row r="1149" spans="1:12" ht="18" hidden="1" customHeight="1" outlineLevel="2" x14ac:dyDescent="0.2">
      <c r="A1149" s="25"/>
      <c r="B1149" s="25"/>
      <c r="C1149" s="25"/>
      <c r="D1149" s="25" t="s">
        <v>352</v>
      </c>
      <c r="E1149" s="25" t="s">
        <v>2027</v>
      </c>
      <c r="F1149" s="25" t="s">
        <v>1960</v>
      </c>
      <c r="G1149" s="25" t="s">
        <v>2035</v>
      </c>
      <c r="H1149" s="11" t="s">
        <v>1962</v>
      </c>
      <c r="I1149" s="25" t="s">
        <v>3829</v>
      </c>
    </row>
    <row r="1150" spans="1:12" ht="18" hidden="1" customHeight="1" outlineLevel="2" x14ac:dyDescent="0.2">
      <c r="A1150" s="25"/>
      <c r="B1150" s="25"/>
      <c r="C1150" s="25"/>
      <c r="D1150" s="25" t="s">
        <v>352</v>
      </c>
      <c r="E1150" s="25" t="s">
        <v>2027</v>
      </c>
      <c r="F1150" s="25" t="s">
        <v>1968</v>
      </c>
      <c r="G1150" s="25" t="s">
        <v>2036</v>
      </c>
      <c r="H1150" s="11" t="s">
        <v>1962</v>
      </c>
      <c r="I1150" s="25" t="s">
        <v>3829</v>
      </c>
    </row>
    <row r="1151" spans="1:12" ht="18" hidden="1" customHeight="1" outlineLevel="2" x14ac:dyDescent="0.2">
      <c r="A1151" s="25"/>
      <c r="B1151" s="25"/>
      <c r="C1151" s="25"/>
      <c r="D1151" s="25" t="s">
        <v>352</v>
      </c>
      <c r="E1151" s="25" t="s">
        <v>2027</v>
      </c>
      <c r="F1151" s="25" t="s">
        <v>1970</v>
      </c>
      <c r="G1151" s="25" t="s">
        <v>2037</v>
      </c>
      <c r="H1151" s="11" t="s">
        <v>1974</v>
      </c>
      <c r="I1151" s="25" t="s">
        <v>3829</v>
      </c>
    </row>
    <row r="1152" spans="1:12" ht="18" hidden="1" customHeight="1" outlineLevel="2" x14ac:dyDescent="0.2">
      <c r="A1152" s="25"/>
      <c r="B1152" s="25"/>
      <c r="C1152" s="25"/>
      <c r="D1152" s="25"/>
      <c r="E1152" s="25"/>
      <c r="F1152" s="25"/>
      <c r="G1152" s="25"/>
      <c r="H1152" s="25"/>
      <c r="I1152" s="25"/>
    </row>
    <row r="1153" spans="1:12" ht="18" hidden="1" customHeight="1" outlineLevel="1" collapsed="1" x14ac:dyDescent="0.2">
      <c r="A1153" s="119" t="s">
        <v>96</v>
      </c>
      <c r="B1153" s="120"/>
      <c r="C1153" s="120"/>
      <c r="D1153" s="120"/>
      <c r="E1153" s="120"/>
      <c r="F1153" s="120"/>
      <c r="G1153" s="120"/>
      <c r="H1153" s="120"/>
      <c r="I1153" s="120"/>
      <c r="J1153" s="120"/>
      <c r="K1153" s="120"/>
      <c r="L1153" s="160"/>
    </row>
    <row r="1154" spans="1:12" ht="18" hidden="1" customHeight="1" outlineLevel="2" x14ac:dyDescent="0.2">
      <c r="A1154" s="25"/>
      <c r="B1154" s="25"/>
      <c r="C1154" s="25"/>
      <c r="D1154" s="25"/>
      <c r="E1154" s="59" t="s">
        <v>2038</v>
      </c>
      <c r="F1154" s="25"/>
      <c r="G1154" s="25">
        <v>7703</v>
      </c>
      <c r="H1154" s="25" t="s">
        <v>96</v>
      </c>
      <c r="I1154" s="25" t="s">
        <v>3838</v>
      </c>
      <c r="J1154" s="25" t="s">
        <v>3101</v>
      </c>
      <c r="K1154" s="25" t="s">
        <v>3116</v>
      </c>
      <c r="L1154" s="25" t="s">
        <v>3115</v>
      </c>
    </row>
    <row r="1155" spans="1:12" ht="18" hidden="1" customHeight="1" outlineLevel="2" x14ac:dyDescent="0.2">
      <c r="A1155" s="25"/>
      <c r="B1155" s="25"/>
      <c r="C1155" s="25"/>
      <c r="D1155" s="25"/>
      <c r="E1155" s="25" t="s">
        <v>2038</v>
      </c>
      <c r="F1155" s="25"/>
      <c r="G1155" s="25" t="s">
        <v>2039</v>
      </c>
      <c r="H1155" s="25" t="s">
        <v>96</v>
      </c>
      <c r="I1155" s="25" t="s">
        <v>3839</v>
      </c>
      <c r="J1155" s="25" t="s">
        <v>3102</v>
      </c>
    </row>
    <row r="1156" spans="1:12" ht="18" hidden="1" customHeight="1" outlineLevel="2" x14ac:dyDescent="0.2">
      <c r="A1156" s="25"/>
      <c r="B1156" s="25"/>
      <c r="C1156" s="25"/>
      <c r="D1156" s="25" t="s">
        <v>3363</v>
      </c>
      <c r="E1156" s="25" t="s">
        <v>2038</v>
      </c>
      <c r="F1156" s="25"/>
      <c r="G1156" s="25">
        <v>8760</v>
      </c>
      <c r="H1156" s="25" t="s">
        <v>96</v>
      </c>
      <c r="I1156" s="25" t="s">
        <v>3840</v>
      </c>
      <c r="J1156" s="25" t="s">
        <v>3102</v>
      </c>
    </row>
    <row r="1157" spans="1:12" ht="18" hidden="1" customHeight="1" outlineLevel="2" x14ac:dyDescent="0.2">
      <c r="A1157" s="25"/>
      <c r="B1157" s="25"/>
      <c r="C1157" s="25"/>
      <c r="D1157" s="25" t="s">
        <v>3363</v>
      </c>
      <c r="E1157" s="25" t="s">
        <v>2038</v>
      </c>
      <c r="F1157" s="25"/>
      <c r="G1157" s="25">
        <v>8723</v>
      </c>
      <c r="H1157" s="25" t="s">
        <v>96</v>
      </c>
      <c r="I1157" s="25" t="s">
        <v>3841</v>
      </c>
    </row>
    <row r="1158" spans="1:12" ht="18" hidden="1" customHeight="1" outlineLevel="2" x14ac:dyDescent="0.2">
      <c r="A1158" s="25"/>
      <c r="B1158" s="25"/>
      <c r="C1158" s="25"/>
      <c r="D1158" s="25"/>
      <c r="E1158" s="25"/>
      <c r="F1158" s="25"/>
      <c r="G1158" s="25"/>
      <c r="H1158" s="25"/>
      <c r="I1158" s="25"/>
    </row>
    <row r="1159" spans="1:12" ht="18" hidden="1" customHeight="1" outlineLevel="1" collapsed="1" x14ac:dyDescent="0.2">
      <c r="A1159" s="119" t="s">
        <v>103</v>
      </c>
      <c r="B1159" s="120"/>
      <c r="C1159" s="120"/>
      <c r="D1159" s="120"/>
      <c r="E1159" s="120"/>
      <c r="F1159" s="120"/>
      <c r="G1159" s="120"/>
      <c r="H1159" s="120"/>
      <c r="I1159" s="120"/>
      <c r="J1159" s="120"/>
      <c r="K1159" s="120"/>
      <c r="L1159" s="160"/>
    </row>
    <row r="1160" spans="1:12" ht="18" hidden="1" customHeight="1" outlineLevel="2" x14ac:dyDescent="0.2">
      <c r="A1160" s="25"/>
      <c r="B1160" s="25"/>
      <c r="C1160" s="25"/>
      <c r="D1160" s="25"/>
      <c r="E1160" s="25" t="s">
        <v>2057</v>
      </c>
      <c r="F1160" s="25" t="s">
        <v>2058</v>
      </c>
      <c r="G1160" s="25" t="s">
        <v>2059</v>
      </c>
      <c r="H1160" s="25" t="s">
        <v>2060</v>
      </c>
      <c r="I1160" s="25" t="s">
        <v>2061</v>
      </c>
    </row>
    <row r="1161" spans="1:12" ht="18" hidden="1" customHeight="1" outlineLevel="2" x14ac:dyDescent="0.2">
      <c r="A1161" s="25"/>
      <c r="B1161" s="25"/>
      <c r="C1161" s="25"/>
      <c r="D1161" s="25"/>
      <c r="E1161" s="25" t="s">
        <v>2057</v>
      </c>
      <c r="F1161" s="25" t="s">
        <v>2058</v>
      </c>
      <c r="G1161" s="25" t="s">
        <v>2062</v>
      </c>
      <c r="H1161" s="25" t="s">
        <v>2060</v>
      </c>
      <c r="I1161" s="25" t="s">
        <v>2063</v>
      </c>
    </row>
    <row r="1162" spans="1:12" ht="18" hidden="1" customHeight="1" outlineLevel="2" x14ac:dyDescent="0.2">
      <c r="A1162" s="25"/>
      <c r="B1162" s="25"/>
      <c r="C1162" s="25"/>
      <c r="D1162" s="25"/>
      <c r="E1162" s="25" t="s">
        <v>2057</v>
      </c>
      <c r="F1162" s="25" t="s">
        <v>2058</v>
      </c>
      <c r="G1162" s="25" t="s">
        <v>2064</v>
      </c>
      <c r="H1162" s="25" t="s">
        <v>2060</v>
      </c>
      <c r="I1162" s="25" t="s">
        <v>2065</v>
      </c>
    </row>
    <row r="1163" spans="1:12" ht="18" hidden="1" customHeight="1" outlineLevel="2" x14ac:dyDescent="0.2">
      <c r="A1163" s="25"/>
      <c r="B1163" s="25"/>
      <c r="C1163" s="25"/>
      <c r="D1163" s="25"/>
      <c r="E1163" s="25" t="s">
        <v>2057</v>
      </c>
      <c r="F1163" s="25" t="s">
        <v>2058</v>
      </c>
      <c r="G1163" s="25" t="s">
        <v>2066</v>
      </c>
      <c r="H1163" s="25" t="s">
        <v>2060</v>
      </c>
      <c r="I1163" s="25" t="s">
        <v>56</v>
      </c>
    </row>
    <row r="1164" spans="1:12" ht="18" hidden="1" customHeight="1" outlineLevel="2" x14ac:dyDescent="0.2">
      <c r="A1164" s="25"/>
      <c r="B1164" s="25"/>
      <c r="C1164" s="25"/>
      <c r="D1164" s="25"/>
      <c r="E1164" s="25" t="s">
        <v>2057</v>
      </c>
      <c r="F1164" s="25" t="s">
        <v>2058</v>
      </c>
      <c r="G1164" s="25" t="s">
        <v>2067</v>
      </c>
      <c r="H1164" s="25" t="s">
        <v>2060</v>
      </c>
      <c r="I1164" s="25" t="s">
        <v>57</v>
      </c>
    </row>
    <row r="1165" spans="1:12" ht="18" hidden="1" customHeight="1" outlineLevel="2" x14ac:dyDescent="0.2">
      <c r="A1165" s="25"/>
      <c r="B1165" s="25"/>
      <c r="C1165" s="25"/>
      <c r="D1165" s="25"/>
      <c r="E1165" s="25"/>
      <c r="F1165" s="25"/>
      <c r="G1165" s="25"/>
      <c r="H1165" s="25"/>
      <c r="I1165" s="25"/>
    </row>
    <row r="1166" spans="1:12" ht="18" hidden="1" customHeight="1" outlineLevel="1" collapsed="1" x14ac:dyDescent="0.2">
      <c r="A1166" s="119" t="s">
        <v>99</v>
      </c>
      <c r="B1166" s="120"/>
      <c r="C1166" s="120"/>
      <c r="D1166" s="120"/>
      <c r="E1166" s="120"/>
      <c r="F1166" s="120"/>
      <c r="G1166" s="120"/>
      <c r="H1166" s="120"/>
      <c r="I1166" s="120"/>
      <c r="J1166" s="120"/>
      <c r="K1166" s="120"/>
      <c r="L1166" s="160"/>
    </row>
    <row r="1167" spans="1:12" ht="18" hidden="1" customHeight="1" outlineLevel="2" x14ac:dyDescent="0.2">
      <c r="A1167" s="25"/>
      <c r="B1167" s="25"/>
      <c r="C1167" s="25"/>
      <c r="D1167" s="25" t="s">
        <v>3356</v>
      </c>
      <c r="E1167" s="25" t="s">
        <v>2017</v>
      </c>
      <c r="F1167" s="25" t="s">
        <v>1836</v>
      </c>
      <c r="G1167" s="25" t="s">
        <v>2018</v>
      </c>
      <c r="H1167" s="25" t="s">
        <v>547</v>
      </c>
      <c r="I1167" s="25"/>
      <c r="J1167" s="25" t="s">
        <v>3059</v>
      </c>
    </row>
    <row r="1168" spans="1:12" ht="18" hidden="1" customHeight="1" outlineLevel="2" x14ac:dyDescent="0.2">
      <c r="A1168" s="25"/>
      <c r="B1168" s="25"/>
      <c r="C1168" s="25"/>
      <c r="D1168" s="25" t="s">
        <v>3356</v>
      </c>
      <c r="E1168" s="25" t="s">
        <v>2017</v>
      </c>
      <c r="F1168" s="25" t="s">
        <v>1836</v>
      </c>
      <c r="G1168" s="25" t="s">
        <v>2019</v>
      </c>
      <c r="H1168" s="25" t="s">
        <v>547</v>
      </c>
      <c r="I1168" s="25"/>
      <c r="J1168" s="25" t="s">
        <v>3059</v>
      </c>
    </row>
    <row r="1169" spans="1:12" ht="18" hidden="1" customHeight="1" outlineLevel="2" x14ac:dyDescent="0.2">
      <c r="A1169" s="25"/>
      <c r="B1169" s="25"/>
      <c r="C1169" s="25"/>
      <c r="D1169" s="25" t="s">
        <v>3356</v>
      </c>
      <c r="E1169" s="25" t="s">
        <v>2017</v>
      </c>
      <c r="F1169" s="25" t="s">
        <v>1836</v>
      </c>
      <c r="G1169" s="25" t="s">
        <v>2020</v>
      </c>
      <c r="H1169" s="25" t="s">
        <v>547</v>
      </c>
      <c r="I1169" s="25"/>
      <c r="J1169" s="25" t="s">
        <v>3059</v>
      </c>
    </row>
    <row r="1170" spans="1:12" ht="18" hidden="1" customHeight="1" outlineLevel="2" x14ac:dyDescent="0.2">
      <c r="A1170" s="25"/>
      <c r="B1170" s="25"/>
      <c r="C1170" s="25"/>
      <c r="D1170" s="25" t="s">
        <v>3356</v>
      </c>
      <c r="E1170" s="25" t="s">
        <v>2017</v>
      </c>
      <c r="F1170" s="25" t="s">
        <v>1836</v>
      </c>
      <c r="G1170" s="25" t="s">
        <v>2021</v>
      </c>
      <c r="H1170" s="25" t="s">
        <v>547</v>
      </c>
      <c r="I1170" s="25"/>
      <c r="J1170" s="25" t="s">
        <v>3059</v>
      </c>
    </row>
    <row r="1171" spans="1:12" ht="18" hidden="1" customHeight="1" outlineLevel="2" x14ac:dyDescent="0.2">
      <c r="A1171" s="25"/>
      <c r="B1171" s="25"/>
      <c r="C1171" s="25"/>
      <c r="D1171" s="25" t="s">
        <v>3356</v>
      </c>
      <c r="E1171" s="25" t="s">
        <v>2017</v>
      </c>
      <c r="F1171" s="25" t="s">
        <v>1836</v>
      </c>
      <c r="G1171" s="25" t="s">
        <v>2022</v>
      </c>
      <c r="H1171" s="25" t="s">
        <v>547</v>
      </c>
      <c r="I1171" s="25"/>
      <c r="J1171" s="25" t="s">
        <v>3059</v>
      </c>
    </row>
    <row r="1172" spans="1:12" ht="18" hidden="1" customHeight="1" outlineLevel="2" x14ac:dyDescent="0.2">
      <c r="A1172" s="25"/>
      <c r="B1172" s="25"/>
      <c r="C1172" s="25"/>
      <c r="D1172" s="25" t="s">
        <v>3356</v>
      </c>
      <c r="E1172" s="25" t="s">
        <v>2017</v>
      </c>
      <c r="F1172" s="25" t="s">
        <v>1836</v>
      </c>
      <c r="G1172" s="25" t="s">
        <v>816</v>
      </c>
      <c r="H1172" s="25" t="s">
        <v>547</v>
      </c>
      <c r="I1172" s="25"/>
      <c r="J1172" s="25" t="s">
        <v>3059</v>
      </c>
    </row>
    <row r="1173" spans="1:12" ht="18" hidden="1" customHeight="1" outlineLevel="2" x14ac:dyDescent="0.2">
      <c r="A1173" s="25"/>
      <c r="B1173" s="25"/>
      <c r="C1173" s="25"/>
      <c r="D1173" s="25"/>
      <c r="E1173" s="25" t="s">
        <v>2017</v>
      </c>
      <c r="F1173" s="25" t="s">
        <v>1840</v>
      </c>
      <c r="G1173" s="25" t="s">
        <v>2020</v>
      </c>
      <c r="H1173" s="25" t="s">
        <v>547</v>
      </c>
      <c r="I1173" s="25"/>
      <c r="J1173" s="25" t="s">
        <v>3059</v>
      </c>
    </row>
    <row r="1174" spans="1:12" ht="18" hidden="1" customHeight="1" outlineLevel="2" x14ac:dyDescent="0.2">
      <c r="A1174" s="25"/>
      <c r="B1174" s="25"/>
      <c r="C1174" s="25"/>
      <c r="D1174" s="25"/>
      <c r="E1174" s="25"/>
      <c r="F1174" s="25"/>
      <c r="G1174" s="25"/>
      <c r="H1174" s="25"/>
      <c r="I1174" s="25"/>
    </row>
    <row r="1175" spans="1:12" ht="18" hidden="1" customHeight="1" outlineLevel="1" collapsed="1" x14ac:dyDescent="0.2">
      <c r="A1175" s="119" t="s">
        <v>97</v>
      </c>
      <c r="B1175" s="120"/>
      <c r="C1175" s="120"/>
      <c r="D1175" s="120"/>
      <c r="E1175" s="120"/>
      <c r="F1175" s="120"/>
      <c r="G1175" s="120"/>
      <c r="H1175" s="120"/>
      <c r="I1175" s="120"/>
      <c r="J1175" s="120"/>
      <c r="K1175" s="120"/>
      <c r="L1175" s="160"/>
    </row>
    <row r="1176" spans="1:12" ht="18" hidden="1" customHeight="1" outlineLevel="2" x14ac:dyDescent="0.2">
      <c r="A1176" s="25"/>
      <c r="B1176" s="25"/>
      <c r="C1176" s="25"/>
      <c r="D1176" s="25" t="s">
        <v>3355</v>
      </c>
      <c r="E1176" s="59" t="s">
        <v>2007</v>
      </c>
      <c r="F1176" s="25" t="s">
        <v>2008</v>
      </c>
      <c r="G1176" s="25" t="s">
        <v>2009</v>
      </c>
      <c r="H1176" s="65" t="s">
        <v>1926</v>
      </c>
      <c r="I1176" s="25" t="s">
        <v>3834</v>
      </c>
      <c r="K1176" s="25" t="s">
        <v>3117</v>
      </c>
      <c r="L1176" s="25" t="s">
        <v>3119</v>
      </c>
    </row>
    <row r="1177" spans="1:12" ht="18" hidden="1" customHeight="1" outlineLevel="2" x14ac:dyDescent="0.2">
      <c r="A1177" s="25"/>
      <c r="B1177" s="25"/>
      <c r="C1177" s="25"/>
      <c r="D1177" s="25" t="s">
        <v>352</v>
      </c>
      <c r="E1177" s="25" t="s">
        <v>2007</v>
      </c>
      <c r="F1177" s="25" t="s">
        <v>2010</v>
      </c>
      <c r="G1177" s="25" t="s">
        <v>1996</v>
      </c>
      <c r="H1177" s="65" t="s">
        <v>1926</v>
      </c>
      <c r="I1177" s="25" t="s">
        <v>3835</v>
      </c>
    </row>
    <row r="1178" spans="1:12" ht="18" hidden="1" customHeight="1" outlineLevel="2" x14ac:dyDescent="0.2">
      <c r="A1178" s="25"/>
      <c r="B1178" s="25"/>
      <c r="C1178" s="25"/>
      <c r="D1178" s="25"/>
      <c r="E1178" s="25"/>
      <c r="F1178" s="25"/>
      <c r="G1178" s="25"/>
      <c r="H1178" s="65"/>
      <c r="I1178" s="25"/>
    </row>
    <row r="1179" spans="1:12" ht="18" hidden="1" customHeight="1" outlineLevel="1" collapsed="1" x14ac:dyDescent="0.2">
      <c r="A1179" s="119" t="s">
        <v>3828</v>
      </c>
      <c r="B1179" s="120"/>
      <c r="C1179" s="120"/>
      <c r="D1179" s="120"/>
      <c r="E1179" s="120"/>
      <c r="F1179" s="120"/>
      <c r="G1179" s="120"/>
      <c r="H1179" s="120"/>
      <c r="I1179" s="120"/>
      <c r="J1179" s="120"/>
      <c r="K1179" s="120"/>
      <c r="L1179" s="160"/>
    </row>
    <row r="1180" spans="1:12" ht="18" hidden="1" customHeight="1" outlineLevel="2" x14ac:dyDescent="0.2">
      <c r="A1180" s="25"/>
      <c r="B1180" s="25"/>
      <c r="C1180" s="25"/>
      <c r="D1180" s="25" t="s">
        <v>352</v>
      </c>
      <c r="E1180" s="25" t="s">
        <v>1963</v>
      </c>
      <c r="F1180" s="25" t="s">
        <v>1960</v>
      </c>
      <c r="G1180" s="25" t="s">
        <v>1964</v>
      </c>
      <c r="H1180" s="65" t="s">
        <v>1965</v>
      </c>
      <c r="I1180" s="9"/>
    </row>
    <row r="1181" spans="1:12" ht="18" hidden="1" customHeight="1" outlineLevel="2" x14ac:dyDescent="0.2">
      <c r="A1181" s="25"/>
      <c r="B1181" s="25"/>
      <c r="C1181" s="25"/>
      <c r="D1181" s="25" t="s">
        <v>352</v>
      </c>
      <c r="E1181" s="25" t="s">
        <v>1963</v>
      </c>
      <c r="F1181" s="25" t="s">
        <v>1966</v>
      </c>
      <c r="G1181" s="25" t="s">
        <v>1967</v>
      </c>
      <c r="H1181" s="65" t="s">
        <v>1965</v>
      </c>
      <c r="I1181" s="9"/>
    </row>
    <row r="1182" spans="1:12" ht="18" hidden="1" customHeight="1" outlineLevel="2" x14ac:dyDescent="0.2">
      <c r="A1182" s="25"/>
      <c r="B1182" s="25"/>
      <c r="C1182" s="25"/>
      <c r="D1182" s="25" t="s">
        <v>352</v>
      </c>
      <c r="E1182" s="25" t="s">
        <v>1963</v>
      </c>
      <c r="F1182" s="25" t="s">
        <v>1968</v>
      </c>
      <c r="G1182" s="25" t="s">
        <v>1969</v>
      </c>
      <c r="H1182" s="65" t="s">
        <v>1965</v>
      </c>
      <c r="I1182" s="9"/>
    </row>
    <row r="1183" spans="1:12" ht="18" hidden="1" customHeight="1" outlineLevel="2" x14ac:dyDescent="0.2">
      <c r="A1183" s="25"/>
      <c r="B1183" s="25"/>
      <c r="C1183" s="25"/>
      <c r="D1183" s="25" t="s">
        <v>352</v>
      </c>
      <c r="E1183" s="25" t="s">
        <v>1963</v>
      </c>
      <c r="F1183" s="25" t="s">
        <v>1970</v>
      </c>
      <c r="G1183" s="25" t="s">
        <v>1971</v>
      </c>
      <c r="H1183" s="25"/>
      <c r="I1183" s="25"/>
    </row>
    <row r="1184" spans="1:12" ht="18" hidden="1" customHeight="1" outlineLevel="2" x14ac:dyDescent="0.2">
      <c r="A1184" s="25"/>
      <c r="B1184" s="25"/>
      <c r="C1184" s="25"/>
      <c r="D1184" s="25"/>
      <c r="E1184" s="25"/>
      <c r="F1184" s="25"/>
      <c r="G1184" s="25"/>
      <c r="H1184" s="25"/>
      <c r="I1184" s="25"/>
    </row>
    <row r="1185" spans="1:12" ht="18" hidden="1" customHeight="1" outlineLevel="1" collapsed="1" x14ac:dyDescent="0.2">
      <c r="A1185" s="119" t="s">
        <v>100</v>
      </c>
      <c r="B1185" s="120"/>
      <c r="C1185" s="120"/>
      <c r="D1185" s="120"/>
      <c r="E1185" s="120"/>
      <c r="F1185" s="120"/>
      <c r="G1185" s="120"/>
      <c r="H1185" s="120"/>
      <c r="I1185" s="120"/>
      <c r="J1185" s="120"/>
      <c r="K1185" s="120"/>
      <c r="L1185" s="160"/>
    </row>
    <row r="1186" spans="1:12" ht="18" hidden="1" customHeight="1" outlineLevel="2" x14ac:dyDescent="0.2">
      <c r="A1186" s="25"/>
      <c r="B1186" s="25"/>
      <c r="C1186" s="25"/>
      <c r="D1186" s="25" t="s">
        <v>3357</v>
      </c>
      <c r="E1186" s="25" t="s">
        <v>2023</v>
      </c>
      <c r="F1186" s="25" t="s">
        <v>1843</v>
      </c>
      <c r="G1186" s="25" t="s">
        <v>2020</v>
      </c>
      <c r="H1186" s="25" t="s">
        <v>547</v>
      </c>
      <c r="I1186" s="25"/>
      <c r="J1186" s="25" t="s">
        <v>3059</v>
      </c>
    </row>
    <row r="1187" spans="1:12" ht="18" hidden="1" customHeight="1" outlineLevel="2" x14ac:dyDescent="0.2">
      <c r="A1187" s="25"/>
      <c r="B1187" s="25"/>
      <c r="C1187" s="25"/>
      <c r="D1187" s="25" t="s">
        <v>3357</v>
      </c>
      <c r="E1187" s="25" t="s">
        <v>2023</v>
      </c>
      <c r="F1187" s="25" t="s">
        <v>1843</v>
      </c>
      <c r="G1187" s="25" t="s">
        <v>2019</v>
      </c>
      <c r="H1187" s="25" t="s">
        <v>547</v>
      </c>
      <c r="I1187" s="25"/>
      <c r="J1187" s="25" t="s">
        <v>3059</v>
      </c>
    </row>
    <row r="1188" spans="1:12" ht="18" hidden="1" customHeight="1" outlineLevel="2" x14ac:dyDescent="0.2">
      <c r="A1188" s="25"/>
      <c r="B1188" s="25"/>
      <c r="C1188" s="25"/>
      <c r="D1188" s="25" t="s">
        <v>3358</v>
      </c>
      <c r="E1188" s="25" t="s">
        <v>2023</v>
      </c>
      <c r="F1188" s="25" t="s">
        <v>1846</v>
      </c>
      <c r="G1188" s="25" t="s">
        <v>2020</v>
      </c>
      <c r="H1188" s="25" t="s">
        <v>547</v>
      </c>
      <c r="I1188" s="25"/>
      <c r="J1188" s="25" t="s">
        <v>3059</v>
      </c>
    </row>
    <row r="1189" spans="1:12" ht="18" hidden="1" customHeight="1" outlineLevel="2" x14ac:dyDescent="0.2">
      <c r="A1189" s="25"/>
      <c r="B1189" s="25"/>
      <c r="C1189" s="25"/>
      <c r="D1189" s="25" t="s">
        <v>3358</v>
      </c>
      <c r="E1189" s="25" t="s">
        <v>2023</v>
      </c>
      <c r="F1189" s="25" t="s">
        <v>1846</v>
      </c>
      <c r="G1189" s="25" t="s">
        <v>2019</v>
      </c>
      <c r="H1189" s="25" t="s">
        <v>547</v>
      </c>
      <c r="I1189" s="25"/>
      <c r="J1189" s="25" t="s">
        <v>3059</v>
      </c>
    </row>
    <row r="1190" spans="1:12" ht="18" hidden="1" customHeight="1" outlineLevel="2" x14ac:dyDescent="0.2">
      <c r="A1190" s="25"/>
      <c r="B1190" s="25"/>
      <c r="C1190" s="25"/>
      <c r="D1190" s="25" t="s">
        <v>3359</v>
      </c>
      <c r="E1190" s="25" t="s">
        <v>2023</v>
      </c>
      <c r="F1190" s="25" t="s">
        <v>1848</v>
      </c>
      <c r="G1190" s="25" t="s">
        <v>2020</v>
      </c>
      <c r="H1190" s="25" t="s">
        <v>547</v>
      </c>
      <c r="I1190" s="25"/>
      <c r="J1190" s="25" t="s">
        <v>3059</v>
      </c>
    </row>
    <row r="1191" spans="1:12" ht="18" hidden="1" customHeight="1" outlineLevel="2" x14ac:dyDescent="0.2">
      <c r="A1191" s="25"/>
      <c r="B1191" s="25"/>
      <c r="C1191" s="25"/>
      <c r="D1191" s="25" t="s">
        <v>3359</v>
      </c>
      <c r="E1191" s="25" t="s">
        <v>2023</v>
      </c>
      <c r="F1191" s="25" t="s">
        <v>1848</v>
      </c>
      <c r="G1191" s="25" t="s">
        <v>2019</v>
      </c>
      <c r="H1191" s="25" t="s">
        <v>547</v>
      </c>
      <c r="I1191" s="25"/>
      <c r="J1191" s="25" t="s">
        <v>3059</v>
      </c>
    </row>
    <row r="1192" spans="1:12" ht="18" hidden="1" customHeight="1" outlineLevel="2" x14ac:dyDescent="0.2">
      <c r="A1192" s="25"/>
      <c r="B1192" s="25"/>
      <c r="C1192" s="25"/>
      <c r="D1192" s="25" t="s">
        <v>3360</v>
      </c>
      <c r="E1192" s="25" t="s">
        <v>2023</v>
      </c>
      <c r="F1192" s="25" t="s">
        <v>1850</v>
      </c>
      <c r="G1192" s="25" t="s">
        <v>2020</v>
      </c>
      <c r="H1192" s="25" t="s">
        <v>547</v>
      </c>
      <c r="I1192" s="25"/>
      <c r="J1192" s="25" t="s">
        <v>3059</v>
      </c>
    </row>
    <row r="1193" spans="1:12" ht="18" hidden="1" customHeight="1" outlineLevel="2" x14ac:dyDescent="0.2">
      <c r="A1193" s="25"/>
      <c r="B1193" s="25"/>
      <c r="C1193" s="25"/>
      <c r="D1193" s="25" t="s">
        <v>3360</v>
      </c>
      <c r="E1193" s="25" t="s">
        <v>2023</v>
      </c>
      <c r="F1193" s="25" t="s">
        <v>1850</v>
      </c>
      <c r="G1193" s="25" t="s">
        <v>2019</v>
      </c>
      <c r="H1193" s="25" t="s">
        <v>547</v>
      </c>
      <c r="I1193" s="25"/>
      <c r="J1193" s="25" t="s">
        <v>3059</v>
      </c>
    </row>
    <row r="1194" spans="1:12" ht="18" hidden="1" customHeight="1" outlineLevel="2" x14ac:dyDescent="0.2">
      <c r="A1194" s="25"/>
      <c r="B1194" s="25"/>
      <c r="C1194" s="25"/>
      <c r="D1194" s="25" t="s">
        <v>3360</v>
      </c>
      <c r="E1194" s="25" t="s">
        <v>2023</v>
      </c>
      <c r="F1194" s="25" t="s">
        <v>1850</v>
      </c>
      <c r="G1194" s="25" t="s">
        <v>2024</v>
      </c>
      <c r="H1194" s="25" t="s">
        <v>547</v>
      </c>
      <c r="I1194" s="68" t="s">
        <v>3061</v>
      </c>
      <c r="J1194" s="25" t="s">
        <v>3059</v>
      </c>
    </row>
    <row r="1195" spans="1:12" ht="18" hidden="1" customHeight="1" outlineLevel="2" x14ac:dyDescent="0.2">
      <c r="A1195" s="25"/>
      <c r="B1195" s="25"/>
      <c r="C1195" s="25"/>
      <c r="D1195" s="25" t="s">
        <v>3361</v>
      </c>
      <c r="E1195" s="25" t="s">
        <v>2023</v>
      </c>
      <c r="F1195" s="25" t="s">
        <v>1852</v>
      </c>
      <c r="G1195" s="25" t="s">
        <v>2020</v>
      </c>
      <c r="H1195" s="25" t="s">
        <v>547</v>
      </c>
      <c r="I1195" s="68"/>
      <c r="J1195" s="25" t="s">
        <v>3059</v>
      </c>
    </row>
    <row r="1196" spans="1:12" ht="18" hidden="1" customHeight="1" outlineLevel="2" x14ac:dyDescent="0.2">
      <c r="A1196" s="25"/>
      <c r="B1196" s="25"/>
      <c r="C1196" s="25"/>
      <c r="D1196" s="25" t="s">
        <v>3361</v>
      </c>
      <c r="E1196" s="25" t="s">
        <v>2023</v>
      </c>
      <c r="F1196" s="25" t="s">
        <v>1852</v>
      </c>
      <c r="G1196" s="25" t="s">
        <v>2024</v>
      </c>
      <c r="H1196" s="25" t="s">
        <v>1926</v>
      </c>
      <c r="I1196" s="68" t="s">
        <v>3062</v>
      </c>
      <c r="J1196" s="25" t="s">
        <v>3059</v>
      </c>
    </row>
    <row r="1197" spans="1:12" ht="18" hidden="1" customHeight="1" outlineLevel="2" x14ac:dyDescent="0.2">
      <c r="A1197" s="25"/>
      <c r="B1197" s="25"/>
      <c r="C1197" s="25"/>
      <c r="D1197" s="25" t="s">
        <v>3362</v>
      </c>
      <c r="E1197" s="25" t="s">
        <v>2023</v>
      </c>
      <c r="F1197" s="25" t="s">
        <v>1854</v>
      </c>
      <c r="G1197" s="25" t="s">
        <v>2020</v>
      </c>
      <c r="H1197" s="25"/>
      <c r="I1197" s="68"/>
      <c r="J1197" s="25" t="s">
        <v>3059</v>
      </c>
    </row>
    <row r="1198" spans="1:12" ht="18" hidden="1" customHeight="1" outlineLevel="2" x14ac:dyDescent="0.2">
      <c r="A1198" s="25"/>
      <c r="B1198" s="25"/>
      <c r="C1198" s="25"/>
      <c r="D1198" s="25" t="s">
        <v>3362</v>
      </c>
      <c r="E1198" s="25" t="s">
        <v>2023</v>
      </c>
      <c r="F1198" s="25" t="s">
        <v>1854</v>
      </c>
      <c r="G1198" s="25" t="s">
        <v>2024</v>
      </c>
      <c r="H1198" s="25" t="s">
        <v>1926</v>
      </c>
      <c r="I1198" s="68" t="s">
        <v>3063</v>
      </c>
      <c r="J1198" s="25" t="s">
        <v>3059</v>
      </c>
      <c r="K1198" s="25" t="s">
        <v>267</v>
      </c>
      <c r="L1198" s="25" t="s">
        <v>592</v>
      </c>
    </row>
    <row r="1199" spans="1:12" ht="18" hidden="1" customHeight="1" outlineLevel="2" x14ac:dyDescent="0.2">
      <c r="A1199" s="25"/>
      <c r="B1199" s="25"/>
      <c r="C1199" s="25"/>
      <c r="D1199" s="25" t="s">
        <v>352</v>
      </c>
      <c r="E1199" s="25" t="s">
        <v>2023</v>
      </c>
      <c r="F1199" s="25" t="s">
        <v>1856</v>
      </c>
      <c r="G1199" s="25" t="s">
        <v>2020</v>
      </c>
      <c r="H1199" s="25"/>
      <c r="I1199" s="68"/>
      <c r="J1199" s="25" t="s">
        <v>3059</v>
      </c>
    </row>
    <row r="1200" spans="1:12" ht="18" hidden="1" customHeight="1" outlineLevel="2" x14ac:dyDescent="0.2">
      <c r="A1200" s="25"/>
      <c r="B1200" s="25"/>
      <c r="C1200" s="25"/>
      <c r="D1200" s="25" t="s">
        <v>352</v>
      </c>
      <c r="E1200" s="25" t="s">
        <v>2023</v>
      </c>
      <c r="F1200" s="25" t="s">
        <v>1856</v>
      </c>
      <c r="G1200" s="25" t="s">
        <v>2024</v>
      </c>
      <c r="H1200" s="25" t="s">
        <v>1926</v>
      </c>
      <c r="I1200" s="68" t="s">
        <v>1925</v>
      </c>
      <c r="J1200" s="25" t="s">
        <v>3059</v>
      </c>
    </row>
    <row r="1201" spans="1:12" ht="18" hidden="1" customHeight="1" outlineLevel="2" x14ac:dyDescent="0.2">
      <c r="A1201" s="25"/>
      <c r="B1201" s="25"/>
      <c r="C1201" s="25"/>
      <c r="D1201" s="25" t="s">
        <v>352</v>
      </c>
      <c r="E1201" s="25" t="s">
        <v>2023</v>
      </c>
      <c r="F1201" s="25" t="s">
        <v>2025</v>
      </c>
      <c r="G1201" s="25" t="s">
        <v>2020</v>
      </c>
      <c r="H1201" s="25"/>
      <c r="I1201" s="68"/>
      <c r="J1201" s="25" t="s">
        <v>3059</v>
      </c>
    </row>
    <row r="1202" spans="1:12" ht="18" hidden="1" customHeight="1" outlineLevel="2" x14ac:dyDescent="0.2">
      <c r="A1202" s="25"/>
      <c r="B1202" s="25"/>
      <c r="C1202" s="25"/>
      <c r="D1202" s="25" t="s">
        <v>352</v>
      </c>
      <c r="E1202" s="25" t="s">
        <v>2023</v>
      </c>
      <c r="F1202" s="25" t="s">
        <v>2025</v>
      </c>
      <c r="G1202" s="25" t="s">
        <v>2024</v>
      </c>
      <c r="H1202" s="25"/>
      <c r="I1202" s="68" t="s">
        <v>1938</v>
      </c>
      <c r="J1202" s="25" t="s">
        <v>3059</v>
      </c>
    </row>
    <row r="1203" spans="1:12" ht="18" hidden="1" customHeight="1" outlineLevel="2" x14ac:dyDescent="0.2">
      <c r="A1203" s="25"/>
      <c r="B1203" s="25"/>
      <c r="C1203" s="25"/>
      <c r="D1203" s="25" t="s">
        <v>352</v>
      </c>
      <c r="E1203" s="25" t="s">
        <v>2023</v>
      </c>
      <c r="F1203" s="25" t="s">
        <v>2026</v>
      </c>
      <c r="G1203" s="25" t="s">
        <v>2020</v>
      </c>
      <c r="H1203" s="25"/>
      <c r="I1203" s="25"/>
      <c r="J1203" s="25" t="s">
        <v>3059</v>
      </c>
    </row>
    <row r="1204" spans="1:12" ht="18" hidden="1" customHeight="1" outlineLevel="2" x14ac:dyDescent="0.2">
      <c r="A1204" s="25"/>
      <c r="B1204" s="25"/>
      <c r="C1204" s="25"/>
      <c r="D1204" s="25"/>
      <c r="E1204" s="25"/>
      <c r="F1204" s="25"/>
      <c r="G1204" s="25"/>
      <c r="H1204" s="25"/>
      <c r="I1204" s="25"/>
    </row>
    <row r="1205" spans="1:12" ht="18" hidden="1" customHeight="1" outlineLevel="1" collapsed="1" x14ac:dyDescent="0.2">
      <c r="A1205" s="119" t="s">
        <v>94</v>
      </c>
      <c r="B1205" s="120"/>
      <c r="C1205" s="120"/>
      <c r="D1205" s="120"/>
      <c r="E1205" s="120"/>
      <c r="F1205" s="120"/>
      <c r="G1205" s="120"/>
      <c r="H1205" s="120"/>
      <c r="I1205" s="120"/>
      <c r="J1205" s="120"/>
      <c r="K1205" s="120"/>
      <c r="L1205" s="160"/>
    </row>
    <row r="1206" spans="1:12" ht="18" hidden="1" customHeight="1" outlineLevel="2" x14ac:dyDescent="0.2">
      <c r="A1206" s="25"/>
      <c r="B1206" s="25"/>
      <c r="C1206" s="25"/>
      <c r="D1206" s="25" t="s">
        <v>3352</v>
      </c>
      <c r="E1206" s="59" t="s">
        <v>1980</v>
      </c>
      <c r="F1206" s="25" t="s">
        <v>1981</v>
      </c>
      <c r="G1206" s="25" t="s">
        <v>1982</v>
      </c>
      <c r="H1206" s="25"/>
      <c r="I1206" s="25" t="s">
        <v>1983</v>
      </c>
      <c r="K1206" s="25" t="s">
        <v>3118</v>
      </c>
      <c r="L1206" s="25" t="s">
        <v>3116</v>
      </c>
    </row>
    <row r="1207" spans="1:12" ht="18" hidden="1" customHeight="1" outlineLevel="2" x14ac:dyDescent="0.2">
      <c r="A1207" s="25"/>
      <c r="B1207" s="25"/>
      <c r="C1207" s="25"/>
      <c r="D1207" s="25" t="s">
        <v>3353</v>
      </c>
      <c r="E1207" s="25" t="s">
        <v>1980</v>
      </c>
      <c r="F1207" s="25" t="s">
        <v>1984</v>
      </c>
      <c r="G1207" s="25" t="s">
        <v>1982</v>
      </c>
      <c r="H1207" s="25"/>
      <c r="I1207" s="25" t="s">
        <v>1985</v>
      </c>
    </row>
    <row r="1208" spans="1:12" ht="18" hidden="1" customHeight="1" outlineLevel="2" x14ac:dyDescent="0.2">
      <c r="A1208" s="25"/>
      <c r="B1208" s="25"/>
      <c r="C1208" s="25"/>
      <c r="D1208" s="25" t="s">
        <v>3354</v>
      </c>
      <c r="E1208" s="25" t="s">
        <v>1980</v>
      </c>
      <c r="F1208" s="25" t="s">
        <v>1986</v>
      </c>
      <c r="G1208" s="25" t="s">
        <v>1982</v>
      </c>
      <c r="H1208" s="25"/>
      <c r="I1208" s="25" t="s">
        <v>1987</v>
      </c>
    </row>
    <row r="1209" spans="1:12" ht="18" hidden="1" customHeight="1" outlineLevel="2" x14ac:dyDescent="0.2">
      <c r="A1209" s="25"/>
      <c r="B1209" s="25"/>
      <c r="C1209" s="25"/>
      <c r="D1209" s="25" t="s">
        <v>352</v>
      </c>
      <c r="E1209" s="25" t="s">
        <v>1980</v>
      </c>
      <c r="F1209" s="25" t="s">
        <v>1988</v>
      </c>
      <c r="G1209" s="25" t="s">
        <v>1982</v>
      </c>
      <c r="H1209" s="25"/>
      <c r="I1209" s="25" t="s">
        <v>1989</v>
      </c>
    </row>
    <row r="1210" spans="1:12" ht="18" hidden="1" customHeight="1" outlineLevel="2" x14ac:dyDescent="0.2">
      <c r="A1210" s="25"/>
      <c r="B1210" s="25"/>
      <c r="C1210" s="25"/>
      <c r="D1210" s="25"/>
      <c r="E1210" s="25"/>
      <c r="F1210" s="25"/>
      <c r="G1210" s="25"/>
      <c r="H1210" s="25"/>
      <c r="I1210" s="25"/>
    </row>
    <row r="1211" spans="1:12" ht="18" hidden="1" customHeight="1" outlineLevel="1" x14ac:dyDescent="0.2">
      <c r="A1211" s="119" t="s">
        <v>98</v>
      </c>
      <c r="B1211" s="120"/>
      <c r="C1211" s="120"/>
      <c r="D1211" s="120"/>
      <c r="E1211" s="120"/>
      <c r="F1211" s="120"/>
      <c r="G1211" s="120"/>
      <c r="H1211" s="120"/>
      <c r="I1211" s="120"/>
      <c r="J1211" s="120"/>
      <c r="K1211" s="120"/>
      <c r="L1211" s="160"/>
    </row>
    <row r="1212" spans="1:12" ht="18" hidden="1" customHeight="1" outlineLevel="2" x14ac:dyDescent="0.2">
      <c r="A1212" s="25"/>
      <c r="B1212" s="25"/>
      <c r="C1212" s="25"/>
      <c r="D1212" s="25" t="s">
        <v>352</v>
      </c>
      <c r="E1212" s="59" t="s">
        <v>2011</v>
      </c>
      <c r="F1212" s="25" t="s">
        <v>2012</v>
      </c>
      <c r="G1212" s="25" t="s">
        <v>2006</v>
      </c>
      <c r="H1212" s="65"/>
      <c r="I1212" s="25" t="s">
        <v>3836</v>
      </c>
      <c r="K1212" s="25" t="s">
        <v>3116</v>
      </c>
      <c r="L1212" s="25" t="s">
        <v>3117</v>
      </c>
    </row>
    <row r="1213" spans="1:12" ht="18" hidden="1" customHeight="1" outlineLevel="2" x14ac:dyDescent="0.2">
      <c r="A1213" s="25"/>
      <c r="B1213" s="25"/>
      <c r="C1213" s="25"/>
      <c r="D1213" s="25" t="s">
        <v>352</v>
      </c>
      <c r="E1213" s="25" t="s">
        <v>2013</v>
      </c>
      <c r="F1213" s="25" t="s">
        <v>1995</v>
      </c>
      <c r="G1213" s="25" t="s">
        <v>2006</v>
      </c>
      <c r="H1213" s="65" t="s">
        <v>1926</v>
      </c>
      <c r="I1213" s="25" t="s">
        <v>3837</v>
      </c>
    </row>
    <row r="1214" spans="1:12" ht="18" hidden="1" customHeight="1" outlineLevel="2" x14ac:dyDescent="0.2">
      <c r="A1214" s="25"/>
      <c r="B1214" s="25"/>
      <c r="C1214" s="25"/>
      <c r="D1214" s="25" t="s">
        <v>352</v>
      </c>
      <c r="E1214" s="25" t="s">
        <v>2013</v>
      </c>
      <c r="F1214" s="25" t="s">
        <v>1997</v>
      </c>
      <c r="G1214" s="25" t="s">
        <v>2014</v>
      </c>
      <c r="H1214" s="65" t="s">
        <v>1926</v>
      </c>
      <c r="I1214" s="25" t="s">
        <v>3837</v>
      </c>
    </row>
    <row r="1215" spans="1:12" ht="18" hidden="1" customHeight="1" outlineLevel="2" x14ac:dyDescent="0.2">
      <c r="A1215" s="25"/>
      <c r="B1215" s="25"/>
      <c r="C1215" s="25"/>
      <c r="D1215" s="25" t="s">
        <v>352</v>
      </c>
      <c r="E1215" s="25" t="s">
        <v>2013</v>
      </c>
      <c r="F1215" s="25" t="s">
        <v>1999</v>
      </c>
      <c r="G1215" s="25" t="s">
        <v>2015</v>
      </c>
      <c r="H1215" s="65" t="s">
        <v>1926</v>
      </c>
      <c r="I1215" s="25" t="s">
        <v>3837</v>
      </c>
    </row>
    <row r="1216" spans="1:12" ht="18" hidden="1" customHeight="1" outlineLevel="2" x14ac:dyDescent="0.2">
      <c r="A1216" s="25"/>
      <c r="B1216" s="25"/>
      <c r="C1216" s="25"/>
      <c r="D1216" s="25"/>
      <c r="E1216" s="25" t="s">
        <v>2013</v>
      </c>
      <c r="F1216" s="25" t="s">
        <v>2001</v>
      </c>
      <c r="G1216" s="25" t="s">
        <v>2016</v>
      </c>
      <c r="H1216" s="65" t="s">
        <v>1933</v>
      </c>
      <c r="I1216" s="25" t="s">
        <v>3837</v>
      </c>
    </row>
    <row r="1217" spans="1:12" ht="18" hidden="1" customHeight="1" outlineLevel="2" x14ac:dyDescent="0.2">
      <c r="A1217" s="25"/>
      <c r="B1217" s="25"/>
      <c r="C1217" s="25"/>
      <c r="D1217" s="25"/>
      <c r="E1217" s="25"/>
      <c r="F1217" s="25"/>
      <c r="G1217" s="25"/>
      <c r="H1217" s="25"/>
      <c r="I1217" s="25"/>
    </row>
    <row r="1218" spans="1:12" ht="18" customHeight="1" x14ac:dyDescent="0.2">
      <c r="A1218" s="129" t="s">
        <v>3845</v>
      </c>
      <c r="B1218" s="130"/>
      <c r="C1218" s="130"/>
      <c r="D1218" s="130"/>
      <c r="E1218" s="130"/>
      <c r="F1218" s="130"/>
      <c r="G1218" s="130"/>
      <c r="H1218" s="130"/>
      <c r="I1218" s="130"/>
      <c r="J1218" s="130"/>
      <c r="K1218" s="130"/>
      <c r="L1218" s="175"/>
    </row>
    <row r="1219" spans="1:12" ht="18" customHeight="1" outlineLevel="1" collapsed="1" x14ac:dyDescent="0.2">
      <c r="A1219" s="119" t="s">
        <v>3853</v>
      </c>
      <c r="B1219" s="120"/>
      <c r="C1219" s="120"/>
      <c r="D1219" s="120"/>
      <c r="E1219" s="120"/>
      <c r="F1219" s="120"/>
      <c r="G1219" s="120"/>
      <c r="H1219" s="120"/>
      <c r="I1219" s="120"/>
      <c r="J1219" s="120"/>
      <c r="K1219" s="120"/>
      <c r="L1219" s="160"/>
    </row>
    <row r="1220" spans="1:12" ht="18" hidden="1" customHeight="1" outlineLevel="2" x14ac:dyDescent="0.2">
      <c r="A1220" s="25"/>
      <c r="B1220" s="25"/>
      <c r="C1220" s="25"/>
      <c r="D1220" s="25" t="s">
        <v>3365</v>
      </c>
      <c r="E1220" s="59" t="s">
        <v>3846</v>
      </c>
      <c r="F1220" s="25" t="s">
        <v>1199</v>
      </c>
      <c r="G1220" s="25"/>
      <c r="H1220" s="25"/>
      <c r="I1220" s="25" t="s">
        <v>2068</v>
      </c>
      <c r="J1220" s="25" t="s">
        <v>3075</v>
      </c>
      <c r="K1220" s="25" t="s">
        <v>266</v>
      </c>
      <c r="L1220" s="25" t="s">
        <v>593</v>
      </c>
    </row>
    <row r="1221" spans="1:12" ht="18" hidden="1" customHeight="1" outlineLevel="2" x14ac:dyDescent="0.2">
      <c r="A1221" s="25"/>
      <c r="B1221" s="25"/>
      <c r="C1221" s="25"/>
      <c r="D1221" s="25" t="s">
        <v>3365</v>
      </c>
      <c r="E1221" s="25" t="s">
        <v>3846</v>
      </c>
      <c r="F1221" s="25" t="s">
        <v>1199</v>
      </c>
      <c r="G1221" s="25"/>
      <c r="H1221" s="25"/>
      <c r="I1221" s="25" t="s">
        <v>2068</v>
      </c>
      <c r="J1221" s="25" t="s">
        <v>267</v>
      </c>
    </row>
    <row r="1222" spans="1:12" ht="18" hidden="1" customHeight="1" outlineLevel="2" x14ac:dyDescent="0.2">
      <c r="A1222" s="25"/>
      <c r="B1222" s="25"/>
      <c r="C1222" s="25"/>
      <c r="D1222" s="25" t="s">
        <v>3366</v>
      </c>
      <c r="E1222" s="59" t="s">
        <v>3846</v>
      </c>
      <c r="F1222" s="25" t="s">
        <v>1200</v>
      </c>
      <c r="G1222" s="25"/>
      <c r="H1222" s="25"/>
      <c r="I1222" s="25" t="s">
        <v>2068</v>
      </c>
      <c r="J1222" s="25" t="s">
        <v>3075</v>
      </c>
      <c r="K1222" s="25" t="s">
        <v>266</v>
      </c>
      <c r="L1222" s="25" t="s">
        <v>593</v>
      </c>
    </row>
    <row r="1223" spans="1:12" ht="18" hidden="1" customHeight="1" outlineLevel="2" x14ac:dyDescent="0.2">
      <c r="A1223" s="25"/>
      <c r="B1223" s="25"/>
      <c r="C1223" s="25"/>
      <c r="D1223" s="25" t="s">
        <v>3366</v>
      </c>
      <c r="E1223" s="25" t="s">
        <v>3846</v>
      </c>
      <c r="F1223" s="25" t="s">
        <v>1200</v>
      </c>
      <c r="G1223" s="25"/>
      <c r="H1223" s="25"/>
      <c r="I1223" s="25" t="s">
        <v>2068</v>
      </c>
      <c r="J1223" s="25" t="s">
        <v>267</v>
      </c>
    </row>
    <row r="1224" spans="1:12" ht="18" hidden="1" customHeight="1" outlineLevel="2" x14ac:dyDescent="0.2">
      <c r="A1224" s="25"/>
      <c r="B1224" s="25"/>
      <c r="C1224" s="25"/>
      <c r="D1224" s="25" t="s">
        <v>3367</v>
      </c>
      <c r="E1224" s="59" t="s">
        <v>3846</v>
      </c>
      <c r="F1224" s="25" t="s">
        <v>1201</v>
      </c>
      <c r="G1224" s="25"/>
      <c r="H1224" s="25"/>
      <c r="I1224" s="25" t="s">
        <v>2068</v>
      </c>
      <c r="J1224" s="25" t="s">
        <v>3075</v>
      </c>
      <c r="K1224" s="25" t="s">
        <v>266</v>
      </c>
      <c r="L1224" s="25" t="s">
        <v>593</v>
      </c>
    </row>
    <row r="1225" spans="1:12" ht="18" hidden="1" customHeight="1" outlineLevel="2" x14ac:dyDescent="0.2">
      <c r="A1225" s="25"/>
      <c r="B1225" s="25"/>
      <c r="C1225" s="25"/>
      <c r="D1225" s="25" t="s">
        <v>3367</v>
      </c>
      <c r="E1225" s="25" t="s">
        <v>3846</v>
      </c>
      <c r="F1225" s="25" t="s">
        <v>1201</v>
      </c>
      <c r="G1225" s="25"/>
      <c r="H1225" s="25"/>
      <c r="I1225" s="25" t="s">
        <v>2068</v>
      </c>
      <c r="J1225" s="25" t="s">
        <v>267</v>
      </c>
    </row>
    <row r="1226" spans="1:12" ht="18" hidden="1" customHeight="1" outlineLevel="2" x14ac:dyDescent="0.2">
      <c r="A1226" s="25"/>
      <c r="B1226" s="25"/>
      <c r="C1226" s="25"/>
      <c r="D1226" s="25" t="s">
        <v>3368</v>
      </c>
      <c r="E1226" s="59" t="s">
        <v>3846</v>
      </c>
      <c r="F1226" s="25" t="s">
        <v>1202</v>
      </c>
      <c r="G1226" s="25"/>
      <c r="H1226" s="25"/>
      <c r="I1226" s="25" t="s">
        <v>2068</v>
      </c>
      <c r="J1226" s="25" t="s">
        <v>3075</v>
      </c>
      <c r="K1226" s="25" t="s">
        <v>266</v>
      </c>
      <c r="L1226" s="25" t="s">
        <v>593</v>
      </c>
    </row>
    <row r="1227" spans="1:12" ht="18" hidden="1" customHeight="1" outlineLevel="2" x14ac:dyDescent="0.2">
      <c r="A1227" s="25"/>
      <c r="B1227" s="25"/>
      <c r="C1227" s="25"/>
      <c r="D1227" s="25" t="s">
        <v>3368</v>
      </c>
      <c r="E1227" s="25" t="s">
        <v>3846</v>
      </c>
      <c r="F1227" s="25" t="s">
        <v>1202</v>
      </c>
      <c r="G1227" s="25"/>
      <c r="H1227" s="25"/>
      <c r="I1227" s="25" t="s">
        <v>2068</v>
      </c>
      <c r="J1227" s="25" t="s">
        <v>267</v>
      </c>
    </row>
    <row r="1228" spans="1:12" ht="18" hidden="1" customHeight="1" outlineLevel="2" x14ac:dyDescent="0.2">
      <c r="A1228" s="25"/>
      <c r="B1228" s="25"/>
      <c r="C1228" s="25"/>
      <c r="D1228" s="25" t="s">
        <v>3369</v>
      </c>
      <c r="E1228" s="59" t="s">
        <v>3846</v>
      </c>
      <c r="F1228" s="25" t="s">
        <v>2069</v>
      </c>
      <c r="G1228" s="25"/>
      <c r="H1228" s="25"/>
      <c r="I1228" s="25" t="s">
        <v>2070</v>
      </c>
      <c r="J1228" s="25" t="s">
        <v>3103</v>
      </c>
      <c r="K1228" s="25" t="s">
        <v>267</v>
      </c>
      <c r="L1228" s="25" t="s">
        <v>3091</v>
      </c>
    </row>
    <row r="1229" spans="1:12" ht="18" hidden="1" customHeight="1" outlineLevel="2" x14ac:dyDescent="0.2">
      <c r="A1229" s="25"/>
      <c r="B1229" s="25"/>
      <c r="C1229" s="25"/>
      <c r="D1229" s="25" t="s">
        <v>3370</v>
      </c>
      <c r="E1229" s="59" t="s">
        <v>3846</v>
      </c>
      <c r="F1229" s="25" t="s">
        <v>2071</v>
      </c>
      <c r="G1229" s="25"/>
      <c r="H1229" s="25"/>
      <c r="I1229" s="25" t="s">
        <v>2070</v>
      </c>
      <c r="J1229" s="25" t="s">
        <v>3103</v>
      </c>
      <c r="K1229" s="25" t="s">
        <v>267</v>
      </c>
      <c r="L1229" s="25" t="s">
        <v>3091</v>
      </c>
    </row>
    <row r="1230" spans="1:12" ht="18" hidden="1" customHeight="1" outlineLevel="2" x14ac:dyDescent="0.2">
      <c r="A1230" s="25"/>
      <c r="B1230" s="25"/>
      <c r="C1230" s="25"/>
      <c r="D1230" s="25"/>
      <c r="E1230" s="25" t="s">
        <v>3846</v>
      </c>
      <c r="F1230" s="25" t="s">
        <v>2072</v>
      </c>
      <c r="G1230" s="25"/>
      <c r="H1230" s="25"/>
      <c r="I1230" s="25" t="s">
        <v>2070</v>
      </c>
      <c r="J1230" s="25" t="s">
        <v>3103</v>
      </c>
    </row>
    <row r="1231" spans="1:12" ht="18" hidden="1" customHeight="1" outlineLevel="2" x14ac:dyDescent="0.2">
      <c r="A1231" s="25"/>
      <c r="B1231" s="25"/>
      <c r="C1231" s="25"/>
      <c r="D1231" s="25"/>
      <c r="E1231" s="25" t="s">
        <v>3846</v>
      </c>
      <c r="F1231" s="25" t="s">
        <v>2073</v>
      </c>
      <c r="G1231" s="25"/>
      <c r="H1231" s="25"/>
      <c r="I1231" s="25" t="s">
        <v>2070</v>
      </c>
      <c r="J1231" s="25" t="s">
        <v>3103</v>
      </c>
    </row>
    <row r="1232" spans="1:12" ht="18" hidden="1" customHeight="1" outlineLevel="2" x14ac:dyDescent="0.2">
      <c r="A1232" s="25"/>
      <c r="B1232" s="25"/>
      <c r="C1232" s="25"/>
      <c r="D1232" s="25"/>
      <c r="E1232" s="25" t="s">
        <v>3846</v>
      </c>
      <c r="F1232" s="25" t="s">
        <v>2074</v>
      </c>
      <c r="G1232" s="25"/>
      <c r="H1232" s="25"/>
      <c r="I1232" s="25" t="s">
        <v>2070</v>
      </c>
      <c r="J1232" s="25" t="s">
        <v>3103</v>
      </c>
    </row>
    <row r="1233" spans="1:33" ht="18" hidden="1" customHeight="1" outlineLevel="2" x14ac:dyDescent="0.2">
      <c r="A1233" s="25"/>
      <c r="B1233" s="25"/>
      <c r="C1233" s="25"/>
      <c r="D1233" s="25"/>
      <c r="E1233" s="25"/>
      <c r="F1233" s="25"/>
      <c r="G1233" s="25"/>
      <c r="H1233" s="25"/>
      <c r="I1233" s="25"/>
    </row>
    <row r="1234" spans="1:33" customFormat="1" ht="18" customHeight="1" outlineLevel="1" x14ac:dyDescent="0.25">
      <c r="A1234" s="119" t="s">
        <v>162</v>
      </c>
      <c r="B1234" s="120"/>
      <c r="C1234" s="120"/>
      <c r="D1234" s="120"/>
      <c r="E1234" s="120"/>
      <c r="F1234" s="120" t="s">
        <v>162</v>
      </c>
      <c r="G1234" s="120"/>
      <c r="H1234" s="120"/>
      <c r="I1234" s="120"/>
      <c r="J1234" s="120"/>
      <c r="K1234" s="120"/>
      <c r="L1234" s="160"/>
      <c r="AG1234" t="s">
        <v>4243</v>
      </c>
    </row>
    <row r="1235" spans="1:33" ht="18" customHeight="1" outlineLevel="2" x14ac:dyDescent="0.25">
      <c r="A1235" s="25"/>
      <c r="B1235" s="25"/>
      <c r="C1235" s="25"/>
      <c r="D1235" s="25" t="s">
        <v>3473</v>
      </c>
      <c r="E1235" s="25" t="s">
        <v>2726</v>
      </c>
      <c r="F1235" s="25" t="s">
        <v>1199</v>
      </c>
      <c r="G1235" s="25" t="s">
        <v>2727</v>
      </c>
      <c r="H1235" s="25" t="s">
        <v>1348</v>
      </c>
      <c r="I1235" s="25" t="s">
        <v>2728</v>
      </c>
      <c r="J1235" s="25" t="s">
        <v>743</v>
      </c>
      <c r="N1235"/>
    </row>
    <row r="1236" spans="1:33" ht="18" customHeight="1" outlineLevel="2" x14ac:dyDescent="0.25">
      <c r="A1236" s="25"/>
      <c r="B1236" s="25"/>
      <c r="C1236" s="25"/>
      <c r="D1236" s="25" t="s">
        <v>3474</v>
      </c>
      <c r="E1236" s="25" t="s">
        <v>2726</v>
      </c>
      <c r="F1236" s="25" t="s">
        <v>1200</v>
      </c>
      <c r="G1236" s="25" t="s">
        <v>2729</v>
      </c>
      <c r="H1236" s="25" t="s">
        <v>1348</v>
      </c>
      <c r="I1236" s="25" t="s">
        <v>2728</v>
      </c>
      <c r="J1236" s="25" t="s">
        <v>743</v>
      </c>
      <c r="K1236" s="25" t="s">
        <v>3103</v>
      </c>
      <c r="L1236" s="25" t="s">
        <v>3120</v>
      </c>
      <c r="N1236"/>
    </row>
    <row r="1237" spans="1:33" ht="18" customHeight="1" outlineLevel="2" x14ac:dyDescent="0.25">
      <c r="A1237" s="25"/>
      <c r="B1237" s="25"/>
      <c r="C1237" s="25"/>
      <c r="D1237" s="25" t="s">
        <v>3475</v>
      </c>
      <c r="E1237" s="25" t="s">
        <v>2726</v>
      </c>
      <c r="F1237" s="25" t="s">
        <v>1201</v>
      </c>
      <c r="G1237" s="25" t="s">
        <v>2730</v>
      </c>
      <c r="H1237" s="25" t="s">
        <v>1348</v>
      </c>
      <c r="I1237" s="25" t="s">
        <v>2728</v>
      </c>
      <c r="J1237" s="25" t="s">
        <v>743</v>
      </c>
      <c r="K1237" s="25" t="s">
        <v>3103</v>
      </c>
      <c r="L1237" s="25" t="s">
        <v>3120</v>
      </c>
      <c r="N1237"/>
    </row>
    <row r="1238" spans="1:33" ht="18" customHeight="1" outlineLevel="2" x14ac:dyDescent="0.25">
      <c r="A1238" s="25"/>
      <c r="B1238" s="25"/>
      <c r="C1238" s="25"/>
      <c r="D1238" s="25" t="s">
        <v>3476</v>
      </c>
      <c r="E1238" s="25" t="s">
        <v>2726</v>
      </c>
      <c r="F1238" s="25" t="s">
        <v>1202</v>
      </c>
      <c r="G1238" s="25" t="s">
        <v>2731</v>
      </c>
      <c r="H1238" s="25" t="s">
        <v>1348</v>
      </c>
      <c r="I1238" s="25" t="s">
        <v>2728</v>
      </c>
      <c r="J1238" s="25" t="s">
        <v>743</v>
      </c>
      <c r="K1238" s="25" t="s">
        <v>3103</v>
      </c>
      <c r="L1238" s="25" t="s">
        <v>3120</v>
      </c>
      <c r="N1238"/>
    </row>
    <row r="1239" spans="1:33" ht="18" customHeight="1" outlineLevel="2" x14ac:dyDescent="0.25">
      <c r="A1239" s="25"/>
      <c r="B1239" s="25"/>
      <c r="C1239" s="25"/>
      <c r="D1239" s="25" t="s">
        <v>3477</v>
      </c>
      <c r="E1239" s="25" t="s">
        <v>2726</v>
      </c>
      <c r="F1239" s="25" t="s">
        <v>2368</v>
      </c>
      <c r="G1239" s="25" t="s">
        <v>2732</v>
      </c>
      <c r="H1239" s="25" t="s">
        <v>1348</v>
      </c>
      <c r="I1239" s="25" t="s">
        <v>2728</v>
      </c>
      <c r="J1239" s="25" t="s">
        <v>743</v>
      </c>
      <c r="K1239" s="25" t="s">
        <v>3103</v>
      </c>
      <c r="L1239" s="25" t="s">
        <v>3120</v>
      </c>
      <c r="N1239"/>
    </row>
    <row r="1240" spans="1:33" ht="18" customHeight="1" outlineLevel="2" x14ac:dyDescent="0.25">
      <c r="A1240" s="25"/>
      <c r="B1240" s="25"/>
      <c r="C1240" s="25"/>
      <c r="D1240" s="25" t="s">
        <v>3478</v>
      </c>
      <c r="E1240" s="25" t="s">
        <v>2726</v>
      </c>
      <c r="F1240" s="25" t="s">
        <v>517</v>
      </c>
      <c r="G1240" s="25" t="s">
        <v>2733</v>
      </c>
      <c r="H1240" s="25" t="s">
        <v>1348</v>
      </c>
      <c r="I1240" s="25" t="s">
        <v>2728</v>
      </c>
      <c r="J1240" s="25" t="s">
        <v>743</v>
      </c>
      <c r="K1240" s="25" t="s">
        <v>3103</v>
      </c>
      <c r="L1240" s="25" t="s">
        <v>3110</v>
      </c>
      <c r="N1240"/>
    </row>
    <row r="1241" spans="1:33" ht="18" customHeight="1" outlineLevel="2" x14ac:dyDescent="0.25">
      <c r="A1241" s="25"/>
      <c r="B1241" s="25"/>
      <c r="C1241" s="25"/>
      <c r="D1241" s="25" t="s">
        <v>3479</v>
      </c>
      <c r="E1241" s="25" t="s">
        <v>2726</v>
      </c>
      <c r="F1241" s="25" t="s">
        <v>3901</v>
      </c>
      <c r="G1241" s="25" t="s">
        <v>2734</v>
      </c>
      <c r="H1241" s="25" t="s">
        <v>1348</v>
      </c>
      <c r="I1241" s="25" t="s">
        <v>2728</v>
      </c>
      <c r="J1241" s="25" t="s">
        <v>56</v>
      </c>
      <c r="K1241" s="25" t="s">
        <v>3103</v>
      </c>
      <c r="L1241" s="25" t="s">
        <v>3075</v>
      </c>
      <c r="N1241"/>
    </row>
    <row r="1242" spans="1:33" ht="18" customHeight="1" outlineLevel="2" x14ac:dyDescent="0.25">
      <c r="A1242" s="25"/>
      <c r="B1242" s="25"/>
      <c r="C1242" s="25"/>
      <c r="D1242" s="25" t="s">
        <v>3480</v>
      </c>
      <c r="E1242" s="25" t="s">
        <v>2726</v>
      </c>
      <c r="F1242" s="25" t="s">
        <v>3902</v>
      </c>
      <c r="G1242" s="25" t="s">
        <v>2735</v>
      </c>
      <c r="H1242" s="25" t="s">
        <v>1348</v>
      </c>
      <c r="I1242" s="25" t="s">
        <v>2728</v>
      </c>
      <c r="J1242" s="25" t="s">
        <v>56</v>
      </c>
      <c r="N1242"/>
    </row>
    <row r="1243" spans="1:33" ht="18" customHeight="1" outlineLevel="2" x14ac:dyDescent="0.25">
      <c r="A1243" s="25"/>
      <c r="B1243" s="25"/>
      <c r="C1243" s="25"/>
      <c r="D1243" s="25" t="s">
        <v>3481</v>
      </c>
      <c r="E1243" s="25" t="s">
        <v>2726</v>
      </c>
      <c r="F1243" s="25" t="s">
        <v>3903</v>
      </c>
      <c r="G1243" s="25" t="s">
        <v>2736</v>
      </c>
      <c r="H1243" s="25" t="s">
        <v>1348</v>
      </c>
      <c r="I1243" s="25" t="s">
        <v>2728</v>
      </c>
      <c r="J1243" s="25" t="s">
        <v>56</v>
      </c>
      <c r="N1243"/>
    </row>
    <row r="1244" spans="1:33" ht="18" customHeight="1" outlineLevel="2" x14ac:dyDescent="0.25">
      <c r="A1244" s="25"/>
      <c r="B1244" s="25"/>
      <c r="C1244" s="25"/>
      <c r="D1244" s="25" t="s">
        <v>3482</v>
      </c>
      <c r="E1244" s="25" t="s">
        <v>2726</v>
      </c>
      <c r="F1244" s="25" t="s">
        <v>3904</v>
      </c>
      <c r="G1244" s="25" t="s">
        <v>2737</v>
      </c>
      <c r="H1244" s="25" t="s">
        <v>1348</v>
      </c>
      <c r="I1244" s="25" t="s">
        <v>2728</v>
      </c>
      <c r="J1244" s="25" t="s">
        <v>56</v>
      </c>
      <c r="N1244"/>
    </row>
    <row r="1245" spans="1:33" ht="18" customHeight="1" outlineLevel="2" x14ac:dyDescent="0.25">
      <c r="A1245" s="25"/>
      <c r="B1245" s="25"/>
      <c r="C1245" s="25"/>
      <c r="D1245" s="25" t="s">
        <v>3483</v>
      </c>
      <c r="E1245" s="25" t="s">
        <v>2726</v>
      </c>
      <c r="F1245" s="25" t="s">
        <v>3905</v>
      </c>
      <c r="G1245" s="25" t="s">
        <v>2738</v>
      </c>
      <c r="H1245" s="25" t="s">
        <v>1348</v>
      </c>
      <c r="I1245" s="25" t="s">
        <v>2728</v>
      </c>
      <c r="J1245" s="25" t="s">
        <v>56</v>
      </c>
      <c r="N1245"/>
    </row>
    <row r="1246" spans="1:33" ht="18" customHeight="1" outlineLevel="2" x14ac:dyDescent="0.25">
      <c r="A1246" s="25"/>
      <c r="B1246" s="25"/>
      <c r="C1246" s="25"/>
      <c r="D1246" s="25" t="s">
        <v>3484</v>
      </c>
      <c r="E1246" s="25" t="s">
        <v>2726</v>
      </c>
      <c r="F1246" s="25" t="s">
        <v>3906</v>
      </c>
      <c r="G1246" s="25" t="s">
        <v>2739</v>
      </c>
      <c r="H1246" s="25" t="s">
        <v>1348</v>
      </c>
      <c r="I1246" s="25" t="s">
        <v>2728</v>
      </c>
      <c r="J1246" s="25" t="s">
        <v>56</v>
      </c>
      <c r="N1246"/>
    </row>
    <row r="1247" spans="1:33" ht="18" customHeight="1" outlineLevel="2" x14ac:dyDescent="0.25">
      <c r="A1247" s="25"/>
      <c r="B1247" s="25"/>
      <c r="C1247" s="25"/>
      <c r="D1247" s="25" t="s">
        <v>3485</v>
      </c>
      <c r="E1247" s="25" t="s">
        <v>2726</v>
      </c>
      <c r="F1247" s="25" t="s">
        <v>3907</v>
      </c>
      <c r="G1247" s="25" t="s">
        <v>2740</v>
      </c>
      <c r="H1247" s="25" t="s">
        <v>1348</v>
      </c>
      <c r="I1247" s="25" t="s">
        <v>2728</v>
      </c>
      <c r="J1247" s="25" t="s">
        <v>56</v>
      </c>
      <c r="N1247"/>
    </row>
    <row r="1248" spans="1:33" ht="18" customHeight="1" outlineLevel="2" x14ac:dyDescent="0.25">
      <c r="A1248" s="25"/>
      <c r="B1248" s="25"/>
      <c r="C1248" s="25"/>
      <c r="D1248" s="25" t="s">
        <v>3486</v>
      </c>
      <c r="E1248" s="25" t="s">
        <v>2726</v>
      </c>
      <c r="F1248" s="25" t="s">
        <v>3908</v>
      </c>
      <c r="G1248" s="25" t="s">
        <v>2741</v>
      </c>
      <c r="H1248" s="25" t="s">
        <v>1348</v>
      </c>
      <c r="I1248" s="25" t="s">
        <v>2728</v>
      </c>
      <c r="J1248" s="25" t="s">
        <v>56</v>
      </c>
      <c r="N1248"/>
    </row>
    <row r="1249" spans="1:14" customFormat="1" ht="18" customHeight="1" outlineLevel="2" x14ac:dyDescent="0.25">
      <c r="A1249" s="25"/>
      <c r="B1249" s="25"/>
      <c r="C1249" s="25"/>
      <c r="D1249" s="25"/>
      <c r="E1249" s="25"/>
      <c r="F1249" s="25"/>
      <c r="G1249" s="25"/>
      <c r="H1249" s="25"/>
      <c r="I1249" s="25"/>
      <c r="J1249" s="25"/>
      <c r="K1249" s="25"/>
      <c r="L1249" s="25"/>
    </row>
    <row r="1250" spans="1:14" customFormat="1" ht="18" customHeight="1" outlineLevel="1" collapsed="1" x14ac:dyDescent="0.25">
      <c r="A1250" s="119" t="s">
        <v>3852</v>
      </c>
      <c r="B1250" s="120"/>
      <c r="C1250" s="120"/>
      <c r="D1250" s="120"/>
      <c r="E1250" s="120"/>
      <c r="F1250" s="120" t="s">
        <v>3710</v>
      </c>
      <c r="G1250" s="120"/>
      <c r="H1250" s="120"/>
      <c r="I1250" s="120"/>
      <c r="J1250" s="120"/>
      <c r="K1250" s="120"/>
      <c r="L1250" s="160"/>
      <c r="N1250" s="9"/>
    </row>
    <row r="1251" spans="1:14" ht="18" hidden="1" customHeight="1" outlineLevel="2" x14ac:dyDescent="0.2">
      <c r="A1251" s="25"/>
      <c r="B1251" s="25"/>
      <c r="C1251" s="25"/>
      <c r="D1251" s="25" t="s">
        <v>3487</v>
      </c>
      <c r="E1251" s="25" t="s">
        <v>2742</v>
      </c>
      <c r="F1251" s="25" t="s">
        <v>1199</v>
      </c>
      <c r="G1251" s="25" t="s">
        <v>2743</v>
      </c>
      <c r="H1251" s="25" t="s">
        <v>1348</v>
      </c>
      <c r="I1251" s="25" t="s">
        <v>2728</v>
      </c>
      <c r="J1251" s="25" t="s">
        <v>3108</v>
      </c>
    </row>
    <row r="1252" spans="1:14" ht="18" hidden="1" customHeight="1" outlineLevel="2" x14ac:dyDescent="0.2">
      <c r="A1252" s="25"/>
      <c r="B1252" s="25"/>
      <c r="C1252" s="25"/>
      <c r="D1252" s="25" t="s">
        <v>3488</v>
      </c>
      <c r="E1252" s="25" t="s">
        <v>2742</v>
      </c>
      <c r="F1252" s="25" t="s">
        <v>1200</v>
      </c>
      <c r="G1252" s="25" t="s">
        <v>2744</v>
      </c>
      <c r="H1252" s="25" t="s">
        <v>1348</v>
      </c>
      <c r="I1252" s="25" t="s">
        <v>2728</v>
      </c>
      <c r="J1252" s="25" t="s">
        <v>3108</v>
      </c>
    </row>
    <row r="1253" spans="1:14" ht="18" hidden="1" customHeight="1" outlineLevel="2" x14ac:dyDescent="0.2">
      <c r="A1253" s="25"/>
      <c r="B1253" s="25"/>
      <c r="C1253" s="25"/>
      <c r="D1253" s="25" t="s">
        <v>3489</v>
      </c>
      <c r="E1253" s="25" t="s">
        <v>2742</v>
      </c>
      <c r="F1253" s="25" t="s">
        <v>1201</v>
      </c>
      <c r="G1253" s="25" t="s">
        <v>2745</v>
      </c>
      <c r="H1253" s="25" t="s">
        <v>1348</v>
      </c>
      <c r="I1253" s="25" t="s">
        <v>2728</v>
      </c>
      <c r="J1253" s="25" t="s">
        <v>3108</v>
      </c>
    </row>
    <row r="1254" spans="1:14" ht="18" hidden="1" customHeight="1" outlineLevel="2" x14ac:dyDescent="0.2">
      <c r="A1254" s="25"/>
      <c r="B1254" s="25"/>
      <c r="C1254" s="25"/>
      <c r="D1254" s="25" t="s">
        <v>3490</v>
      </c>
      <c r="E1254" s="25" t="s">
        <v>2742</v>
      </c>
      <c r="F1254" s="25" t="s">
        <v>1202</v>
      </c>
      <c r="G1254" s="25" t="s">
        <v>2746</v>
      </c>
      <c r="H1254" s="25" t="s">
        <v>1348</v>
      </c>
      <c r="I1254" s="25" t="s">
        <v>2728</v>
      </c>
      <c r="J1254" s="25" t="s">
        <v>3108</v>
      </c>
    </row>
    <row r="1255" spans="1:14" ht="18" hidden="1" customHeight="1" outlineLevel="2" x14ac:dyDescent="0.2">
      <c r="A1255" s="25"/>
      <c r="B1255" s="25"/>
      <c r="C1255" s="25"/>
      <c r="D1255" s="25" t="s">
        <v>3491</v>
      </c>
      <c r="E1255" s="25" t="s">
        <v>2742</v>
      </c>
      <c r="F1255" s="25" t="s">
        <v>2368</v>
      </c>
      <c r="G1255" s="25" t="s">
        <v>2747</v>
      </c>
      <c r="H1255" s="25" t="s">
        <v>1348</v>
      </c>
      <c r="I1255" s="25" t="s">
        <v>2728</v>
      </c>
      <c r="J1255" s="25" t="s">
        <v>3108</v>
      </c>
    </row>
    <row r="1256" spans="1:14" ht="18" hidden="1" customHeight="1" outlineLevel="2" x14ac:dyDescent="0.2">
      <c r="A1256" s="25"/>
      <c r="B1256" s="25"/>
      <c r="C1256" s="25"/>
      <c r="D1256" s="25" t="s">
        <v>352</v>
      </c>
      <c r="E1256" s="25" t="s">
        <v>2742</v>
      </c>
      <c r="F1256" s="25" t="s">
        <v>517</v>
      </c>
      <c r="G1256" s="25" t="s">
        <v>2748</v>
      </c>
      <c r="H1256" s="25" t="s">
        <v>1348</v>
      </c>
      <c r="I1256" s="25" t="s">
        <v>2728</v>
      </c>
      <c r="J1256" s="25" t="s">
        <v>3108</v>
      </c>
    </row>
    <row r="1257" spans="1:14" ht="18" hidden="1" customHeight="1" outlineLevel="2" x14ac:dyDescent="0.2">
      <c r="A1257" s="25"/>
      <c r="B1257" s="25"/>
      <c r="C1257" s="25"/>
      <c r="D1257" s="25" t="s">
        <v>3487</v>
      </c>
      <c r="E1257" s="25" t="s">
        <v>2742</v>
      </c>
      <c r="F1257" s="25" t="s">
        <v>1199</v>
      </c>
      <c r="G1257" s="25" t="s">
        <v>2749</v>
      </c>
      <c r="H1257" s="25" t="s">
        <v>1348</v>
      </c>
      <c r="I1257" s="25" t="s">
        <v>2728</v>
      </c>
      <c r="J1257" s="25" t="s">
        <v>3109</v>
      </c>
    </row>
    <row r="1258" spans="1:14" ht="18" hidden="1" customHeight="1" outlineLevel="2" x14ac:dyDescent="0.2">
      <c r="A1258" s="25"/>
      <c r="B1258" s="25"/>
      <c r="C1258" s="25"/>
      <c r="D1258" s="25" t="s">
        <v>3488</v>
      </c>
      <c r="E1258" s="25" t="s">
        <v>2742</v>
      </c>
      <c r="F1258" s="25" t="s">
        <v>1200</v>
      </c>
      <c r="G1258" s="25" t="s">
        <v>2750</v>
      </c>
      <c r="H1258" s="25" t="s">
        <v>1348</v>
      </c>
      <c r="I1258" s="25" t="s">
        <v>2728</v>
      </c>
      <c r="J1258" s="25" t="s">
        <v>3109</v>
      </c>
    </row>
    <row r="1259" spans="1:14" ht="18" hidden="1" customHeight="1" outlineLevel="2" x14ac:dyDescent="0.2">
      <c r="A1259" s="25"/>
      <c r="B1259" s="25"/>
      <c r="C1259" s="25"/>
      <c r="D1259" s="25" t="s">
        <v>3489</v>
      </c>
      <c r="E1259" s="25" t="s">
        <v>2742</v>
      </c>
      <c r="F1259" s="25" t="s">
        <v>1201</v>
      </c>
      <c r="G1259" s="25" t="s">
        <v>2751</v>
      </c>
      <c r="H1259" s="25" t="s">
        <v>1348</v>
      </c>
      <c r="I1259" s="25" t="s">
        <v>2728</v>
      </c>
      <c r="J1259" s="25" t="s">
        <v>3109</v>
      </c>
    </row>
    <row r="1260" spans="1:14" ht="18" hidden="1" customHeight="1" outlineLevel="2" x14ac:dyDescent="0.2">
      <c r="A1260" s="25"/>
      <c r="B1260" s="25"/>
      <c r="C1260" s="25"/>
      <c r="D1260" s="25" t="s">
        <v>3490</v>
      </c>
      <c r="E1260" s="25" t="s">
        <v>2742</v>
      </c>
      <c r="F1260" s="25" t="s">
        <v>1202</v>
      </c>
      <c r="G1260" s="25" t="s">
        <v>2752</v>
      </c>
      <c r="H1260" s="25" t="s">
        <v>1348</v>
      </c>
      <c r="I1260" s="25" t="s">
        <v>2728</v>
      </c>
      <c r="J1260" s="25" t="s">
        <v>3109</v>
      </c>
    </row>
    <row r="1261" spans="1:14" ht="18" hidden="1" customHeight="1" outlineLevel="2" x14ac:dyDescent="0.2">
      <c r="A1261" s="25"/>
      <c r="B1261" s="25"/>
      <c r="C1261" s="25"/>
      <c r="D1261" s="25" t="s">
        <v>3491</v>
      </c>
      <c r="E1261" s="25" t="s">
        <v>2742</v>
      </c>
      <c r="F1261" s="25" t="s">
        <v>2368</v>
      </c>
      <c r="G1261" s="25" t="s">
        <v>2753</v>
      </c>
      <c r="H1261" s="25" t="s">
        <v>1348</v>
      </c>
      <c r="I1261" s="25" t="s">
        <v>2728</v>
      </c>
      <c r="J1261" s="25" t="s">
        <v>3109</v>
      </c>
    </row>
    <row r="1262" spans="1:14" customFormat="1" ht="18" hidden="1" customHeight="1" outlineLevel="2" x14ac:dyDescent="0.25">
      <c r="A1262" s="25"/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</row>
    <row r="1263" spans="1:14" customFormat="1" ht="18" customHeight="1" outlineLevel="1" collapsed="1" x14ac:dyDescent="0.25">
      <c r="A1263" s="119" t="s">
        <v>3909</v>
      </c>
      <c r="B1263" s="120"/>
      <c r="C1263" s="120"/>
      <c r="D1263" s="120"/>
      <c r="E1263" s="120"/>
      <c r="F1263" s="120" t="s">
        <v>164</v>
      </c>
      <c r="G1263" s="120"/>
      <c r="H1263" s="120"/>
      <c r="I1263" s="120"/>
      <c r="J1263" s="120"/>
      <c r="K1263" s="120"/>
      <c r="L1263" s="160"/>
    </row>
    <row r="1264" spans="1:14" ht="18" hidden="1" customHeight="1" outlineLevel="2" x14ac:dyDescent="0.2">
      <c r="A1264" s="25"/>
      <c r="B1264" s="25"/>
      <c r="C1264" s="25"/>
      <c r="D1264" s="25" t="s">
        <v>3517</v>
      </c>
      <c r="E1264" s="25" t="s">
        <v>2781</v>
      </c>
      <c r="F1264" s="25" t="s">
        <v>1199</v>
      </c>
      <c r="G1264" s="25" t="s">
        <v>2782</v>
      </c>
      <c r="H1264" s="25" t="s">
        <v>1348</v>
      </c>
      <c r="I1264" s="25" t="s">
        <v>2728</v>
      </c>
      <c r="J1264" s="25" t="s">
        <v>375</v>
      </c>
    </row>
    <row r="1265" spans="1:10" ht="18" hidden="1" customHeight="1" outlineLevel="2" x14ac:dyDescent="0.2">
      <c r="A1265" s="25"/>
      <c r="B1265" s="25"/>
      <c r="C1265" s="25"/>
      <c r="D1265" s="25" t="s">
        <v>3518</v>
      </c>
      <c r="E1265" s="25" t="s">
        <v>2781</v>
      </c>
      <c r="F1265" s="25" t="s">
        <v>1200</v>
      </c>
      <c r="G1265" s="25" t="s">
        <v>2783</v>
      </c>
      <c r="H1265" s="25" t="s">
        <v>1348</v>
      </c>
      <c r="I1265" s="25" t="s">
        <v>2728</v>
      </c>
      <c r="J1265" s="25" t="s">
        <v>375</v>
      </c>
    </row>
    <row r="1266" spans="1:10" ht="18" hidden="1" customHeight="1" outlineLevel="2" x14ac:dyDescent="0.2">
      <c r="A1266" s="25"/>
      <c r="B1266" s="25"/>
      <c r="C1266" s="25"/>
      <c r="D1266" s="25" t="s">
        <v>3519</v>
      </c>
      <c r="E1266" s="25" t="s">
        <v>2781</v>
      </c>
      <c r="F1266" s="25" t="s">
        <v>1201</v>
      </c>
      <c r="G1266" s="25" t="s">
        <v>2784</v>
      </c>
      <c r="H1266" s="25" t="s">
        <v>1348</v>
      </c>
      <c r="I1266" s="25" t="s">
        <v>2728</v>
      </c>
      <c r="J1266" s="25" t="s">
        <v>375</v>
      </c>
    </row>
    <row r="1267" spans="1:10" ht="18" hidden="1" customHeight="1" outlineLevel="2" x14ac:dyDescent="0.2">
      <c r="A1267" s="25"/>
      <c r="B1267" s="25"/>
      <c r="C1267" s="25"/>
      <c r="D1267" s="25" t="s">
        <v>3520</v>
      </c>
      <c r="E1267" s="25" t="s">
        <v>2781</v>
      </c>
      <c r="F1267" s="25" t="s">
        <v>1202</v>
      </c>
      <c r="G1267" s="25" t="s">
        <v>2785</v>
      </c>
      <c r="H1267" s="25" t="s">
        <v>1348</v>
      </c>
      <c r="I1267" s="25" t="s">
        <v>2728</v>
      </c>
      <c r="J1267" s="25" t="s">
        <v>375</v>
      </c>
    </row>
    <row r="1268" spans="1:10" ht="18" hidden="1" customHeight="1" outlineLevel="2" x14ac:dyDescent="0.2">
      <c r="A1268" s="25"/>
      <c r="B1268" s="25"/>
      <c r="C1268" s="25"/>
      <c r="D1268" s="25" t="s">
        <v>3521</v>
      </c>
      <c r="E1268" s="25" t="s">
        <v>2781</v>
      </c>
      <c r="F1268" s="25" t="s">
        <v>2368</v>
      </c>
      <c r="G1268" s="25" t="s">
        <v>2786</v>
      </c>
      <c r="H1268" s="25" t="s">
        <v>1348</v>
      </c>
      <c r="I1268" s="25" t="s">
        <v>2728</v>
      </c>
      <c r="J1268" s="25" t="s">
        <v>375</v>
      </c>
    </row>
    <row r="1269" spans="1:10" ht="18" hidden="1" customHeight="1" outlineLevel="2" x14ac:dyDescent="0.2">
      <c r="A1269" s="25"/>
      <c r="B1269" s="25"/>
      <c r="C1269" s="25"/>
      <c r="D1269" s="25" t="s">
        <v>3522</v>
      </c>
      <c r="E1269" s="25" t="s">
        <v>2781</v>
      </c>
      <c r="F1269" s="25" t="s">
        <v>517</v>
      </c>
      <c r="G1269" s="25" t="s">
        <v>2787</v>
      </c>
      <c r="H1269" s="25" t="s">
        <v>1348</v>
      </c>
      <c r="I1269" s="25" t="s">
        <v>2728</v>
      </c>
      <c r="J1269" s="25" t="s">
        <v>375</v>
      </c>
    </row>
    <row r="1270" spans="1:10" ht="18" hidden="1" customHeight="1" outlineLevel="2" x14ac:dyDescent="0.2">
      <c r="A1270" s="25"/>
      <c r="B1270" s="25"/>
      <c r="C1270" s="25"/>
      <c r="D1270" s="25" t="s">
        <v>3523</v>
      </c>
      <c r="E1270" s="25" t="s">
        <v>2781</v>
      </c>
      <c r="F1270" s="25" t="s">
        <v>3901</v>
      </c>
      <c r="G1270" s="25" t="s">
        <v>2788</v>
      </c>
      <c r="H1270" s="25" t="s">
        <v>1348</v>
      </c>
      <c r="I1270" s="25" t="s">
        <v>2728</v>
      </c>
      <c r="J1270" s="25" t="s">
        <v>375</v>
      </c>
    </row>
    <row r="1271" spans="1:10" ht="18" hidden="1" customHeight="1" outlineLevel="2" x14ac:dyDescent="0.2">
      <c r="A1271" s="25"/>
      <c r="B1271" s="25"/>
      <c r="C1271" s="25"/>
      <c r="D1271" s="25" t="s">
        <v>3524</v>
      </c>
      <c r="E1271" s="25" t="s">
        <v>2781</v>
      </c>
      <c r="F1271" s="25" t="s">
        <v>3902</v>
      </c>
      <c r="G1271" s="25" t="s">
        <v>2789</v>
      </c>
      <c r="H1271" s="25" t="s">
        <v>1348</v>
      </c>
      <c r="I1271" s="25" t="s">
        <v>2728</v>
      </c>
      <c r="J1271" s="25" t="s">
        <v>375</v>
      </c>
    </row>
    <row r="1272" spans="1:10" ht="18" hidden="1" customHeight="1" outlineLevel="2" x14ac:dyDescent="0.2">
      <c r="A1272" s="25"/>
      <c r="B1272" s="25"/>
      <c r="C1272" s="25"/>
      <c r="D1272" s="25" t="s">
        <v>3525</v>
      </c>
      <c r="E1272" s="25" t="s">
        <v>2781</v>
      </c>
      <c r="F1272" s="25" t="s">
        <v>3903</v>
      </c>
      <c r="G1272" s="25" t="s">
        <v>2790</v>
      </c>
      <c r="H1272" s="25" t="s">
        <v>1348</v>
      </c>
      <c r="I1272" s="25" t="s">
        <v>2728</v>
      </c>
      <c r="J1272" s="25" t="s">
        <v>375</v>
      </c>
    </row>
    <row r="1273" spans="1:10" ht="18" hidden="1" customHeight="1" outlineLevel="2" x14ac:dyDescent="0.2">
      <c r="A1273" s="25"/>
      <c r="B1273" s="25"/>
      <c r="C1273" s="25"/>
      <c r="D1273" s="25" t="s">
        <v>3526</v>
      </c>
      <c r="E1273" s="25" t="s">
        <v>2781</v>
      </c>
      <c r="F1273" s="25" t="s">
        <v>3904</v>
      </c>
      <c r="G1273" s="25" t="s">
        <v>2791</v>
      </c>
      <c r="H1273" s="25" t="s">
        <v>1348</v>
      </c>
      <c r="I1273" s="25" t="s">
        <v>2728</v>
      </c>
      <c r="J1273" s="25" t="s">
        <v>375</v>
      </c>
    </row>
    <row r="1274" spans="1:10" ht="18" hidden="1" customHeight="1" outlineLevel="2" x14ac:dyDescent="0.2">
      <c r="A1274" s="25"/>
      <c r="B1274" s="25"/>
      <c r="C1274" s="25"/>
      <c r="D1274" s="25" t="s">
        <v>3527</v>
      </c>
      <c r="E1274" s="25" t="s">
        <v>2781</v>
      </c>
      <c r="F1274" s="25" t="s">
        <v>3905</v>
      </c>
      <c r="G1274" s="25" t="s">
        <v>2792</v>
      </c>
      <c r="H1274" s="25" t="s">
        <v>1348</v>
      </c>
      <c r="I1274" s="25" t="s">
        <v>2728</v>
      </c>
      <c r="J1274" s="25" t="s">
        <v>375</v>
      </c>
    </row>
    <row r="1275" spans="1:10" ht="18" hidden="1" customHeight="1" outlineLevel="2" x14ac:dyDescent="0.2">
      <c r="A1275" s="25"/>
      <c r="B1275" s="25"/>
      <c r="C1275" s="25"/>
      <c r="D1275" s="25" t="s">
        <v>3528</v>
      </c>
      <c r="E1275" s="25" t="s">
        <v>2781</v>
      </c>
      <c r="F1275" s="25" t="s">
        <v>3906</v>
      </c>
      <c r="G1275" s="25" t="s">
        <v>2793</v>
      </c>
      <c r="H1275" s="25" t="s">
        <v>1348</v>
      </c>
      <c r="I1275" s="25" t="s">
        <v>2728</v>
      </c>
      <c r="J1275" s="25" t="s">
        <v>375</v>
      </c>
    </row>
    <row r="1276" spans="1:10" ht="18" hidden="1" customHeight="1" outlineLevel="2" x14ac:dyDescent="0.2">
      <c r="A1276" s="25"/>
      <c r="B1276" s="25"/>
      <c r="C1276" s="25"/>
      <c r="D1276" s="25" t="s">
        <v>3529</v>
      </c>
      <c r="E1276" s="25" t="s">
        <v>2781</v>
      </c>
      <c r="F1276" s="25" t="s">
        <v>3907</v>
      </c>
      <c r="G1276" s="25" t="s">
        <v>2794</v>
      </c>
      <c r="H1276" s="25" t="s">
        <v>1348</v>
      </c>
      <c r="I1276" s="25" t="s">
        <v>2728</v>
      </c>
      <c r="J1276" s="25" t="s">
        <v>375</v>
      </c>
    </row>
    <row r="1277" spans="1:10" ht="18" hidden="1" customHeight="1" outlineLevel="2" x14ac:dyDescent="0.2">
      <c r="A1277" s="25"/>
      <c r="B1277" s="25"/>
      <c r="C1277" s="25"/>
      <c r="D1277" s="25" t="s">
        <v>3530</v>
      </c>
      <c r="E1277" s="25" t="s">
        <v>2781</v>
      </c>
      <c r="F1277" s="25" t="s">
        <v>3908</v>
      </c>
      <c r="G1277" s="25" t="s">
        <v>2795</v>
      </c>
      <c r="H1277" s="25" t="s">
        <v>1348</v>
      </c>
      <c r="I1277" s="25" t="s">
        <v>2728</v>
      </c>
      <c r="J1277" s="25" t="s">
        <v>375</v>
      </c>
    </row>
    <row r="1278" spans="1:10" ht="18" hidden="1" customHeight="1" outlineLevel="2" x14ac:dyDescent="0.2">
      <c r="A1278" s="25"/>
      <c r="B1278" s="25"/>
      <c r="C1278" s="25"/>
      <c r="D1278" s="25"/>
      <c r="E1278" s="25"/>
      <c r="F1278" s="25"/>
      <c r="G1278" s="25"/>
      <c r="H1278" s="25"/>
      <c r="I1278" s="25"/>
    </row>
    <row r="1279" spans="1:10" ht="18" hidden="1" customHeight="1" outlineLevel="2" x14ac:dyDescent="0.2">
      <c r="A1279" s="25"/>
      <c r="B1279" s="25"/>
      <c r="C1279" s="25"/>
      <c r="D1279" s="25" t="s">
        <v>3531</v>
      </c>
      <c r="E1279" s="25" t="s">
        <v>2796</v>
      </c>
      <c r="F1279" s="25" t="s">
        <v>1200</v>
      </c>
      <c r="G1279" s="25" t="s">
        <v>2797</v>
      </c>
      <c r="H1279" s="25" t="s">
        <v>1348</v>
      </c>
      <c r="I1279" s="25" t="s">
        <v>2728</v>
      </c>
      <c r="J1279" s="25" t="s">
        <v>375</v>
      </c>
    </row>
    <row r="1280" spans="1:10" ht="18" hidden="1" customHeight="1" outlineLevel="2" x14ac:dyDescent="0.2">
      <c r="A1280" s="25"/>
      <c r="B1280" s="25"/>
      <c r="C1280" s="25"/>
      <c r="D1280" s="25" t="s">
        <v>3532</v>
      </c>
      <c r="E1280" s="25" t="s">
        <v>2796</v>
      </c>
      <c r="F1280" s="25" t="s">
        <v>1201</v>
      </c>
      <c r="G1280" s="25" t="s">
        <v>2798</v>
      </c>
      <c r="H1280" s="25" t="s">
        <v>1348</v>
      </c>
      <c r="I1280" s="25" t="s">
        <v>2728</v>
      </c>
      <c r="J1280" s="25" t="s">
        <v>375</v>
      </c>
    </row>
    <row r="1281" spans="1:12" ht="18" hidden="1" customHeight="1" outlineLevel="2" x14ac:dyDescent="0.2">
      <c r="A1281" s="25"/>
      <c r="B1281" s="25"/>
      <c r="C1281" s="25"/>
      <c r="D1281" s="25" t="s">
        <v>3533</v>
      </c>
      <c r="E1281" s="25" t="s">
        <v>2796</v>
      </c>
      <c r="F1281" s="25" t="s">
        <v>1202</v>
      </c>
      <c r="G1281" s="25" t="s">
        <v>2799</v>
      </c>
      <c r="H1281" s="25" t="s">
        <v>1348</v>
      </c>
      <c r="I1281" s="25" t="s">
        <v>2728</v>
      </c>
      <c r="J1281" s="25" t="s">
        <v>375</v>
      </c>
    </row>
    <row r="1282" spans="1:12" ht="18" hidden="1" customHeight="1" outlineLevel="2" x14ac:dyDescent="0.2">
      <c r="A1282" s="25"/>
      <c r="B1282" s="25"/>
      <c r="C1282" s="25"/>
      <c r="D1282" s="25" t="s">
        <v>3534</v>
      </c>
      <c r="E1282" s="25" t="s">
        <v>2796</v>
      </c>
      <c r="F1282" s="25" t="s">
        <v>2368</v>
      </c>
      <c r="G1282" s="25" t="s">
        <v>2800</v>
      </c>
      <c r="H1282" s="25" t="s">
        <v>1348</v>
      </c>
      <c r="I1282" s="25" t="s">
        <v>2728</v>
      </c>
      <c r="J1282" s="25" t="s">
        <v>375</v>
      </c>
    </row>
    <row r="1283" spans="1:12" ht="18" hidden="1" customHeight="1" outlineLevel="2" x14ac:dyDescent="0.2">
      <c r="A1283" s="25"/>
      <c r="B1283" s="25"/>
      <c r="C1283" s="25"/>
      <c r="D1283" s="25" t="s">
        <v>3535</v>
      </c>
      <c r="E1283" s="25" t="s">
        <v>2796</v>
      </c>
      <c r="F1283" s="25" t="s">
        <v>517</v>
      </c>
      <c r="G1283" s="25" t="s">
        <v>2801</v>
      </c>
      <c r="H1283" s="25" t="s">
        <v>1348</v>
      </c>
      <c r="I1283" s="25" t="s">
        <v>2728</v>
      </c>
      <c r="J1283" s="25" t="s">
        <v>375</v>
      </c>
    </row>
    <row r="1284" spans="1:12" ht="18" hidden="1" customHeight="1" outlineLevel="2" x14ac:dyDescent="0.2">
      <c r="A1284" s="25"/>
      <c r="B1284" s="25"/>
      <c r="C1284" s="25"/>
      <c r="D1284" s="25" t="s">
        <v>3536</v>
      </c>
      <c r="E1284" s="25" t="s">
        <v>2796</v>
      </c>
      <c r="F1284" s="25" t="s">
        <v>3901</v>
      </c>
      <c r="G1284" s="25" t="s">
        <v>2802</v>
      </c>
      <c r="H1284" s="25" t="s">
        <v>1348</v>
      </c>
      <c r="I1284" s="25" t="s">
        <v>2728</v>
      </c>
      <c r="J1284" s="25" t="s">
        <v>375</v>
      </c>
    </row>
    <row r="1285" spans="1:12" ht="18" hidden="1" customHeight="1" outlineLevel="2" x14ac:dyDescent="0.2">
      <c r="A1285" s="25"/>
      <c r="B1285" s="25"/>
      <c r="C1285" s="25"/>
      <c r="D1285" s="25" t="s">
        <v>3537</v>
      </c>
      <c r="E1285" s="25" t="s">
        <v>2796</v>
      </c>
      <c r="F1285" s="25" t="s">
        <v>3902</v>
      </c>
      <c r="G1285" s="25" t="s">
        <v>2803</v>
      </c>
      <c r="H1285" s="25" t="s">
        <v>1348</v>
      </c>
      <c r="I1285" s="25" t="s">
        <v>2728</v>
      </c>
      <c r="J1285" s="25" t="s">
        <v>375</v>
      </c>
    </row>
    <row r="1286" spans="1:12" ht="18" hidden="1" customHeight="1" outlineLevel="2" x14ac:dyDescent="0.2">
      <c r="A1286" s="25"/>
      <c r="B1286" s="25"/>
      <c r="C1286" s="25"/>
      <c r="D1286" s="25" t="s">
        <v>3538</v>
      </c>
      <c r="E1286" s="25" t="s">
        <v>2796</v>
      </c>
      <c r="F1286" s="25" t="s">
        <v>3903</v>
      </c>
      <c r="G1286" s="25" t="s">
        <v>2804</v>
      </c>
      <c r="H1286" s="25" t="s">
        <v>1348</v>
      </c>
      <c r="I1286" s="25" t="s">
        <v>2728</v>
      </c>
      <c r="J1286" s="25" t="s">
        <v>375</v>
      </c>
    </row>
    <row r="1287" spans="1:12" ht="18" hidden="1" customHeight="1" outlineLevel="2" x14ac:dyDescent="0.2">
      <c r="A1287" s="25"/>
      <c r="B1287" s="25"/>
      <c r="C1287" s="25"/>
      <c r="D1287" s="25" t="s">
        <v>3539</v>
      </c>
      <c r="E1287" s="25" t="s">
        <v>2796</v>
      </c>
      <c r="F1287" s="25" t="s">
        <v>3904</v>
      </c>
      <c r="G1287" s="25" t="s">
        <v>2805</v>
      </c>
      <c r="H1287" s="25" t="s">
        <v>1348</v>
      </c>
      <c r="I1287" s="25" t="s">
        <v>2728</v>
      </c>
      <c r="J1287" s="25" t="s">
        <v>375</v>
      </c>
    </row>
    <row r="1288" spans="1:12" ht="18" hidden="1" customHeight="1" outlineLevel="2" x14ac:dyDescent="0.2">
      <c r="A1288" s="25"/>
      <c r="B1288" s="25"/>
      <c r="C1288" s="25"/>
      <c r="D1288" s="25" t="s">
        <v>3540</v>
      </c>
      <c r="E1288" s="25" t="s">
        <v>2796</v>
      </c>
      <c r="F1288" s="25" t="s">
        <v>3905</v>
      </c>
      <c r="G1288" s="25" t="s">
        <v>2806</v>
      </c>
      <c r="H1288" s="25" t="s">
        <v>1348</v>
      </c>
      <c r="I1288" s="25" t="s">
        <v>2728</v>
      </c>
      <c r="J1288" s="25" t="s">
        <v>375</v>
      </c>
    </row>
    <row r="1289" spans="1:12" ht="18" hidden="1" customHeight="1" outlineLevel="2" x14ac:dyDescent="0.2">
      <c r="A1289" s="25"/>
      <c r="B1289" s="25"/>
      <c r="C1289" s="25"/>
      <c r="D1289" s="25" t="s">
        <v>3541</v>
      </c>
      <c r="E1289" s="25" t="s">
        <v>2796</v>
      </c>
      <c r="F1289" s="25" t="s">
        <v>3906</v>
      </c>
      <c r="G1289" s="25" t="s">
        <v>2807</v>
      </c>
      <c r="H1289" s="25" t="s">
        <v>1348</v>
      </c>
      <c r="I1289" s="25" t="s">
        <v>2728</v>
      </c>
      <c r="J1289" s="25" t="s">
        <v>375</v>
      </c>
    </row>
    <row r="1290" spans="1:12" ht="18" hidden="1" customHeight="1" outlineLevel="2" x14ac:dyDescent="0.2">
      <c r="A1290" s="25"/>
      <c r="B1290" s="25"/>
      <c r="C1290" s="25"/>
      <c r="D1290" s="25" t="s">
        <v>3542</v>
      </c>
      <c r="E1290" s="25" t="s">
        <v>2796</v>
      </c>
      <c r="F1290" s="25" t="s">
        <v>3907</v>
      </c>
      <c r="G1290" s="25" t="s">
        <v>2808</v>
      </c>
      <c r="H1290" s="25" t="s">
        <v>1348</v>
      </c>
      <c r="I1290" s="25" t="s">
        <v>2728</v>
      </c>
      <c r="J1290" s="25" t="s">
        <v>375</v>
      </c>
    </row>
    <row r="1291" spans="1:12" ht="18" hidden="1" customHeight="1" outlineLevel="2" x14ac:dyDescent="0.2">
      <c r="A1291" s="25"/>
      <c r="B1291" s="25"/>
      <c r="C1291" s="25"/>
      <c r="D1291" s="25" t="s">
        <v>3543</v>
      </c>
      <c r="E1291" s="25" t="s">
        <v>2796</v>
      </c>
      <c r="F1291" s="25" t="s">
        <v>3908</v>
      </c>
      <c r="G1291" s="25" t="s">
        <v>2809</v>
      </c>
      <c r="H1291" s="25" t="s">
        <v>1348</v>
      </c>
      <c r="I1291" s="25" t="s">
        <v>2728</v>
      </c>
      <c r="J1291" s="25" t="s">
        <v>375</v>
      </c>
    </row>
    <row r="1292" spans="1:12" customFormat="1" ht="18" hidden="1" customHeight="1" outlineLevel="2" x14ac:dyDescent="0.25">
      <c r="A1292" s="25"/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</row>
    <row r="1293" spans="1:12" customFormat="1" ht="18" customHeight="1" outlineLevel="1" collapsed="1" x14ac:dyDescent="0.25">
      <c r="A1293" s="119" t="s">
        <v>3910</v>
      </c>
      <c r="B1293" s="120"/>
      <c r="C1293" s="120"/>
      <c r="D1293" s="120"/>
      <c r="E1293" s="120"/>
      <c r="F1293" s="120" t="s">
        <v>163</v>
      </c>
      <c r="G1293" s="120"/>
      <c r="H1293" s="120"/>
      <c r="I1293" s="120"/>
      <c r="J1293" s="120"/>
      <c r="K1293" s="120"/>
      <c r="L1293" s="160"/>
    </row>
    <row r="1294" spans="1:12" ht="18" hidden="1" customHeight="1" outlineLevel="2" x14ac:dyDescent="0.2">
      <c r="A1294" s="25"/>
      <c r="B1294" s="25"/>
      <c r="C1294" s="25"/>
      <c r="D1294" s="25" t="s">
        <v>352</v>
      </c>
      <c r="E1294" s="25" t="s">
        <v>2754</v>
      </c>
      <c r="F1294" s="25" t="s">
        <v>1199</v>
      </c>
      <c r="G1294" s="25" t="s">
        <v>2755</v>
      </c>
      <c r="H1294" s="25" t="s">
        <v>1348</v>
      </c>
      <c r="I1294" s="25" t="s">
        <v>2728</v>
      </c>
      <c r="J1294" s="25" t="s">
        <v>375</v>
      </c>
    </row>
    <row r="1295" spans="1:12" ht="18" hidden="1" customHeight="1" outlineLevel="2" x14ac:dyDescent="0.2">
      <c r="A1295" s="25"/>
      <c r="B1295" s="25"/>
      <c r="C1295" s="25"/>
      <c r="D1295" s="25" t="s">
        <v>3492</v>
      </c>
      <c r="E1295" s="25" t="s">
        <v>2754</v>
      </c>
      <c r="F1295" s="25" t="s">
        <v>1200</v>
      </c>
      <c r="G1295" s="25" t="s">
        <v>2756</v>
      </c>
      <c r="H1295" s="25" t="s">
        <v>1348</v>
      </c>
      <c r="I1295" s="25" t="s">
        <v>2728</v>
      </c>
      <c r="J1295" s="25" t="s">
        <v>375</v>
      </c>
    </row>
    <row r="1296" spans="1:12" ht="18" hidden="1" customHeight="1" outlineLevel="2" x14ac:dyDescent="0.2">
      <c r="A1296" s="25"/>
      <c r="B1296" s="25"/>
      <c r="C1296" s="25"/>
      <c r="D1296" s="25" t="s">
        <v>3493</v>
      </c>
      <c r="E1296" s="25" t="s">
        <v>2754</v>
      </c>
      <c r="F1296" s="25" t="s">
        <v>1201</v>
      </c>
      <c r="G1296" s="25" t="s">
        <v>2757</v>
      </c>
      <c r="H1296" s="25" t="s">
        <v>1348</v>
      </c>
      <c r="I1296" s="25" t="s">
        <v>2728</v>
      </c>
      <c r="J1296" s="25" t="s">
        <v>375</v>
      </c>
    </row>
    <row r="1297" spans="1:10" ht="18" hidden="1" customHeight="1" outlineLevel="2" x14ac:dyDescent="0.2">
      <c r="A1297" s="25"/>
      <c r="B1297" s="25"/>
      <c r="C1297" s="25"/>
      <c r="D1297" s="25" t="s">
        <v>3494</v>
      </c>
      <c r="E1297" s="25" t="s">
        <v>2754</v>
      </c>
      <c r="F1297" s="25" t="s">
        <v>1202</v>
      </c>
      <c r="G1297" s="25" t="s">
        <v>2758</v>
      </c>
      <c r="H1297" s="25" t="s">
        <v>1348</v>
      </c>
      <c r="I1297" s="25" t="s">
        <v>2728</v>
      </c>
      <c r="J1297" s="25" t="s">
        <v>375</v>
      </c>
    </row>
    <row r="1298" spans="1:10" ht="18" hidden="1" customHeight="1" outlineLevel="2" x14ac:dyDescent="0.2">
      <c r="A1298" s="25"/>
      <c r="B1298" s="25"/>
      <c r="C1298" s="25"/>
      <c r="D1298" s="25" t="s">
        <v>3495</v>
      </c>
      <c r="E1298" s="25" t="s">
        <v>2754</v>
      </c>
      <c r="F1298" s="25" t="s">
        <v>2368</v>
      </c>
      <c r="G1298" s="25" t="s">
        <v>2759</v>
      </c>
      <c r="H1298" s="25" t="s">
        <v>1348</v>
      </c>
      <c r="I1298" s="25" t="s">
        <v>2728</v>
      </c>
      <c r="J1298" s="25" t="s">
        <v>375</v>
      </c>
    </row>
    <row r="1299" spans="1:10" ht="18" hidden="1" customHeight="1" outlineLevel="2" x14ac:dyDescent="0.2">
      <c r="A1299" s="25"/>
      <c r="B1299" s="25"/>
      <c r="C1299" s="25"/>
      <c r="D1299" s="25" t="s">
        <v>3496</v>
      </c>
      <c r="E1299" s="25" t="s">
        <v>2754</v>
      </c>
      <c r="F1299" s="25" t="s">
        <v>517</v>
      </c>
      <c r="G1299" s="25" t="s">
        <v>2760</v>
      </c>
      <c r="H1299" s="25" t="s">
        <v>1348</v>
      </c>
      <c r="I1299" s="25" t="s">
        <v>2728</v>
      </c>
      <c r="J1299" s="25" t="s">
        <v>375</v>
      </c>
    </row>
    <row r="1300" spans="1:10" ht="18" hidden="1" customHeight="1" outlineLevel="2" x14ac:dyDescent="0.2">
      <c r="A1300" s="25"/>
      <c r="B1300" s="25"/>
      <c r="C1300" s="25"/>
      <c r="D1300" s="25" t="s">
        <v>3497</v>
      </c>
      <c r="E1300" s="25" t="s">
        <v>2754</v>
      </c>
      <c r="F1300" s="25" t="s">
        <v>3901</v>
      </c>
      <c r="G1300" s="25" t="s">
        <v>2761</v>
      </c>
      <c r="H1300" s="25" t="s">
        <v>1348</v>
      </c>
      <c r="I1300" s="25" t="s">
        <v>2728</v>
      </c>
      <c r="J1300" s="25" t="s">
        <v>375</v>
      </c>
    </row>
    <row r="1301" spans="1:10" ht="18" hidden="1" customHeight="1" outlineLevel="2" x14ac:dyDescent="0.2">
      <c r="A1301" s="25"/>
      <c r="B1301" s="25"/>
      <c r="C1301" s="25"/>
      <c r="D1301" s="25" t="s">
        <v>3498</v>
      </c>
      <c r="E1301" s="25" t="s">
        <v>2754</v>
      </c>
      <c r="F1301" s="25" t="s">
        <v>3902</v>
      </c>
      <c r="G1301" s="25" t="s">
        <v>2762</v>
      </c>
      <c r="H1301" s="25" t="s">
        <v>1348</v>
      </c>
      <c r="I1301" s="25" t="s">
        <v>2728</v>
      </c>
      <c r="J1301" s="25" t="s">
        <v>375</v>
      </c>
    </row>
    <row r="1302" spans="1:10" ht="18" hidden="1" customHeight="1" outlineLevel="2" x14ac:dyDescent="0.2">
      <c r="A1302" s="25"/>
      <c r="B1302" s="25"/>
      <c r="C1302" s="25"/>
      <c r="D1302" s="25" t="s">
        <v>3499</v>
      </c>
      <c r="E1302" s="25" t="s">
        <v>2754</v>
      </c>
      <c r="F1302" s="25" t="s">
        <v>3903</v>
      </c>
      <c r="G1302" s="25" t="s">
        <v>2763</v>
      </c>
      <c r="H1302" s="25" t="s">
        <v>1348</v>
      </c>
      <c r="I1302" s="25" t="s">
        <v>2728</v>
      </c>
      <c r="J1302" s="25" t="s">
        <v>375</v>
      </c>
    </row>
    <row r="1303" spans="1:10" ht="18" hidden="1" customHeight="1" outlineLevel="2" x14ac:dyDescent="0.2">
      <c r="A1303" s="25"/>
      <c r="B1303" s="25"/>
      <c r="C1303" s="25"/>
      <c r="D1303" s="25" t="s">
        <v>3500</v>
      </c>
      <c r="E1303" s="25" t="s">
        <v>2754</v>
      </c>
      <c r="F1303" s="25" t="s">
        <v>3904</v>
      </c>
      <c r="G1303" s="25" t="s">
        <v>2764</v>
      </c>
      <c r="H1303" s="25" t="s">
        <v>1348</v>
      </c>
      <c r="I1303" s="25" t="s">
        <v>2728</v>
      </c>
      <c r="J1303" s="25" t="s">
        <v>375</v>
      </c>
    </row>
    <row r="1304" spans="1:10" ht="18" hidden="1" customHeight="1" outlineLevel="2" x14ac:dyDescent="0.2">
      <c r="A1304" s="25"/>
      <c r="B1304" s="25"/>
      <c r="C1304" s="25"/>
      <c r="D1304" s="25" t="s">
        <v>3501</v>
      </c>
      <c r="E1304" s="25" t="s">
        <v>2754</v>
      </c>
      <c r="F1304" s="25" t="s">
        <v>3905</v>
      </c>
      <c r="G1304" s="25" t="s">
        <v>2765</v>
      </c>
      <c r="H1304" s="25" t="s">
        <v>1348</v>
      </c>
      <c r="I1304" s="25" t="s">
        <v>2728</v>
      </c>
      <c r="J1304" s="25" t="s">
        <v>375</v>
      </c>
    </row>
    <row r="1305" spans="1:10" ht="18" hidden="1" customHeight="1" outlineLevel="2" x14ac:dyDescent="0.2">
      <c r="A1305" s="25"/>
      <c r="B1305" s="25"/>
      <c r="C1305" s="25"/>
      <c r="D1305" s="25" t="s">
        <v>3502</v>
      </c>
      <c r="E1305" s="25" t="s">
        <v>2754</v>
      </c>
      <c r="F1305" s="25" t="s">
        <v>3906</v>
      </c>
      <c r="G1305" s="25" t="s">
        <v>2766</v>
      </c>
      <c r="H1305" s="25" t="s">
        <v>1348</v>
      </c>
      <c r="I1305" s="25" t="s">
        <v>2728</v>
      </c>
      <c r="J1305" s="25" t="s">
        <v>375</v>
      </c>
    </row>
    <row r="1306" spans="1:10" ht="18" hidden="1" customHeight="1" outlineLevel="2" x14ac:dyDescent="0.2">
      <c r="A1306" s="25"/>
      <c r="B1306" s="25"/>
      <c r="C1306" s="25"/>
      <c r="D1306" s="25" t="s">
        <v>3503</v>
      </c>
      <c r="E1306" s="25" t="s">
        <v>2754</v>
      </c>
      <c r="F1306" s="25" t="s">
        <v>3907</v>
      </c>
      <c r="G1306" s="25" t="s">
        <v>2767</v>
      </c>
      <c r="H1306" s="25" t="s">
        <v>1348</v>
      </c>
      <c r="I1306" s="25" t="s">
        <v>2728</v>
      </c>
      <c r="J1306" s="25" t="s">
        <v>375</v>
      </c>
    </row>
    <row r="1307" spans="1:10" ht="18" hidden="1" customHeight="1" outlineLevel="2" x14ac:dyDescent="0.2">
      <c r="A1307" s="25"/>
      <c r="B1307" s="25"/>
      <c r="C1307" s="25"/>
      <c r="D1307" s="25" t="s">
        <v>3504</v>
      </c>
      <c r="E1307" s="25" t="s">
        <v>2754</v>
      </c>
      <c r="F1307" s="25" t="s">
        <v>3908</v>
      </c>
      <c r="G1307" s="25" t="s">
        <v>2768</v>
      </c>
      <c r="H1307" s="25" t="s">
        <v>1348</v>
      </c>
      <c r="I1307" s="25" t="s">
        <v>2728</v>
      </c>
      <c r="J1307" s="25" t="s">
        <v>375</v>
      </c>
    </row>
    <row r="1308" spans="1:10" ht="18" hidden="1" customHeight="1" outlineLevel="2" x14ac:dyDescent="0.2">
      <c r="A1308" s="25"/>
      <c r="B1308" s="25"/>
      <c r="C1308" s="25"/>
      <c r="D1308" s="25"/>
      <c r="E1308" s="25"/>
      <c r="F1308" s="25"/>
      <c r="G1308" s="25"/>
      <c r="H1308" s="25"/>
      <c r="I1308" s="25"/>
    </row>
    <row r="1309" spans="1:10" ht="18" hidden="1" customHeight="1" outlineLevel="2" x14ac:dyDescent="0.2">
      <c r="A1309" s="25"/>
      <c r="B1309" s="25"/>
      <c r="C1309" s="25"/>
      <c r="D1309" s="25" t="s">
        <v>352</v>
      </c>
      <c r="E1309" s="25" t="s">
        <v>2769</v>
      </c>
      <c r="F1309" s="25" t="s">
        <v>1200</v>
      </c>
      <c r="G1309" s="25" t="s">
        <v>547</v>
      </c>
      <c r="H1309" s="25" t="s">
        <v>1348</v>
      </c>
      <c r="I1309" s="25" t="s">
        <v>2728</v>
      </c>
      <c r="J1309" s="25" t="s">
        <v>375</v>
      </c>
    </row>
    <row r="1310" spans="1:10" ht="18" hidden="1" customHeight="1" outlineLevel="2" x14ac:dyDescent="0.2">
      <c r="A1310" s="25"/>
      <c r="B1310" s="25"/>
      <c r="C1310" s="25"/>
      <c r="D1310" s="25" t="s">
        <v>3505</v>
      </c>
      <c r="E1310" s="25" t="s">
        <v>2769</v>
      </c>
      <c r="F1310" s="25" t="s">
        <v>1201</v>
      </c>
      <c r="G1310" s="25" t="s">
        <v>2770</v>
      </c>
      <c r="H1310" s="25" t="s">
        <v>1348</v>
      </c>
      <c r="I1310" s="25" t="s">
        <v>2728</v>
      </c>
      <c r="J1310" s="25" t="s">
        <v>375</v>
      </c>
    </row>
    <row r="1311" spans="1:10" ht="18" hidden="1" customHeight="1" outlineLevel="2" x14ac:dyDescent="0.2">
      <c r="A1311" s="25"/>
      <c r="B1311" s="25"/>
      <c r="C1311" s="25"/>
      <c r="D1311" s="25" t="s">
        <v>3506</v>
      </c>
      <c r="E1311" s="25" t="s">
        <v>2769</v>
      </c>
      <c r="F1311" s="25" t="s">
        <v>1202</v>
      </c>
      <c r="G1311" s="25" t="s">
        <v>2771</v>
      </c>
      <c r="H1311" s="25" t="s">
        <v>1348</v>
      </c>
      <c r="I1311" s="25" t="s">
        <v>2728</v>
      </c>
      <c r="J1311" s="25" t="s">
        <v>375</v>
      </c>
    </row>
    <row r="1312" spans="1:10" ht="18" hidden="1" customHeight="1" outlineLevel="2" x14ac:dyDescent="0.2">
      <c r="A1312" s="25"/>
      <c r="B1312" s="25"/>
      <c r="C1312" s="25"/>
      <c r="D1312" s="25" t="s">
        <v>3507</v>
      </c>
      <c r="E1312" s="25" t="s">
        <v>2769</v>
      </c>
      <c r="F1312" s="25" t="s">
        <v>2368</v>
      </c>
      <c r="G1312" s="25" t="s">
        <v>2772</v>
      </c>
      <c r="H1312" s="25" t="s">
        <v>1348</v>
      </c>
      <c r="I1312" s="25" t="s">
        <v>2728</v>
      </c>
      <c r="J1312" s="25" t="s">
        <v>375</v>
      </c>
    </row>
    <row r="1313" spans="1:12" ht="18" hidden="1" customHeight="1" outlineLevel="2" x14ac:dyDescent="0.2">
      <c r="A1313" s="25"/>
      <c r="B1313" s="25"/>
      <c r="C1313" s="25"/>
      <c r="D1313" s="25" t="s">
        <v>3508</v>
      </c>
      <c r="E1313" s="25" t="s">
        <v>2769</v>
      </c>
      <c r="F1313" s="25" t="s">
        <v>517</v>
      </c>
      <c r="G1313" s="25" t="s">
        <v>2773</v>
      </c>
      <c r="H1313" s="25" t="s">
        <v>1348</v>
      </c>
      <c r="I1313" s="25" t="s">
        <v>2728</v>
      </c>
      <c r="J1313" s="25" t="s">
        <v>375</v>
      </c>
    </row>
    <row r="1314" spans="1:12" ht="18" hidden="1" customHeight="1" outlineLevel="2" x14ac:dyDescent="0.2">
      <c r="A1314" s="25"/>
      <c r="B1314" s="25"/>
      <c r="C1314" s="25"/>
      <c r="D1314" s="25" t="s">
        <v>3509</v>
      </c>
      <c r="E1314" s="25" t="s">
        <v>2769</v>
      </c>
      <c r="F1314" s="25" t="s">
        <v>3901</v>
      </c>
      <c r="G1314" s="25" t="s">
        <v>2774</v>
      </c>
      <c r="H1314" s="25" t="s">
        <v>1348</v>
      </c>
      <c r="I1314" s="25" t="s">
        <v>2728</v>
      </c>
      <c r="J1314" s="25" t="s">
        <v>375</v>
      </c>
    </row>
    <row r="1315" spans="1:12" ht="18" hidden="1" customHeight="1" outlineLevel="2" x14ac:dyDescent="0.2">
      <c r="A1315" s="25"/>
      <c r="B1315" s="25"/>
      <c r="C1315" s="25"/>
      <c r="D1315" s="25" t="s">
        <v>3510</v>
      </c>
      <c r="E1315" s="25" t="s">
        <v>2769</v>
      </c>
      <c r="F1315" s="25" t="s">
        <v>3902</v>
      </c>
      <c r="G1315" s="25" t="s">
        <v>2775</v>
      </c>
      <c r="H1315" s="25" t="s">
        <v>1348</v>
      </c>
      <c r="I1315" s="25" t="s">
        <v>2728</v>
      </c>
      <c r="J1315" s="25" t="s">
        <v>375</v>
      </c>
    </row>
    <row r="1316" spans="1:12" ht="18" hidden="1" customHeight="1" outlineLevel="2" x14ac:dyDescent="0.2">
      <c r="A1316" s="25"/>
      <c r="B1316" s="25"/>
      <c r="C1316" s="25"/>
      <c r="D1316" s="25" t="s">
        <v>3511</v>
      </c>
      <c r="E1316" s="25" t="s">
        <v>2769</v>
      </c>
      <c r="F1316" s="25" t="s">
        <v>3903</v>
      </c>
      <c r="G1316" s="25" t="s">
        <v>2776</v>
      </c>
      <c r="H1316" s="25" t="s">
        <v>1348</v>
      </c>
      <c r="I1316" s="25" t="s">
        <v>2728</v>
      </c>
      <c r="J1316" s="25" t="s">
        <v>375</v>
      </c>
    </row>
    <row r="1317" spans="1:12" ht="18" hidden="1" customHeight="1" outlineLevel="2" x14ac:dyDescent="0.2">
      <c r="A1317" s="25"/>
      <c r="B1317" s="25"/>
      <c r="C1317" s="25"/>
      <c r="D1317" s="25" t="s">
        <v>3512</v>
      </c>
      <c r="E1317" s="25" t="s">
        <v>2769</v>
      </c>
      <c r="F1317" s="25" t="s">
        <v>3904</v>
      </c>
      <c r="G1317" s="25" t="s">
        <v>2777</v>
      </c>
      <c r="H1317" s="25" t="s">
        <v>1348</v>
      </c>
      <c r="I1317" s="25" t="s">
        <v>2728</v>
      </c>
      <c r="J1317" s="25" t="s">
        <v>375</v>
      </c>
    </row>
    <row r="1318" spans="1:12" ht="18" hidden="1" customHeight="1" outlineLevel="2" x14ac:dyDescent="0.2">
      <c r="A1318" s="25"/>
      <c r="B1318" s="25"/>
      <c r="C1318" s="25"/>
      <c r="D1318" s="25" t="s">
        <v>3513</v>
      </c>
      <c r="E1318" s="25" t="s">
        <v>2769</v>
      </c>
      <c r="F1318" s="25" t="s">
        <v>3905</v>
      </c>
      <c r="G1318" s="25" t="s">
        <v>2778</v>
      </c>
      <c r="H1318" s="25" t="s">
        <v>1348</v>
      </c>
      <c r="I1318" s="25" t="s">
        <v>2728</v>
      </c>
      <c r="J1318" s="25" t="s">
        <v>375</v>
      </c>
    </row>
    <row r="1319" spans="1:12" ht="18" hidden="1" customHeight="1" outlineLevel="2" x14ac:dyDescent="0.2">
      <c r="A1319" s="25"/>
      <c r="B1319" s="25"/>
      <c r="C1319" s="25"/>
      <c r="D1319" s="25" t="s">
        <v>3514</v>
      </c>
      <c r="E1319" s="25" t="s">
        <v>2769</v>
      </c>
      <c r="F1319" s="25" t="s">
        <v>3906</v>
      </c>
      <c r="G1319" s="25" t="s">
        <v>547</v>
      </c>
      <c r="H1319" s="25" t="s">
        <v>1348</v>
      </c>
      <c r="I1319" s="25" t="s">
        <v>2728</v>
      </c>
      <c r="J1319" s="25" t="s">
        <v>375</v>
      </c>
    </row>
    <row r="1320" spans="1:12" ht="18" hidden="1" customHeight="1" outlineLevel="2" x14ac:dyDescent="0.2">
      <c r="A1320" s="25"/>
      <c r="B1320" s="25"/>
      <c r="C1320" s="25"/>
      <c r="D1320" s="25" t="s">
        <v>3515</v>
      </c>
      <c r="E1320" s="25" t="s">
        <v>2769</v>
      </c>
      <c r="F1320" s="25" t="s">
        <v>3907</v>
      </c>
      <c r="G1320" s="25" t="s">
        <v>2779</v>
      </c>
      <c r="H1320" s="25" t="s">
        <v>1348</v>
      </c>
      <c r="I1320" s="25" t="s">
        <v>2728</v>
      </c>
      <c r="J1320" s="25" t="s">
        <v>375</v>
      </c>
    </row>
    <row r="1321" spans="1:12" ht="18" hidden="1" customHeight="1" outlineLevel="2" x14ac:dyDescent="0.2">
      <c r="A1321" s="25"/>
      <c r="B1321" s="25"/>
      <c r="C1321" s="25"/>
      <c r="D1321" s="25" t="s">
        <v>3516</v>
      </c>
      <c r="E1321" s="25" t="s">
        <v>2769</v>
      </c>
      <c r="F1321" s="25" t="s">
        <v>3908</v>
      </c>
      <c r="G1321" s="25" t="s">
        <v>2780</v>
      </c>
      <c r="H1321" s="25" t="s">
        <v>1348</v>
      </c>
      <c r="I1321" s="25" t="s">
        <v>2728</v>
      </c>
      <c r="J1321" s="25" t="s">
        <v>375</v>
      </c>
    </row>
    <row r="1322" spans="1:12" customFormat="1" ht="18" hidden="1" customHeight="1" outlineLevel="2" x14ac:dyDescent="0.25">
      <c r="A1322" s="25"/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</row>
    <row r="1323" spans="1:12" customFormat="1" ht="18" customHeight="1" outlineLevel="1" collapsed="1" x14ac:dyDescent="0.25">
      <c r="A1323" s="119" t="s">
        <v>167</v>
      </c>
      <c r="B1323" s="120"/>
      <c r="C1323" s="120"/>
      <c r="D1323" s="120"/>
      <c r="E1323" s="120"/>
      <c r="F1323" s="120" t="s">
        <v>167</v>
      </c>
      <c r="G1323" s="120"/>
      <c r="H1323" s="120"/>
      <c r="I1323" s="120"/>
      <c r="J1323" s="120"/>
      <c r="K1323" s="120"/>
      <c r="L1323" s="160"/>
    </row>
    <row r="1324" spans="1:12" ht="18" hidden="1" customHeight="1" outlineLevel="2" x14ac:dyDescent="0.2">
      <c r="A1324" s="25"/>
      <c r="B1324" s="25"/>
      <c r="C1324" s="25"/>
      <c r="D1324" s="25" t="s">
        <v>3544</v>
      </c>
      <c r="E1324" s="25" t="s">
        <v>2810</v>
      </c>
      <c r="F1324" s="25" t="s">
        <v>2368</v>
      </c>
      <c r="G1324" s="25" t="s">
        <v>2811</v>
      </c>
      <c r="H1324" s="25" t="s">
        <v>1348</v>
      </c>
      <c r="I1324" s="25" t="s">
        <v>2728</v>
      </c>
      <c r="J1324" s="25" t="s">
        <v>375</v>
      </c>
    </row>
    <row r="1325" spans="1:12" ht="18" hidden="1" customHeight="1" outlineLevel="2" x14ac:dyDescent="0.2">
      <c r="A1325" s="25"/>
      <c r="B1325" s="25"/>
      <c r="C1325" s="25"/>
      <c r="D1325" s="25" t="s">
        <v>3545</v>
      </c>
      <c r="E1325" s="25" t="s">
        <v>2810</v>
      </c>
      <c r="F1325" s="25" t="s">
        <v>517</v>
      </c>
      <c r="G1325" s="25" t="s">
        <v>2812</v>
      </c>
      <c r="H1325" s="25" t="s">
        <v>1348</v>
      </c>
      <c r="I1325" s="25" t="s">
        <v>2728</v>
      </c>
      <c r="J1325" s="25" t="s">
        <v>375</v>
      </c>
    </row>
    <row r="1326" spans="1:12" ht="18" hidden="1" customHeight="1" outlineLevel="2" x14ac:dyDescent="0.2">
      <c r="A1326" s="25"/>
      <c r="B1326" s="25"/>
      <c r="C1326" s="25"/>
      <c r="D1326" s="25" t="s">
        <v>3546</v>
      </c>
      <c r="E1326" s="25" t="s">
        <v>2810</v>
      </c>
      <c r="F1326" s="25" t="s">
        <v>3901</v>
      </c>
      <c r="G1326" s="25" t="s">
        <v>2813</v>
      </c>
      <c r="H1326" s="25" t="s">
        <v>1348</v>
      </c>
      <c r="I1326" s="25" t="s">
        <v>2728</v>
      </c>
      <c r="J1326" s="25" t="s">
        <v>375</v>
      </c>
    </row>
    <row r="1327" spans="1:12" ht="18" hidden="1" customHeight="1" outlineLevel="2" x14ac:dyDescent="0.2">
      <c r="A1327" s="25"/>
      <c r="B1327" s="25"/>
      <c r="C1327" s="25"/>
      <c r="D1327" s="25" t="s">
        <v>3547</v>
      </c>
      <c r="E1327" s="25" t="s">
        <v>2810</v>
      </c>
      <c r="F1327" s="25" t="s">
        <v>3902</v>
      </c>
      <c r="G1327" s="25" t="s">
        <v>2814</v>
      </c>
      <c r="H1327" s="25" t="s">
        <v>1348</v>
      </c>
      <c r="I1327" s="25" t="s">
        <v>2728</v>
      </c>
      <c r="J1327" s="25" t="s">
        <v>375</v>
      </c>
    </row>
    <row r="1328" spans="1:12" ht="18" hidden="1" customHeight="1" outlineLevel="2" x14ac:dyDescent="0.2">
      <c r="A1328" s="25"/>
      <c r="B1328" s="25"/>
      <c r="C1328" s="25"/>
      <c r="D1328" s="25" t="s">
        <v>3548</v>
      </c>
      <c r="E1328" s="25" t="s">
        <v>2810</v>
      </c>
      <c r="F1328" s="25" t="s">
        <v>3903</v>
      </c>
      <c r="G1328" s="25" t="s">
        <v>2815</v>
      </c>
      <c r="H1328" s="25" t="s">
        <v>1348</v>
      </c>
      <c r="I1328" s="25" t="s">
        <v>2728</v>
      </c>
      <c r="J1328" s="25" t="s">
        <v>375</v>
      </c>
    </row>
    <row r="1329" spans="1:12" ht="18" hidden="1" customHeight="1" outlineLevel="2" x14ac:dyDescent="0.2">
      <c r="A1329" s="25"/>
      <c r="B1329" s="25"/>
      <c r="C1329" s="25"/>
      <c r="D1329" s="25" t="s">
        <v>3549</v>
      </c>
      <c r="E1329" s="25" t="s">
        <v>2810</v>
      </c>
      <c r="F1329" s="25" t="s">
        <v>3904</v>
      </c>
      <c r="G1329" s="25" t="s">
        <v>2816</v>
      </c>
      <c r="H1329" s="25" t="s">
        <v>1348</v>
      </c>
      <c r="I1329" s="25" t="s">
        <v>2728</v>
      </c>
      <c r="J1329" s="25" t="s">
        <v>375</v>
      </c>
    </row>
    <row r="1330" spans="1:12" ht="18" hidden="1" customHeight="1" outlineLevel="2" x14ac:dyDescent="0.2">
      <c r="A1330" s="25"/>
      <c r="B1330" s="25"/>
      <c r="C1330" s="25"/>
      <c r="D1330" s="25" t="s">
        <v>3550</v>
      </c>
      <c r="E1330" s="25" t="s">
        <v>2810</v>
      </c>
      <c r="F1330" s="25" t="s">
        <v>3905</v>
      </c>
      <c r="G1330" s="25" t="s">
        <v>2817</v>
      </c>
      <c r="H1330" s="25" t="s">
        <v>1348</v>
      </c>
      <c r="I1330" s="25" t="s">
        <v>2728</v>
      </c>
      <c r="J1330" s="25" t="s">
        <v>375</v>
      </c>
    </row>
    <row r="1331" spans="1:12" ht="18" hidden="1" customHeight="1" outlineLevel="2" x14ac:dyDescent="0.2">
      <c r="A1331" s="25"/>
      <c r="B1331" s="25"/>
      <c r="C1331" s="25"/>
      <c r="D1331" s="25" t="s">
        <v>3551</v>
      </c>
      <c r="E1331" s="25" t="s">
        <v>2810</v>
      </c>
      <c r="F1331" s="25" t="s">
        <v>3906</v>
      </c>
      <c r="G1331" s="25" t="s">
        <v>2818</v>
      </c>
      <c r="H1331" s="25" t="s">
        <v>1348</v>
      </c>
      <c r="I1331" s="25" t="s">
        <v>2728</v>
      </c>
      <c r="J1331" s="25" t="s">
        <v>375</v>
      </c>
    </row>
    <row r="1332" spans="1:12" ht="18" hidden="1" customHeight="1" outlineLevel="2" x14ac:dyDescent="0.2">
      <c r="A1332" s="25"/>
      <c r="B1332" s="25"/>
      <c r="C1332" s="25"/>
      <c r="D1332" s="25" t="s">
        <v>3552</v>
      </c>
      <c r="E1332" s="25" t="s">
        <v>2810</v>
      </c>
      <c r="F1332" s="25" t="s">
        <v>3907</v>
      </c>
      <c r="G1332" s="25" t="s">
        <v>547</v>
      </c>
      <c r="H1332" s="25" t="s">
        <v>1348</v>
      </c>
      <c r="I1332" s="25" t="s">
        <v>2728</v>
      </c>
      <c r="J1332" s="25" t="s">
        <v>375</v>
      </c>
    </row>
    <row r="1333" spans="1:12" ht="18" hidden="1" customHeight="1" outlineLevel="2" x14ac:dyDescent="0.2">
      <c r="A1333" s="25"/>
      <c r="B1333" s="25"/>
      <c r="C1333" s="25"/>
      <c r="D1333" s="25" t="s">
        <v>352</v>
      </c>
      <c r="E1333" s="25" t="s">
        <v>2810</v>
      </c>
      <c r="F1333" s="25" t="s">
        <v>3908</v>
      </c>
      <c r="G1333" s="25" t="s">
        <v>2819</v>
      </c>
      <c r="H1333" s="25" t="s">
        <v>1348</v>
      </c>
      <c r="I1333" s="25" t="s">
        <v>2728</v>
      </c>
      <c r="J1333" s="25" t="s">
        <v>375</v>
      </c>
    </row>
    <row r="1334" spans="1:12" customFormat="1" ht="18" hidden="1" customHeight="1" outlineLevel="2" x14ac:dyDescent="0.25">
      <c r="A1334" s="25"/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</row>
    <row r="1335" spans="1:12" customFormat="1" ht="18" customHeight="1" outlineLevel="1" collapsed="1" x14ac:dyDescent="0.25">
      <c r="A1335" s="119" t="s">
        <v>168</v>
      </c>
      <c r="B1335" s="120"/>
      <c r="C1335" s="120"/>
      <c r="D1335" s="120"/>
      <c r="E1335" s="120"/>
      <c r="F1335" s="120" t="s">
        <v>168</v>
      </c>
      <c r="G1335" s="120"/>
      <c r="H1335" s="120"/>
      <c r="I1335" s="120"/>
      <c r="J1335" s="120"/>
      <c r="K1335" s="120"/>
      <c r="L1335" s="160"/>
    </row>
    <row r="1336" spans="1:12" ht="18" hidden="1" customHeight="1" outlineLevel="2" x14ac:dyDescent="0.2">
      <c r="A1336" s="25"/>
      <c r="B1336" s="25"/>
      <c r="C1336" s="25"/>
      <c r="D1336" s="25" t="s">
        <v>3640</v>
      </c>
      <c r="E1336" s="25" t="s">
        <v>842</v>
      </c>
      <c r="F1336" s="25" t="s">
        <v>1199</v>
      </c>
      <c r="G1336" s="25" t="s">
        <v>2950</v>
      </c>
      <c r="H1336" s="25" t="s">
        <v>1348</v>
      </c>
      <c r="I1336" s="25" t="s">
        <v>2728</v>
      </c>
      <c r="J1336" s="25" t="s">
        <v>375</v>
      </c>
    </row>
    <row r="1337" spans="1:12" ht="18" hidden="1" customHeight="1" outlineLevel="2" x14ac:dyDescent="0.2">
      <c r="A1337" s="25"/>
      <c r="B1337" s="25"/>
      <c r="C1337" s="25"/>
      <c r="D1337" s="25" t="s">
        <v>3641</v>
      </c>
      <c r="E1337" s="25" t="s">
        <v>842</v>
      </c>
      <c r="F1337" s="25" t="s">
        <v>1200</v>
      </c>
      <c r="G1337" s="25" t="s">
        <v>2951</v>
      </c>
      <c r="H1337" s="25" t="s">
        <v>1348</v>
      </c>
      <c r="I1337" s="25" t="s">
        <v>2728</v>
      </c>
      <c r="J1337" s="25" t="s">
        <v>375</v>
      </c>
    </row>
    <row r="1338" spans="1:12" ht="18" hidden="1" customHeight="1" outlineLevel="2" x14ac:dyDescent="0.2">
      <c r="A1338" s="25"/>
      <c r="B1338" s="25"/>
      <c r="C1338" s="25"/>
      <c r="D1338" s="25" t="s">
        <v>3642</v>
      </c>
      <c r="E1338" s="25" t="s">
        <v>842</v>
      </c>
      <c r="F1338" s="25" t="s">
        <v>1201</v>
      </c>
      <c r="G1338" s="25" t="s">
        <v>2952</v>
      </c>
      <c r="H1338" s="25" t="s">
        <v>1348</v>
      </c>
      <c r="I1338" s="25" t="s">
        <v>2728</v>
      </c>
      <c r="J1338" s="25" t="s">
        <v>375</v>
      </c>
    </row>
    <row r="1339" spans="1:12" ht="18" hidden="1" customHeight="1" outlineLevel="2" x14ac:dyDescent="0.2">
      <c r="A1339" s="25"/>
      <c r="B1339" s="25"/>
      <c r="C1339" s="25"/>
      <c r="D1339" s="25" t="s">
        <v>3643</v>
      </c>
      <c r="E1339" s="25" t="s">
        <v>842</v>
      </c>
      <c r="F1339" s="25" t="s">
        <v>1202</v>
      </c>
      <c r="G1339" s="25" t="s">
        <v>2953</v>
      </c>
      <c r="H1339" s="25" t="s">
        <v>1348</v>
      </c>
      <c r="I1339" s="25" t="s">
        <v>2728</v>
      </c>
      <c r="J1339" s="25" t="s">
        <v>375</v>
      </c>
    </row>
    <row r="1340" spans="1:12" ht="18" hidden="1" customHeight="1" outlineLevel="2" x14ac:dyDescent="0.2">
      <c r="A1340" s="25"/>
      <c r="B1340" s="25"/>
      <c r="C1340" s="25"/>
      <c r="D1340" s="25" t="s">
        <v>3644</v>
      </c>
      <c r="E1340" s="25" t="s">
        <v>842</v>
      </c>
      <c r="F1340" s="25" t="s">
        <v>2368</v>
      </c>
      <c r="G1340" s="25" t="s">
        <v>2954</v>
      </c>
      <c r="H1340" s="25" t="s">
        <v>1348</v>
      </c>
      <c r="I1340" s="25" t="s">
        <v>2728</v>
      </c>
      <c r="J1340" s="25" t="s">
        <v>375</v>
      </c>
    </row>
    <row r="1341" spans="1:12" ht="18" hidden="1" customHeight="1" outlineLevel="2" x14ac:dyDescent="0.2">
      <c r="A1341" s="25"/>
      <c r="B1341" s="25"/>
      <c r="C1341" s="25"/>
      <c r="D1341" s="25" t="s">
        <v>3645</v>
      </c>
      <c r="E1341" s="25" t="s">
        <v>842</v>
      </c>
      <c r="F1341" s="25" t="s">
        <v>517</v>
      </c>
      <c r="G1341" s="25" t="s">
        <v>2955</v>
      </c>
      <c r="H1341" s="25" t="s">
        <v>1348</v>
      </c>
      <c r="I1341" s="25" t="s">
        <v>2728</v>
      </c>
      <c r="J1341" s="25" t="s">
        <v>375</v>
      </c>
    </row>
    <row r="1342" spans="1:12" ht="18" hidden="1" customHeight="1" outlineLevel="2" x14ac:dyDescent="0.2">
      <c r="A1342" s="25"/>
      <c r="B1342" s="25"/>
      <c r="C1342" s="25"/>
      <c r="D1342" s="25" t="s">
        <v>3646</v>
      </c>
      <c r="E1342" s="25" t="s">
        <v>842</v>
      </c>
      <c r="F1342" s="25" t="s">
        <v>3901</v>
      </c>
      <c r="G1342" s="25" t="s">
        <v>2956</v>
      </c>
      <c r="H1342" s="25" t="s">
        <v>1348</v>
      </c>
      <c r="I1342" s="25" t="s">
        <v>2728</v>
      </c>
      <c r="J1342" s="25" t="s">
        <v>375</v>
      </c>
    </row>
    <row r="1343" spans="1:12" ht="18" hidden="1" customHeight="1" outlineLevel="2" x14ac:dyDescent="0.2">
      <c r="A1343" s="25"/>
      <c r="B1343" s="25"/>
      <c r="C1343" s="25"/>
      <c r="D1343" s="25" t="s">
        <v>3647</v>
      </c>
      <c r="E1343" s="25" t="s">
        <v>842</v>
      </c>
      <c r="F1343" s="25" t="s">
        <v>3902</v>
      </c>
      <c r="G1343" s="25" t="s">
        <v>2957</v>
      </c>
      <c r="H1343" s="25" t="s">
        <v>1348</v>
      </c>
      <c r="I1343" s="25" t="s">
        <v>2728</v>
      </c>
      <c r="J1343" s="25" t="s">
        <v>375</v>
      </c>
    </row>
    <row r="1344" spans="1:12" ht="18" hidden="1" customHeight="1" outlineLevel="2" x14ac:dyDescent="0.2">
      <c r="A1344" s="25"/>
      <c r="B1344" s="25"/>
      <c r="C1344" s="25"/>
      <c r="D1344" s="25" t="s">
        <v>3648</v>
      </c>
      <c r="E1344" s="25" t="s">
        <v>842</v>
      </c>
      <c r="F1344" s="25" t="s">
        <v>3903</v>
      </c>
      <c r="G1344" s="25" t="s">
        <v>2958</v>
      </c>
      <c r="H1344" s="25" t="s">
        <v>1348</v>
      </c>
      <c r="I1344" s="25" t="s">
        <v>2728</v>
      </c>
      <c r="J1344" s="25" t="s">
        <v>375</v>
      </c>
    </row>
    <row r="1345" spans="1:12" ht="18" hidden="1" customHeight="1" outlineLevel="2" x14ac:dyDescent="0.2">
      <c r="A1345" s="25"/>
      <c r="B1345" s="25"/>
      <c r="C1345" s="25"/>
      <c r="D1345" s="25" t="s">
        <v>3649</v>
      </c>
      <c r="E1345" s="25" t="s">
        <v>842</v>
      </c>
      <c r="F1345" s="25" t="s">
        <v>3904</v>
      </c>
      <c r="G1345" s="25" t="s">
        <v>2959</v>
      </c>
      <c r="H1345" s="25" t="s">
        <v>1348</v>
      </c>
      <c r="I1345" s="25" t="s">
        <v>2728</v>
      </c>
      <c r="J1345" s="25" t="s">
        <v>375</v>
      </c>
    </row>
    <row r="1346" spans="1:12" ht="18" hidden="1" customHeight="1" outlineLevel="2" x14ac:dyDescent="0.2">
      <c r="A1346" s="25"/>
      <c r="B1346" s="25"/>
      <c r="C1346" s="25"/>
      <c r="D1346" s="25" t="s">
        <v>3650</v>
      </c>
      <c r="E1346" s="25" t="s">
        <v>842</v>
      </c>
      <c r="F1346" s="25" t="s">
        <v>3905</v>
      </c>
      <c r="G1346" s="25" t="s">
        <v>2960</v>
      </c>
      <c r="H1346" s="25" t="s">
        <v>1348</v>
      </c>
      <c r="I1346" s="25" t="s">
        <v>2728</v>
      </c>
      <c r="J1346" s="25" t="s">
        <v>375</v>
      </c>
    </row>
    <row r="1347" spans="1:12" ht="18" hidden="1" customHeight="1" outlineLevel="2" x14ac:dyDescent="0.2">
      <c r="A1347" s="25"/>
      <c r="B1347" s="25"/>
      <c r="C1347" s="25"/>
      <c r="D1347" s="25" t="s">
        <v>3651</v>
      </c>
      <c r="E1347" s="25" t="s">
        <v>842</v>
      </c>
      <c r="F1347" s="25" t="s">
        <v>3906</v>
      </c>
      <c r="G1347" s="25" t="s">
        <v>2961</v>
      </c>
      <c r="H1347" s="25" t="s">
        <v>1348</v>
      </c>
      <c r="I1347" s="25" t="s">
        <v>2728</v>
      </c>
      <c r="J1347" s="25" t="s">
        <v>375</v>
      </c>
    </row>
    <row r="1348" spans="1:12" ht="18" hidden="1" customHeight="1" outlineLevel="2" x14ac:dyDescent="0.2">
      <c r="A1348" s="25"/>
      <c r="B1348" s="25"/>
      <c r="C1348" s="25"/>
      <c r="D1348" s="25" t="s">
        <v>3652</v>
      </c>
      <c r="E1348" s="25" t="s">
        <v>842</v>
      </c>
      <c r="F1348" s="25" t="s">
        <v>3907</v>
      </c>
      <c r="G1348" s="25" t="s">
        <v>2962</v>
      </c>
      <c r="H1348" s="25" t="s">
        <v>1348</v>
      </c>
      <c r="I1348" s="25" t="s">
        <v>2728</v>
      </c>
      <c r="J1348" s="25" t="s">
        <v>375</v>
      </c>
    </row>
    <row r="1349" spans="1:12" ht="18" hidden="1" customHeight="1" outlineLevel="2" x14ac:dyDescent="0.2">
      <c r="A1349" s="25"/>
      <c r="B1349" s="25"/>
      <c r="C1349" s="25"/>
      <c r="D1349" s="25" t="s">
        <v>3653</v>
      </c>
      <c r="E1349" s="25" t="s">
        <v>842</v>
      </c>
      <c r="F1349" s="25" t="s">
        <v>3908</v>
      </c>
      <c r="G1349" s="25" t="s">
        <v>2963</v>
      </c>
      <c r="H1349" s="25" t="s">
        <v>1348</v>
      </c>
      <c r="I1349" s="25" t="s">
        <v>2728</v>
      </c>
      <c r="J1349" s="25" t="s">
        <v>375</v>
      </c>
    </row>
    <row r="1350" spans="1:12" customFormat="1" ht="18" hidden="1" customHeight="1" outlineLevel="2" x14ac:dyDescent="0.25">
      <c r="A1350" s="25"/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</row>
    <row r="1351" spans="1:12" customFormat="1" ht="18" customHeight="1" outlineLevel="1" collapsed="1" x14ac:dyDescent="0.25">
      <c r="A1351" s="119" t="s">
        <v>3911</v>
      </c>
      <c r="B1351" s="120"/>
      <c r="C1351" s="120"/>
      <c r="D1351" s="120"/>
      <c r="E1351" s="120"/>
      <c r="F1351" s="120" t="s">
        <v>169</v>
      </c>
      <c r="G1351" s="120"/>
      <c r="H1351" s="120"/>
      <c r="I1351" s="120"/>
      <c r="J1351" s="120"/>
      <c r="K1351" s="120"/>
      <c r="L1351" s="160"/>
    </row>
    <row r="1352" spans="1:12" ht="18" hidden="1" customHeight="1" outlineLevel="2" x14ac:dyDescent="0.2">
      <c r="A1352" s="25"/>
      <c r="B1352" s="25"/>
      <c r="C1352" s="25"/>
      <c r="D1352" s="25" t="s">
        <v>352</v>
      </c>
      <c r="E1352" s="25" t="s">
        <v>2820</v>
      </c>
      <c r="F1352" s="25" t="s">
        <v>2821</v>
      </c>
      <c r="G1352" s="25" t="s">
        <v>2822</v>
      </c>
      <c r="H1352" s="25" t="s">
        <v>1348</v>
      </c>
      <c r="I1352" s="25" t="s">
        <v>2728</v>
      </c>
      <c r="J1352" s="25" t="s">
        <v>375</v>
      </c>
    </row>
    <row r="1353" spans="1:12" ht="18" hidden="1" customHeight="1" outlineLevel="2" x14ac:dyDescent="0.2">
      <c r="A1353" s="25"/>
      <c r="B1353" s="25"/>
      <c r="C1353" s="25"/>
      <c r="D1353" s="25" t="s">
        <v>3553</v>
      </c>
      <c r="E1353" s="25" t="s">
        <v>2820</v>
      </c>
      <c r="F1353" s="25" t="s">
        <v>2823</v>
      </c>
      <c r="G1353" s="25" t="s">
        <v>2824</v>
      </c>
      <c r="H1353" s="25" t="s">
        <v>1348</v>
      </c>
      <c r="I1353" s="25" t="s">
        <v>2728</v>
      </c>
      <c r="J1353" s="25" t="s">
        <v>375</v>
      </c>
    </row>
    <row r="1354" spans="1:12" ht="18" hidden="1" customHeight="1" outlineLevel="2" x14ac:dyDescent="0.2">
      <c r="A1354" s="25"/>
      <c r="B1354" s="25"/>
      <c r="C1354" s="25"/>
      <c r="D1354" s="25" t="s">
        <v>3554</v>
      </c>
      <c r="E1354" s="25" t="s">
        <v>2820</v>
      </c>
      <c r="F1354" s="25" t="s">
        <v>2825</v>
      </c>
      <c r="G1354" s="25" t="s">
        <v>2826</v>
      </c>
      <c r="H1354" s="25" t="s">
        <v>1348</v>
      </c>
      <c r="I1354" s="25" t="s">
        <v>2728</v>
      </c>
      <c r="J1354" s="25" t="s">
        <v>375</v>
      </c>
    </row>
    <row r="1355" spans="1:12" ht="18" hidden="1" customHeight="1" outlineLevel="2" x14ac:dyDescent="0.2">
      <c r="A1355" s="25"/>
      <c r="B1355" s="25"/>
      <c r="C1355" s="25"/>
      <c r="D1355" s="25" t="s">
        <v>352</v>
      </c>
      <c r="E1355" s="25" t="s">
        <v>2820</v>
      </c>
      <c r="F1355" s="25" t="s">
        <v>2827</v>
      </c>
      <c r="G1355" s="25" t="s">
        <v>547</v>
      </c>
      <c r="H1355" s="25" t="s">
        <v>1348</v>
      </c>
      <c r="I1355" s="25" t="s">
        <v>2728</v>
      </c>
      <c r="J1355" s="25" t="s">
        <v>375</v>
      </c>
    </row>
    <row r="1356" spans="1:12" ht="18" hidden="1" customHeight="1" outlineLevel="2" x14ac:dyDescent="0.2">
      <c r="A1356" s="25"/>
      <c r="B1356" s="25"/>
      <c r="C1356" s="25"/>
      <c r="D1356" s="25" t="s">
        <v>3555</v>
      </c>
      <c r="E1356" s="25" t="s">
        <v>2820</v>
      </c>
      <c r="F1356" s="25" t="s">
        <v>2828</v>
      </c>
      <c r="G1356" s="25" t="s">
        <v>2829</v>
      </c>
      <c r="H1356" s="25" t="s">
        <v>1348</v>
      </c>
      <c r="I1356" s="25" t="s">
        <v>2728</v>
      </c>
      <c r="J1356" s="25" t="s">
        <v>375</v>
      </c>
    </row>
    <row r="1357" spans="1:12" ht="18" hidden="1" customHeight="1" outlineLevel="2" x14ac:dyDescent="0.2">
      <c r="A1357" s="25"/>
      <c r="B1357" s="25"/>
      <c r="C1357" s="25"/>
      <c r="D1357" s="25" t="s">
        <v>3556</v>
      </c>
      <c r="E1357" s="25" t="s">
        <v>2820</v>
      </c>
      <c r="F1357" s="25" t="s">
        <v>2830</v>
      </c>
      <c r="G1357" s="25" t="s">
        <v>2831</v>
      </c>
      <c r="H1357" s="25" t="s">
        <v>1348</v>
      </c>
      <c r="I1357" s="25" t="s">
        <v>2728</v>
      </c>
      <c r="J1357" s="25" t="s">
        <v>375</v>
      </c>
    </row>
    <row r="1358" spans="1:12" ht="18" hidden="1" customHeight="1" outlineLevel="2" x14ac:dyDescent="0.2">
      <c r="A1358" s="25"/>
      <c r="B1358" s="25"/>
      <c r="C1358" s="25"/>
      <c r="D1358" s="25" t="s">
        <v>3557</v>
      </c>
      <c r="E1358" s="25" t="s">
        <v>2820</v>
      </c>
      <c r="F1358" s="25" t="s">
        <v>2832</v>
      </c>
      <c r="G1358" s="25" t="s">
        <v>2833</v>
      </c>
      <c r="H1358" s="25" t="s">
        <v>1348</v>
      </c>
      <c r="I1358" s="25" t="s">
        <v>2728</v>
      </c>
      <c r="J1358" s="25" t="s">
        <v>375</v>
      </c>
    </row>
    <row r="1359" spans="1:12" ht="18" hidden="1" customHeight="1" outlineLevel="2" x14ac:dyDescent="0.2">
      <c r="A1359" s="25"/>
      <c r="B1359" s="25"/>
      <c r="C1359" s="25"/>
      <c r="D1359" s="25" t="s">
        <v>3558</v>
      </c>
      <c r="E1359" s="25" t="s">
        <v>2820</v>
      </c>
      <c r="F1359" s="25" t="s">
        <v>2834</v>
      </c>
      <c r="G1359" s="25" t="s">
        <v>2835</v>
      </c>
      <c r="H1359" s="25" t="s">
        <v>1348</v>
      </c>
      <c r="I1359" s="25" t="s">
        <v>2728</v>
      </c>
      <c r="J1359" s="25" t="s">
        <v>375</v>
      </c>
    </row>
    <row r="1360" spans="1:12" ht="18" hidden="1" customHeight="1" outlineLevel="2" x14ac:dyDescent="0.2">
      <c r="A1360" s="25"/>
      <c r="B1360" s="25"/>
      <c r="C1360" s="25"/>
      <c r="D1360" s="25" t="s">
        <v>3559</v>
      </c>
      <c r="E1360" s="25" t="s">
        <v>2820</v>
      </c>
      <c r="F1360" s="25" t="s">
        <v>2836</v>
      </c>
      <c r="G1360" s="25" t="s">
        <v>2837</v>
      </c>
      <c r="H1360" s="25" t="s">
        <v>1348</v>
      </c>
      <c r="I1360" s="25" t="s">
        <v>2728</v>
      </c>
      <c r="J1360" s="25" t="s">
        <v>375</v>
      </c>
    </row>
    <row r="1361" spans="1:10" ht="18" hidden="1" customHeight="1" outlineLevel="2" x14ac:dyDescent="0.2">
      <c r="A1361" s="25"/>
      <c r="B1361" s="25"/>
      <c r="C1361" s="25"/>
      <c r="D1361" s="25" t="s">
        <v>3560</v>
      </c>
      <c r="E1361" s="25" t="s">
        <v>2820</v>
      </c>
      <c r="F1361" s="25" t="s">
        <v>2838</v>
      </c>
      <c r="G1361" s="25" t="s">
        <v>2839</v>
      </c>
      <c r="H1361" s="25" t="s">
        <v>1348</v>
      </c>
      <c r="I1361" s="25" t="s">
        <v>2728</v>
      </c>
      <c r="J1361" s="25" t="s">
        <v>375</v>
      </c>
    </row>
    <row r="1362" spans="1:10" ht="18" hidden="1" customHeight="1" outlineLevel="2" x14ac:dyDescent="0.2">
      <c r="A1362" s="25"/>
      <c r="B1362" s="25"/>
      <c r="C1362" s="25"/>
      <c r="D1362" s="25" t="s">
        <v>3561</v>
      </c>
      <c r="E1362" s="25" t="s">
        <v>2820</v>
      </c>
      <c r="F1362" s="25" t="s">
        <v>2840</v>
      </c>
      <c r="G1362" s="25" t="s">
        <v>2841</v>
      </c>
      <c r="H1362" s="25" t="s">
        <v>1348</v>
      </c>
      <c r="I1362" s="25" t="s">
        <v>2728</v>
      </c>
      <c r="J1362" s="25" t="s">
        <v>375</v>
      </c>
    </row>
    <row r="1363" spans="1:10" ht="18" hidden="1" customHeight="1" outlineLevel="2" x14ac:dyDescent="0.2">
      <c r="A1363" s="25"/>
      <c r="B1363" s="25"/>
      <c r="C1363" s="25"/>
      <c r="D1363" s="25" t="s">
        <v>3562</v>
      </c>
      <c r="E1363" s="25" t="s">
        <v>2820</v>
      </c>
      <c r="F1363" s="25" t="s">
        <v>2842</v>
      </c>
      <c r="G1363" s="25" t="s">
        <v>2843</v>
      </c>
      <c r="H1363" s="25" t="s">
        <v>1348</v>
      </c>
      <c r="I1363" s="25" t="s">
        <v>2728</v>
      </c>
      <c r="J1363" s="25" t="s">
        <v>375</v>
      </c>
    </row>
    <row r="1364" spans="1:10" ht="18" hidden="1" customHeight="1" outlineLevel="2" x14ac:dyDescent="0.2">
      <c r="A1364" s="25"/>
      <c r="B1364" s="25"/>
      <c r="C1364" s="25"/>
      <c r="D1364" s="25" t="s">
        <v>3563</v>
      </c>
      <c r="E1364" s="25" t="s">
        <v>2820</v>
      </c>
      <c r="F1364" s="25" t="s">
        <v>2844</v>
      </c>
      <c r="G1364" s="25" t="s">
        <v>2845</v>
      </c>
      <c r="H1364" s="25" t="s">
        <v>1348</v>
      </c>
      <c r="I1364" s="25" t="s">
        <v>2728</v>
      </c>
      <c r="J1364" s="25" t="s">
        <v>375</v>
      </c>
    </row>
    <row r="1365" spans="1:10" ht="18" hidden="1" customHeight="1" outlineLevel="2" x14ac:dyDescent="0.2">
      <c r="A1365" s="25"/>
      <c r="B1365" s="25"/>
      <c r="C1365" s="25"/>
      <c r="D1365" s="25" t="s">
        <v>3564</v>
      </c>
      <c r="E1365" s="25" t="s">
        <v>2820</v>
      </c>
      <c r="F1365" s="25" t="s">
        <v>2846</v>
      </c>
      <c r="G1365" s="25" t="s">
        <v>2847</v>
      </c>
      <c r="H1365" s="25" t="s">
        <v>1348</v>
      </c>
      <c r="I1365" s="25" t="s">
        <v>2728</v>
      </c>
      <c r="J1365" s="25" t="s">
        <v>375</v>
      </c>
    </row>
    <row r="1366" spans="1:10" ht="18" hidden="1" customHeight="1" outlineLevel="2" x14ac:dyDescent="0.2">
      <c r="A1366" s="25"/>
      <c r="B1366" s="25"/>
      <c r="C1366" s="25"/>
      <c r="D1366" s="25" t="s">
        <v>3565</v>
      </c>
      <c r="E1366" s="25" t="s">
        <v>2820</v>
      </c>
      <c r="F1366" s="25" t="s">
        <v>2848</v>
      </c>
      <c r="G1366" s="25" t="s">
        <v>2849</v>
      </c>
      <c r="H1366" s="25" t="s">
        <v>1348</v>
      </c>
      <c r="I1366" s="25" t="s">
        <v>2728</v>
      </c>
      <c r="J1366" s="25" t="s">
        <v>375</v>
      </c>
    </row>
    <row r="1367" spans="1:10" ht="18" hidden="1" customHeight="1" outlineLevel="2" x14ac:dyDescent="0.2">
      <c r="A1367" s="25"/>
      <c r="B1367" s="25"/>
      <c r="C1367" s="25"/>
      <c r="D1367" s="25" t="s">
        <v>3566</v>
      </c>
      <c r="E1367" s="25" t="s">
        <v>2820</v>
      </c>
      <c r="F1367" s="25" t="s">
        <v>2850</v>
      </c>
      <c r="G1367" s="25" t="s">
        <v>2851</v>
      </c>
      <c r="H1367" s="25" t="s">
        <v>1348</v>
      </c>
      <c r="I1367" s="25" t="s">
        <v>2728</v>
      </c>
      <c r="J1367" s="25" t="s">
        <v>375</v>
      </c>
    </row>
    <row r="1368" spans="1:10" ht="18" hidden="1" customHeight="1" outlineLevel="2" x14ac:dyDescent="0.2">
      <c r="A1368" s="25"/>
      <c r="B1368" s="25"/>
      <c r="C1368" s="25"/>
      <c r="D1368" s="25" t="s">
        <v>3567</v>
      </c>
      <c r="E1368" s="25" t="s">
        <v>2820</v>
      </c>
      <c r="F1368" s="25" t="s">
        <v>2852</v>
      </c>
      <c r="G1368" s="25" t="s">
        <v>2853</v>
      </c>
      <c r="H1368" s="25" t="s">
        <v>1348</v>
      </c>
      <c r="I1368" s="25" t="s">
        <v>2728</v>
      </c>
      <c r="J1368" s="25" t="s">
        <v>375</v>
      </c>
    </row>
    <row r="1369" spans="1:10" ht="18" hidden="1" customHeight="1" outlineLevel="2" x14ac:dyDescent="0.2">
      <c r="A1369" s="25"/>
      <c r="B1369" s="25"/>
      <c r="C1369" s="25"/>
      <c r="D1369" s="25" t="s">
        <v>3568</v>
      </c>
      <c r="E1369" s="25" t="s">
        <v>2820</v>
      </c>
      <c r="F1369" s="25" t="s">
        <v>2854</v>
      </c>
      <c r="G1369" s="25" t="s">
        <v>2855</v>
      </c>
      <c r="H1369" s="25" t="s">
        <v>1348</v>
      </c>
      <c r="I1369" s="25" t="s">
        <v>2728</v>
      </c>
      <c r="J1369" s="25" t="s">
        <v>375</v>
      </c>
    </row>
    <row r="1370" spans="1:10" ht="18" hidden="1" customHeight="1" outlineLevel="2" x14ac:dyDescent="0.2">
      <c r="A1370" s="25"/>
      <c r="B1370" s="25"/>
      <c r="C1370" s="25"/>
      <c r="D1370" s="25" t="s">
        <v>3569</v>
      </c>
      <c r="E1370" s="25" t="s">
        <v>2820</v>
      </c>
      <c r="F1370" s="25" t="s">
        <v>2856</v>
      </c>
      <c r="G1370" s="25" t="s">
        <v>2857</v>
      </c>
      <c r="H1370" s="25" t="s">
        <v>1348</v>
      </c>
      <c r="I1370" s="25" t="s">
        <v>2728</v>
      </c>
      <c r="J1370" s="25" t="s">
        <v>375</v>
      </c>
    </row>
    <row r="1371" spans="1:10" ht="18" hidden="1" customHeight="1" outlineLevel="2" x14ac:dyDescent="0.2">
      <c r="A1371" s="25"/>
      <c r="B1371" s="25"/>
      <c r="C1371" s="25"/>
      <c r="D1371" s="25" t="s">
        <v>3570</v>
      </c>
      <c r="E1371" s="25" t="s">
        <v>2820</v>
      </c>
      <c r="F1371" s="25" t="s">
        <v>2858</v>
      </c>
      <c r="G1371" s="25" t="s">
        <v>2859</v>
      </c>
      <c r="H1371" s="25" t="s">
        <v>1348</v>
      </c>
      <c r="I1371" s="25" t="s">
        <v>2728</v>
      </c>
      <c r="J1371" s="25" t="s">
        <v>375</v>
      </c>
    </row>
    <row r="1372" spans="1:10" ht="18" hidden="1" customHeight="1" outlineLevel="2" x14ac:dyDescent="0.2">
      <c r="A1372" s="25"/>
      <c r="B1372" s="25"/>
      <c r="C1372" s="25"/>
      <c r="D1372" s="25" t="s">
        <v>3571</v>
      </c>
      <c r="E1372" s="25" t="s">
        <v>2820</v>
      </c>
      <c r="F1372" s="25" t="s">
        <v>2860</v>
      </c>
      <c r="G1372" s="25" t="s">
        <v>2857</v>
      </c>
      <c r="H1372" s="25" t="s">
        <v>1348</v>
      </c>
      <c r="I1372" s="25" t="s">
        <v>2728</v>
      </c>
      <c r="J1372" s="25" t="s">
        <v>375</v>
      </c>
    </row>
    <row r="1373" spans="1:10" ht="18" hidden="1" customHeight="1" outlineLevel="2" x14ac:dyDescent="0.2">
      <c r="A1373" s="25"/>
      <c r="B1373" s="25"/>
      <c r="C1373" s="25"/>
      <c r="D1373" s="25" t="s">
        <v>3572</v>
      </c>
      <c r="E1373" s="25" t="s">
        <v>2820</v>
      </c>
      <c r="F1373" s="25" t="s">
        <v>2861</v>
      </c>
      <c r="G1373" s="25" t="s">
        <v>2862</v>
      </c>
      <c r="H1373" s="25" t="s">
        <v>1348</v>
      </c>
      <c r="I1373" s="25" t="s">
        <v>2728</v>
      </c>
      <c r="J1373" s="25" t="s">
        <v>375</v>
      </c>
    </row>
    <row r="1374" spans="1:10" ht="18" hidden="1" customHeight="1" outlineLevel="2" x14ac:dyDescent="0.2">
      <c r="A1374" s="25"/>
      <c r="B1374" s="25"/>
      <c r="C1374" s="25"/>
      <c r="D1374" s="25" t="s">
        <v>3573</v>
      </c>
      <c r="E1374" s="25" t="s">
        <v>2820</v>
      </c>
      <c r="F1374" s="25" t="s">
        <v>2863</v>
      </c>
      <c r="G1374" s="25" t="s">
        <v>2864</v>
      </c>
      <c r="H1374" s="25" t="s">
        <v>1348</v>
      </c>
      <c r="I1374" s="25" t="s">
        <v>2728</v>
      </c>
      <c r="J1374" s="25" t="s">
        <v>375</v>
      </c>
    </row>
    <row r="1375" spans="1:10" ht="18" hidden="1" customHeight="1" outlineLevel="2" x14ac:dyDescent="0.2">
      <c r="A1375" s="25"/>
      <c r="B1375" s="25"/>
      <c r="C1375" s="25"/>
      <c r="D1375" s="25" t="s">
        <v>3574</v>
      </c>
      <c r="E1375" s="25" t="s">
        <v>2820</v>
      </c>
      <c r="F1375" s="25" t="s">
        <v>2865</v>
      </c>
      <c r="G1375" s="25" t="s">
        <v>2866</v>
      </c>
      <c r="H1375" s="25" t="s">
        <v>1348</v>
      </c>
      <c r="I1375" s="25" t="s">
        <v>2728</v>
      </c>
      <c r="J1375" s="25" t="s">
        <v>375</v>
      </c>
    </row>
    <row r="1376" spans="1:10" ht="18" hidden="1" customHeight="1" outlineLevel="2" x14ac:dyDescent="0.2">
      <c r="A1376" s="25"/>
      <c r="B1376" s="25"/>
      <c r="C1376" s="25"/>
      <c r="D1376" s="25" t="s">
        <v>3575</v>
      </c>
      <c r="E1376" s="25" t="s">
        <v>2820</v>
      </c>
      <c r="F1376" s="25" t="s">
        <v>2867</v>
      </c>
      <c r="G1376" s="25" t="s">
        <v>2868</v>
      </c>
      <c r="H1376" s="25" t="s">
        <v>1348</v>
      </c>
      <c r="I1376" s="25" t="s">
        <v>2728</v>
      </c>
      <c r="J1376" s="25" t="s">
        <v>375</v>
      </c>
    </row>
    <row r="1377" spans="1:10" ht="18" hidden="1" customHeight="1" outlineLevel="2" x14ac:dyDescent="0.2">
      <c r="A1377" s="25"/>
      <c r="B1377" s="25"/>
      <c r="C1377" s="25"/>
      <c r="D1377" s="25" t="s">
        <v>3576</v>
      </c>
      <c r="E1377" s="25" t="s">
        <v>2820</v>
      </c>
      <c r="F1377" s="25" t="s">
        <v>2869</v>
      </c>
      <c r="G1377" s="25" t="s">
        <v>2870</v>
      </c>
      <c r="H1377" s="25" t="s">
        <v>1348</v>
      </c>
      <c r="I1377" s="25" t="s">
        <v>2728</v>
      </c>
      <c r="J1377" s="25" t="s">
        <v>375</v>
      </c>
    </row>
    <row r="1378" spans="1:10" ht="18" hidden="1" customHeight="1" outlineLevel="2" x14ac:dyDescent="0.2">
      <c r="A1378" s="25"/>
      <c r="B1378" s="25"/>
      <c r="C1378" s="25"/>
      <c r="D1378" s="25" t="s">
        <v>3577</v>
      </c>
      <c r="E1378" s="25" t="s">
        <v>2820</v>
      </c>
      <c r="F1378" s="25" t="s">
        <v>2871</v>
      </c>
      <c r="G1378" s="25" t="s">
        <v>2872</v>
      </c>
      <c r="H1378" s="25" t="s">
        <v>1348</v>
      </c>
      <c r="I1378" s="25" t="s">
        <v>2728</v>
      </c>
      <c r="J1378" s="25" t="s">
        <v>375</v>
      </c>
    </row>
    <row r="1379" spans="1:10" ht="18" hidden="1" customHeight="1" outlineLevel="2" x14ac:dyDescent="0.2">
      <c r="A1379" s="25"/>
      <c r="B1379" s="25"/>
      <c r="C1379" s="25"/>
      <c r="D1379" s="25" t="s">
        <v>3578</v>
      </c>
      <c r="E1379" s="25" t="s">
        <v>2820</v>
      </c>
      <c r="F1379" s="25" t="s">
        <v>2873</v>
      </c>
      <c r="G1379" s="25" t="s">
        <v>2874</v>
      </c>
      <c r="H1379" s="25" t="s">
        <v>1348</v>
      </c>
      <c r="I1379" s="25" t="s">
        <v>2728</v>
      </c>
      <c r="J1379" s="25" t="s">
        <v>375</v>
      </c>
    </row>
    <row r="1380" spans="1:10" ht="18" hidden="1" customHeight="1" outlineLevel="2" x14ac:dyDescent="0.2">
      <c r="A1380" s="25"/>
      <c r="B1380" s="25"/>
      <c r="C1380" s="25"/>
      <c r="D1380" s="25" t="s">
        <v>3579</v>
      </c>
      <c r="E1380" s="25" t="s">
        <v>2820</v>
      </c>
      <c r="F1380" s="25" t="s">
        <v>2875</v>
      </c>
      <c r="G1380" s="25" t="s">
        <v>2876</v>
      </c>
      <c r="H1380" s="25" t="s">
        <v>1348</v>
      </c>
      <c r="I1380" s="25" t="s">
        <v>2728</v>
      </c>
      <c r="J1380" s="25" t="s">
        <v>375</v>
      </c>
    </row>
    <row r="1381" spans="1:10" ht="18" hidden="1" customHeight="1" outlineLevel="2" x14ac:dyDescent="0.2">
      <c r="A1381" s="25"/>
      <c r="B1381" s="25"/>
      <c r="C1381" s="25"/>
      <c r="D1381" s="25" t="s">
        <v>3580</v>
      </c>
      <c r="E1381" s="25" t="s">
        <v>2820</v>
      </c>
      <c r="F1381" s="25" t="s">
        <v>2877</v>
      </c>
      <c r="G1381" s="25" t="s">
        <v>2878</v>
      </c>
      <c r="H1381" s="25" t="s">
        <v>1348</v>
      </c>
      <c r="I1381" s="25" t="s">
        <v>2728</v>
      </c>
      <c r="J1381" s="25" t="s">
        <v>375</v>
      </c>
    </row>
    <row r="1382" spans="1:10" ht="18" hidden="1" customHeight="1" outlineLevel="2" x14ac:dyDescent="0.2">
      <c r="A1382" s="25"/>
      <c r="B1382" s="25"/>
      <c r="C1382" s="25"/>
      <c r="D1382" s="25" t="s">
        <v>3581</v>
      </c>
      <c r="E1382" s="25" t="s">
        <v>2820</v>
      </c>
      <c r="F1382" s="25" t="s">
        <v>2879</v>
      </c>
      <c r="G1382" s="25" t="s">
        <v>2880</v>
      </c>
      <c r="H1382" s="25" t="s">
        <v>1348</v>
      </c>
      <c r="I1382" s="25" t="s">
        <v>2728</v>
      </c>
      <c r="J1382" s="25" t="s">
        <v>375</v>
      </c>
    </row>
    <row r="1383" spans="1:10" ht="18" hidden="1" customHeight="1" outlineLevel="2" x14ac:dyDescent="0.2">
      <c r="A1383" s="25"/>
      <c r="B1383" s="25"/>
      <c r="C1383" s="25"/>
      <c r="D1383" s="25" t="s">
        <v>3582</v>
      </c>
      <c r="E1383" s="25" t="s">
        <v>2820</v>
      </c>
      <c r="F1383" s="25" t="s">
        <v>2881</v>
      </c>
      <c r="G1383" s="25" t="s">
        <v>547</v>
      </c>
      <c r="H1383" s="25" t="s">
        <v>1348</v>
      </c>
      <c r="I1383" s="25" t="s">
        <v>2728</v>
      </c>
      <c r="J1383" s="25" t="s">
        <v>375</v>
      </c>
    </row>
    <row r="1384" spans="1:10" ht="18" hidden="1" customHeight="1" outlineLevel="2" x14ac:dyDescent="0.2">
      <c r="A1384" s="25"/>
      <c r="B1384" s="25"/>
      <c r="C1384" s="25"/>
      <c r="D1384" s="25" t="s">
        <v>3583</v>
      </c>
      <c r="E1384" s="25" t="s">
        <v>2820</v>
      </c>
      <c r="F1384" s="25" t="s">
        <v>2882</v>
      </c>
      <c r="G1384" s="25" t="s">
        <v>2883</v>
      </c>
      <c r="H1384" s="25" t="s">
        <v>1348</v>
      </c>
      <c r="I1384" s="25" t="s">
        <v>2728</v>
      </c>
      <c r="J1384" s="25" t="s">
        <v>375</v>
      </c>
    </row>
    <row r="1385" spans="1:10" ht="18" hidden="1" customHeight="1" outlineLevel="2" x14ac:dyDescent="0.2">
      <c r="A1385" s="25"/>
      <c r="B1385" s="25"/>
      <c r="C1385" s="25"/>
      <c r="D1385" s="25" t="s">
        <v>3584</v>
      </c>
      <c r="E1385" s="25" t="s">
        <v>2820</v>
      </c>
      <c r="F1385" s="25" t="s">
        <v>2884</v>
      </c>
      <c r="G1385" s="25" t="s">
        <v>2885</v>
      </c>
      <c r="H1385" s="25" t="s">
        <v>1348</v>
      </c>
      <c r="I1385" s="25" t="s">
        <v>2728</v>
      </c>
      <c r="J1385" s="25" t="s">
        <v>375</v>
      </c>
    </row>
    <row r="1386" spans="1:10" ht="18" hidden="1" customHeight="1" outlineLevel="2" x14ac:dyDescent="0.2">
      <c r="A1386" s="25"/>
      <c r="B1386" s="25"/>
      <c r="C1386" s="25"/>
      <c r="D1386" s="25" t="s">
        <v>3585</v>
      </c>
      <c r="E1386" s="25" t="s">
        <v>2820</v>
      </c>
      <c r="F1386" s="25" t="s">
        <v>2886</v>
      </c>
      <c r="G1386" s="25" t="s">
        <v>2887</v>
      </c>
      <c r="H1386" s="25" t="s">
        <v>1348</v>
      </c>
      <c r="I1386" s="25" t="s">
        <v>2728</v>
      </c>
      <c r="J1386" s="25" t="s">
        <v>375</v>
      </c>
    </row>
    <row r="1387" spans="1:10" ht="18" hidden="1" customHeight="1" outlineLevel="2" x14ac:dyDescent="0.2">
      <c r="A1387" s="25"/>
      <c r="B1387" s="25"/>
      <c r="C1387" s="25"/>
      <c r="D1387" s="25" t="s">
        <v>3586</v>
      </c>
      <c r="E1387" s="25" t="s">
        <v>2820</v>
      </c>
      <c r="F1387" s="25" t="s">
        <v>2888</v>
      </c>
      <c r="G1387" s="25" t="s">
        <v>547</v>
      </c>
      <c r="H1387" s="25" t="s">
        <v>1348</v>
      </c>
      <c r="I1387" s="25" t="s">
        <v>2728</v>
      </c>
      <c r="J1387" s="25" t="s">
        <v>375</v>
      </c>
    </row>
    <row r="1388" spans="1:10" ht="18" hidden="1" customHeight="1" outlineLevel="2" x14ac:dyDescent="0.2">
      <c r="A1388" s="25"/>
      <c r="B1388" s="25"/>
      <c r="C1388" s="25"/>
      <c r="D1388" s="25" t="s">
        <v>3586</v>
      </c>
      <c r="E1388" s="25" t="s">
        <v>2820</v>
      </c>
      <c r="F1388" s="25" t="s">
        <v>2889</v>
      </c>
      <c r="G1388" s="25" t="s">
        <v>547</v>
      </c>
      <c r="H1388" s="25" t="s">
        <v>1348</v>
      </c>
      <c r="I1388" s="25" t="s">
        <v>2728</v>
      </c>
      <c r="J1388" s="25" t="s">
        <v>375</v>
      </c>
    </row>
    <row r="1389" spans="1:10" ht="18" hidden="1" customHeight="1" outlineLevel="2" x14ac:dyDescent="0.2">
      <c r="A1389" s="25"/>
      <c r="B1389" s="25"/>
      <c r="C1389" s="25"/>
      <c r="D1389" s="25" t="s">
        <v>3586</v>
      </c>
      <c r="E1389" s="25" t="s">
        <v>2820</v>
      </c>
      <c r="F1389" s="25" t="s">
        <v>2890</v>
      </c>
      <c r="G1389" s="25" t="s">
        <v>2891</v>
      </c>
      <c r="H1389" s="25" t="s">
        <v>1348</v>
      </c>
      <c r="I1389" s="25" t="s">
        <v>2728</v>
      </c>
      <c r="J1389" s="25" t="s">
        <v>375</v>
      </c>
    </row>
    <row r="1390" spans="1:10" ht="18" hidden="1" customHeight="1" outlineLevel="2" x14ac:dyDescent="0.2">
      <c r="A1390" s="25"/>
      <c r="B1390" s="25"/>
      <c r="C1390" s="25"/>
      <c r="D1390" s="25" t="s">
        <v>352</v>
      </c>
      <c r="E1390" s="25" t="s">
        <v>2820</v>
      </c>
      <c r="F1390" s="25" t="s">
        <v>2892</v>
      </c>
      <c r="G1390" s="25" t="s">
        <v>547</v>
      </c>
      <c r="H1390" s="25" t="s">
        <v>1348</v>
      </c>
      <c r="I1390" s="25" t="s">
        <v>2728</v>
      </c>
      <c r="J1390" s="25" t="s">
        <v>375</v>
      </c>
    </row>
    <row r="1391" spans="1:10" ht="18" hidden="1" customHeight="1" outlineLevel="2" x14ac:dyDescent="0.2">
      <c r="A1391" s="25"/>
      <c r="B1391" s="25"/>
      <c r="C1391" s="25"/>
      <c r="D1391" s="25" t="s">
        <v>352</v>
      </c>
      <c r="E1391" s="25" t="s">
        <v>2820</v>
      </c>
      <c r="F1391" s="25" t="s">
        <v>2893</v>
      </c>
      <c r="G1391" s="25" t="s">
        <v>547</v>
      </c>
      <c r="H1391" s="25" t="s">
        <v>1348</v>
      </c>
      <c r="I1391" s="25" t="s">
        <v>2728</v>
      </c>
      <c r="J1391" s="25" t="s">
        <v>375</v>
      </c>
    </row>
    <row r="1392" spans="1:10" ht="18" hidden="1" customHeight="1" outlineLevel="2" x14ac:dyDescent="0.2">
      <c r="A1392" s="25"/>
      <c r="B1392" s="25"/>
      <c r="C1392" s="25"/>
      <c r="D1392" s="25" t="s">
        <v>3587</v>
      </c>
      <c r="E1392" s="25" t="s">
        <v>2820</v>
      </c>
      <c r="F1392" s="25" t="s">
        <v>2894</v>
      </c>
      <c r="G1392" s="25" t="s">
        <v>547</v>
      </c>
      <c r="H1392" s="25" t="s">
        <v>1348</v>
      </c>
      <c r="I1392" s="25" t="s">
        <v>2728</v>
      </c>
      <c r="J1392" s="25" t="s">
        <v>375</v>
      </c>
    </row>
    <row r="1393" spans="1:10" ht="18" hidden="1" customHeight="1" outlineLevel="2" x14ac:dyDescent="0.2">
      <c r="A1393" s="25"/>
      <c r="B1393" s="25"/>
      <c r="C1393" s="25"/>
      <c r="D1393" s="25" t="s">
        <v>3588</v>
      </c>
      <c r="E1393" s="25" t="s">
        <v>2820</v>
      </c>
      <c r="F1393" s="25" t="s">
        <v>2895</v>
      </c>
      <c r="G1393" s="25" t="s">
        <v>547</v>
      </c>
      <c r="H1393" s="25" t="s">
        <v>1348</v>
      </c>
      <c r="I1393" s="25" t="s">
        <v>2728</v>
      </c>
      <c r="J1393" s="25" t="s">
        <v>375</v>
      </c>
    </row>
    <row r="1394" spans="1:10" ht="18" hidden="1" customHeight="1" outlineLevel="2" x14ac:dyDescent="0.2">
      <c r="A1394" s="25"/>
      <c r="B1394" s="25"/>
      <c r="C1394" s="25"/>
      <c r="D1394" s="25"/>
      <c r="E1394" s="25"/>
      <c r="F1394" s="25"/>
      <c r="G1394" s="25"/>
      <c r="H1394" s="25"/>
      <c r="I1394" s="25"/>
    </row>
    <row r="1395" spans="1:10" ht="18" hidden="1" customHeight="1" outlineLevel="2" x14ac:dyDescent="0.2">
      <c r="A1395" s="25"/>
      <c r="B1395" s="25"/>
      <c r="C1395" s="25"/>
      <c r="D1395" s="25" t="s">
        <v>352</v>
      </c>
      <c r="E1395" s="25" t="s">
        <v>2911</v>
      </c>
      <c r="F1395" s="25" t="s">
        <v>2821</v>
      </c>
      <c r="G1395" s="25" t="s">
        <v>2912</v>
      </c>
      <c r="H1395" s="25" t="s">
        <v>1348</v>
      </c>
      <c r="I1395" s="25" t="s">
        <v>2728</v>
      </c>
      <c r="J1395" s="25" t="s">
        <v>375</v>
      </c>
    </row>
    <row r="1396" spans="1:10" ht="18" hidden="1" customHeight="1" outlineLevel="2" x14ac:dyDescent="0.2">
      <c r="A1396" s="25"/>
      <c r="B1396" s="25"/>
      <c r="C1396" s="25"/>
      <c r="D1396" s="25" t="s">
        <v>352</v>
      </c>
      <c r="E1396" s="25" t="s">
        <v>2911</v>
      </c>
      <c r="F1396" s="25" t="s">
        <v>2823</v>
      </c>
      <c r="G1396" s="25" t="s">
        <v>2913</v>
      </c>
      <c r="H1396" s="25" t="s">
        <v>1348</v>
      </c>
      <c r="I1396" s="25" t="s">
        <v>2728</v>
      </c>
      <c r="J1396" s="25" t="s">
        <v>375</v>
      </c>
    </row>
    <row r="1397" spans="1:10" ht="18" hidden="1" customHeight="1" outlineLevel="2" x14ac:dyDescent="0.2">
      <c r="A1397" s="25"/>
      <c r="B1397" s="25"/>
      <c r="C1397" s="25"/>
      <c r="D1397" s="25" t="s">
        <v>3603</v>
      </c>
      <c r="E1397" s="25" t="s">
        <v>2911</v>
      </c>
      <c r="F1397" s="25" t="s">
        <v>2825</v>
      </c>
      <c r="G1397" s="25" t="s">
        <v>2914</v>
      </c>
      <c r="H1397" s="25" t="s">
        <v>1348</v>
      </c>
      <c r="I1397" s="25" t="s">
        <v>2728</v>
      </c>
      <c r="J1397" s="25" t="s">
        <v>375</v>
      </c>
    </row>
    <row r="1398" spans="1:10" ht="18" hidden="1" customHeight="1" outlineLevel="2" x14ac:dyDescent="0.2">
      <c r="A1398" s="25"/>
      <c r="B1398" s="25"/>
      <c r="C1398" s="25"/>
      <c r="D1398" s="25" t="s">
        <v>3604</v>
      </c>
      <c r="E1398" s="25" t="s">
        <v>2911</v>
      </c>
      <c r="F1398" s="25" t="s">
        <v>2827</v>
      </c>
      <c r="G1398" s="25" t="s">
        <v>547</v>
      </c>
      <c r="H1398" s="25" t="s">
        <v>1348</v>
      </c>
      <c r="I1398" s="25" t="s">
        <v>2728</v>
      </c>
      <c r="J1398" s="25" t="s">
        <v>375</v>
      </c>
    </row>
    <row r="1399" spans="1:10" ht="18" hidden="1" customHeight="1" outlineLevel="2" x14ac:dyDescent="0.2">
      <c r="A1399" s="25"/>
      <c r="B1399" s="25"/>
      <c r="C1399" s="25"/>
      <c r="D1399" s="25" t="s">
        <v>3605</v>
      </c>
      <c r="E1399" s="25" t="s">
        <v>2911</v>
      </c>
      <c r="F1399" s="25" t="s">
        <v>2828</v>
      </c>
      <c r="G1399" s="25" t="s">
        <v>2915</v>
      </c>
      <c r="H1399" s="25" t="s">
        <v>1348</v>
      </c>
      <c r="I1399" s="25" t="s">
        <v>2728</v>
      </c>
      <c r="J1399" s="25" t="s">
        <v>375</v>
      </c>
    </row>
    <row r="1400" spans="1:10" ht="18" hidden="1" customHeight="1" outlineLevel="2" x14ac:dyDescent="0.2">
      <c r="A1400" s="25"/>
      <c r="B1400" s="25"/>
      <c r="C1400" s="25"/>
      <c r="D1400" s="25" t="s">
        <v>3606</v>
      </c>
      <c r="E1400" s="25" t="s">
        <v>2911</v>
      </c>
      <c r="F1400" s="25" t="s">
        <v>2830</v>
      </c>
      <c r="G1400" s="25" t="s">
        <v>2916</v>
      </c>
      <c r="H1400" s="25" t="s">
        <v>1348</v>
      </c>
      <c r="I1400" s="25" t="s">
        <v>2728</v>
      </c>
      <c r="J1400" s="25" t="s">
        <v>375</v>
      </c>
    </row>
    <row r="1401" spans="1:10" ht="18" hidden="1" customHeight="1" outlineLevel="2" x14ac:dyDescent="0.2">
      <c r="A1401" s="25"/>
      <c r="B1401" s="25"/>
      <c r="C1401" s="25"/>
      <c r="D1401" s="25" t="s">
        <v>3607</v>
      </c>
      <c r="E1401" s="25" t="s">
        <v>2911</v>
      </c>
      <c r="F1401" s="25" t="s">
        <v>2832</v>
      </c>
      <c r="G1401" s="25" t="s">
        <v>2917</v>
      </c>
      <c r="H1401" s="25" t="s">
        <v>1348</v>
      </c>
      <c r="I1401" s="25" t="s">
        <v>2728</v>
      </c>
      <c r="J1401" s="25" t="s">
        <v>375</v>
      </c>
    </row>
    <row r="1402" spans="1:10" ht="18" hidden="1" customHeight="1" outlineLevel="2" x14ac:dyDescent="0.2">
      <c r="A1402" s="25"/>
      <c r="B1402" s="25"/>
      <c r="C1402" s="25"/>
      <c r="D1402" s="25" t="s">
        <v>3608</v>
      </c>
      <c r="E1402" s="25" t="s">
        <v>2911</v>
      </c>
      <c r="F1402" s="25" t="s">
        <v>2834</v>
      </c>
      <c r="G1402" s="25" t="s">
        <v>2918</v>
      </c>
      <c r="H1402" s="25" t="s">
        <v>1348</v>
      </c>
      <c r="I1402" s="25" t="s">
        <v>2728</v>
      </c>
      <c r="J1402" s="25" t="s">
        <v>375</v>
      </c>
    </row>
    <row r="1403" spans="1:10" ht="18" hidden="1" customHeight="1" outlineLevel="2" x14ac:dyDescent="0.2">
      <c r="A1403" s="25"/>
      <c r="B1403" s="25"/>
      <c r="C1403" s="25"/>
      <c r="D1403" s="25" t="s">
        <v>3609</v>
      </c>
      <c r="E1403" s="25" t="s">
        <v>2911</v>
      </c>
      <c r="F1403" s="25" t="s">
        <v>2836</v>
      </c>
      <c r="G1403" s="25" t="s">
        <v>2919</v>
      </c>
      <c r="H1403" s="25" t="s">
        <v>1348</v>
      </c>
      <c r="I1403" s="25" t="s">
        <v>2728</v>
      </c>
      <c r="J1403" s="25" t="s">
        <v>375</v>
      </c>
    </row>
    <row r="1404" spans="1:10" ht="18" hidden="1" customHeight="1" outlineLevel="2" x14ac:dyDescent="0.2">
      <c r="A1404" s="25"/>
      <c r="B1404" s="25"/>
      <c r="C1404" s="25"/>
      <c r="D1404" s="25" t="s">
        <v>3610</v>
      </c>
      <c r="E1404" s="25" t="s">
        <v>2911</v>
      </c>
      <c r="F1404" s="25" t="s">
        <v>2838</v>
      </c>
      <c r="G1404" s="25" t="s">
        <v>2920</v>
      </c>
      <c r="H1404" s="25" t="s">
        <v>1348</v>
      </c>
      <c r="I1404" s="25" t="s">
        <v>2728</v>
      </c>
      <c r="J1404" s="25" t="s">
        <v>375</v>
      </c>
    </row>
    <row r="1405" spans="1:10" ht="18" hidden="1" customHeight="1" outlineLevel="2" x14ac:dyDescent="0.2">
      <c r="A1405" s="25"/>
      <c r="B1405" s="25"/>
      <c r="C1405" s="25"/>
      <c r="D1405" s="25" t="s">
        <v>3611</v>
      </c>
      <c r="E1405" s="25" t="s">
        <v>2911</v>
      </c>
      <c r="F1405" s="25" t="s">
        <v>2840</v>
      </c>
      <c r="G1405" s="25" t="s">
        <v>2921</v>
      </c>
      <c r="H1405" s="25" t="s">
        <v>1348</v>
      </c>
      <c r="I1405" s="25" t="s">
        <v>2728</v>
      </c>
      <c r="J1405" s="25" t="s">
        <v>375</v>
      </c>
    </row>
    <row r="1406" spans="1:10" ht="18" hidden="1" customHeight="1" outlineLevel="2" x14ac:dyDescent="0.2">
      <c r="A1406" s="25"/>
      <c r="B1406" s="25"/>
      <c r="C1406" s="25"/>
      <c r="D1406" s="25" t="s">
        <v>3612</v>
      </c>
      <c r="E1406" s="25" t="s">
        <v>2911</v>
      </c>
      <c r="F1406" s="25" t="s">
        <v>2842</v>
      </c>
      <c r="G1406" s="25" t="s">
        <v>2922</v>
      </c>
      <c r="H1406" s="25" t="s">
        <v>1348</v>
      </c>
      <c r="I1406" s="25" t="s">
        <v>2728</v>
      </c>
      <c r="J1406" s="25" t="s">
        <v>375</v>
      </c>
    </row>
    <row r="1407" spans="1:10" ht="18" hidden="1" customHeight="1" outlineLevel="2" x14ac:dyDescent="0.2">
      <c r="A1407" s="25"/>
      <c r="B1407" s="25"/>
      <c r="C1407" s="25"/>
      <c r="D1407" s="25" t="s">
        <v>3613</v>
      </c>
      <c r="E1407" s="25" t="s">
        <v>2911</v>
      </c>
      <c r="F1407" s="25" t="s">
        <v>2844</v>
      </c>
      <c r="G1407" s="25" t="s">
        <v>2923</v>
      </c>
      <c r="H1407" s="25" t="s">
        <v>1348</v>
      </c>
      <c r="I1407" s="25" t="s">
        <v>2728</v>
      </c>
      <c r="J1407" s="25" t="s">
        <v>375</v>
      </c>
    </row>
    <row r="1408" spans="1:10" ht="18" hidden="1" customHeight="1" outlineLevel="2" x14ac:dyDescent="0.2">
      <c r="A1408" s="25"/>
      <c r="B1408" s="25"/>
      <c r="C1408" s="25"/>
      <c r="D1408" s="25" t="s">
        <v>3614</v>
      </c>
      <c r="E1408" s="25" t="s">
        <v>2911</v>
      </c>
      <c r="F1408" s="25" t="s">
        <v>2846</v>
      </c>
      <c r="G1408" s="25" t="s">
        <v>2924</v>
      </c>
      <c r="H1408" s="25" t="s">
        <v>1348</v>
      </c>
      <c r="I1408" s="25" t="s">
        <v>2728</v>
      </c>
      <c r="J1408" s="25" t="s">
        <v>375</v>
      </c>
    </row>
    <row r="1409" spans="1:10" ht="18" hidden="1" customHeight="1" outlineLevel="2" x14ac:dyDescent="0.2">
      <c r="A1409" s="25"/>
      <c r="B1409" s="25"/>
      <c r="C1409" s="25"/>
      <c r="D1409" s="25" t="s">
        <v>3615</v>
      </c>
      <c r="E1409" s="25" t="s">
        <v>2911</v>
      </c>
      <c r="F1409" s="25" t="s">
        <v>2848</v>
      </c>
      <c r="G1409" s="25" t="s">
        <v>2925</v>
      </c>
      <c r="H1409" s="25" t="s">
        <v>1348</v>
      </c>
      <c r="I1409" s="25" t="s">
        <v>2728</v>
      </c>
      <c r="J1409" s="25" t="s">
        <v>375</v>
      </c>
    </row>
    <row r="1410" spans="1:10" ht="18" hidden="1" customHeight="1" outlineLevel="2" x14ac:dyDescent="0.2">
      <c r="A1410" s="25"/>
      <c r="B1410" s="25"/>
      <c r="C1410" s="25"/>
      <c r="D1410" s="25" t="s">
        <v>3616</v>
      </c>
      <c r="E1410" s="25" t="s">
        <v>2911</v>
      </c>
      <c r="F1410" s="25" t="s">
        <v>2850</v>
      </c>
      <c r="G1410" s="25" t="s">
        <v>2926</v>
      </c>
      <c r="H1410" s="25" t="s">
        <v>1348</v>
      </c>
      <c r="I1410" s="25" t="s">
        <v>2728</v>
      </c>
      <c r="J1410" s="25" t="s">
        <v>375</v>
      </c>
    </row>
    <row r="1411" spans="1:10" ht="18" hidden="1" customHeight="1" outlineLevel="2" x14ac:dyDescent="0.2">
      <c r="A1411" s="25"/>
      <c r="B1411" s="25"/>
      <c r="C1411" s="25"/>
      <c r="D1411" s="25" t="s">
        <v>3617</v>
      </c>
      <c r="E1411" s="25" t="s">
        <v>2911</v>
      </c>
      <c r="F1411" s="25" t="s">
        <v>2852</v>
      </c>
      <c r="G1411" s="25" t="s">
        <v>2927</v>
      </c>
      <c r="H1411" s="25" t="s">
        <v>1348</v>
      </c>
      <c r="I1411" s="25" t="s">
        <v>2728</v>
      </c>
      <c r="J1411" s="25" t="s">
        <v>375</v>
      </c>
    </row>
    <row r="1412" spans="1:10" ht="18" hidden="1" customHeight="1" outlineLevel="2" x14ac:dyDescent="0.2">
      <c r="A1412" s="25"/>
      <c r="B1412" s="25"/>
      <c r="C1412" s="25"/>
      <c r="D1412" s="25" t="s">
        <v>3618</v>
      </c>
      <c r="E1412" s="25" t="s">
        <v>2911</v>
      </c>
      <c r="F1412" s="25" t="s">
        <v>2854</v>
      </c>
      <c r="G1412" s="25" t="s">
        <v>2928</v>
      </c>
      <c r="H1412" s="25" t="s">
        <v>1348</v>
      </c>
      <c r="I1412" s="25" t="s">
        <v>2728</v>
      </c>
      <c r="J1412" s="25" t="s">
        <v>375</v>
      </c>
    </row>
    <row r="1413" spans="1:10" ht="18" hidden="1" customHeight="1" outlineLevel="2" x14ac:dyDescent="0.2">
      <c r="A1413" s="25"/>
      <c r="B1413" s="25"/>
      <c r="C1413" s="25"/>
      <c r="D1413" s="25" t="s">
        <v>3619</v>
      </c>
      <c r="E1413" s="25" t="s">
        <v>2911</v>
      </c>
      <c r="F1413" s="25" t="s">
        <v>2856</v>
      </c>
      <c r="G1413" s="25" t="s">
        <v>2929</v>
      </c>
      <c r="H1413" s="25" t="s">
        <v>1348</v>
      </c>
      <c r="I1413" s="25" t="s">
        <v>2728</v>
      </c>
      <c r="J1413" s="25" t="s">
        <v>375</v>
      </c>
    </row>
    <row r="1414" spans="1:10" ht="18" hidden="1" customHeight="1" outlineLevel="2" x14ac:dyDescent="0.2">
      <c r="A1414" s="25"/>
      <c r="B1414" s="25"/>
      <c r="C1414" s="25"/>
      <c r="D1414" s="25" t="s">
        <v>3620</v>
      </c>
      <c r="E1414" s="25" t="s">
        <v>2911</v>
      </c>
      <c r="F1414" s="25" t="s">
        <v>2858</v>
      </c>
      <c r="G1414" s="25" t="s">
        <v>2930</v>
      </c>
      <c r="H1414" s="25" t="s">
        <v>1348</v>
      </c>
      <c r="I1414" s="25" t="s">
        <v>2728</v>
      </c>
      <c r="J1414" s="25" t="s">
        <v>375</v>
      </c>
    </row>
    <row r="1415" spans="1:10" ht="18" hidden="1" customHeight="1" outlineLevel="2" x14ac:dyDescent="0.2">
      <c r="A1415" s="25"/>
      <c r="B1415" s="25"/>
      <c r="C1415" s="25"/>
      <c r="D1415" s="25" t="s">
        <v>3621</v>
      </c>
      <c r="E1415" s="25" t="s">
        <v>2911</v>
      </c>
      <c r="F1415" s="25" t="s">
        <v>2860</v>
      </c>
      <c r="G1415" s="25" t="s">
        <v>2931</v>
      </c>
      <c r="H1415" s="25" t="s">
        <v>1348</v>
      </c>
      <c r="I1415" s="25" t="s">
        <v>2728</v>
      </c>
      <c r="J1415" s="25" t="s">
        <v>375</v>
      </c>
    </row>
    <row r="1416" spans="1:10" ht="18" hidden="1" customHeight="1" outlineLevel="2" x14ac:dyDescent="0.2">
      <c r="A1416" s="25"/>
      <c r="B1416" s="25"/>
      <c r="C1416" s="25"/>
      <c r="D1416" s="25" t="s">
        <v>3622</v>
      </c>
      <c r="E1416" s="25" t="s">
        <v>2911</v>
      </c>
      <c r="F1416" s="25" t="s">
        <v>2861</v>
      </c>
      <c r="G1416" s="25" t="s">
        <v>2932</v>
      </c>
      <c r="H1416" s="25" t="s">
        <v>1348</v>
      </c>
      <c r="I1416" s="25" t="s">
        <v>2728</v>
      </c>
      <c r="J1416" s="25" t="s">
        <v>375</v>
      </c>
    </row>
    <row r="1417" spans="1:10" ht="18" hidden="1" customHeight="1" outlineLevel="2" x14ac:dyDescent="0.2">
      <c r="A1417" s="25"/>
      <c r="B1417" s="25"/>
      <c r="C1417" s="25"/>
      <c r="D1417" s="25" t="s">
        <v>3623</v>
      </c>
      <c r="E1417" s="25" t="s">
        <v>2911</v>
      </c>
      <c r="F1417" s="25" t="s">
        <v>2863</v>
      </c>
      <c r="G1417" s="25" t="s">
        <v>2933</v>
      </c>
      <c r="H1417" s="25" t="s">
        <v>1348</v>
      </c>
      <c r="I1417" s="25" t="s">
        <v>2728</v>
      </c>
      <c r="J1417" s="25" t="s">
        <v>375</v>
      </c>
    </row>
    <row r="1418" spans="1:10" ht="18" hidden="1" customHeight="1" outlineLevel="2" x14ac:dyDescent="0.2">
      <c r="A1418" s="25"/>
      <c r="B1418" s="25"/>
      <c r="C1418" s="25"/>
      <c r="D1418" s="25" t="s">
        <v>3624</v>
      </c>
      <c r="E1418" s="25" t="s">
        <v>2911</v>
      </c>
      <c r="F1418" s="25" t="s">
        <v>2865</v>
      </c>
      <c r="G1418" s="25" t="s">
        <v>2934</v>
      </c>
      <c r="H1418" s="25" t="s">
        <v>1348</v>
      </c>
      <c r="I1418" s="25" t="s">
        <v>2728</v>
      </c>
      <c r="J1418" s="25" t="s">
        <v>375</v>
      </c>
    </row>
    <row r="1419" spans="1:10" ht="18" hidden="1" customHeight="1" outlineLevel="2" x14ac:dyDescent="0.2">
      <c r="A1419" s="25"/>
      <c r="B1419" s="25"/>
      <c r="C1419" s="25"/>
      <c r="D1419" s="25" t="s">
        <v>3625</v>
      </c>
      <c r="E1419" s="25" t="s">
        <v>2911</v>
      </c>
      <c r="F1419" s="25" t="s">
        <v>2867</v>
      </c>
      <c r="G1419" s="25" t="s">
        <v>2935</v>
      </c>
      <c r="H1419" s="25" t="s">
        <v>1348</v>
      </c>
      <c r="I1419" s="25" t="s">
        <v>2728</v>
      </c>
      <c r="J1419" s="25" t="s">
        <v>375</v>
      </c>
    </row>
    <row r="1420" spans="1:10" ht="18" hidden="1" customHeight="1" outlineLevel="2" x14ac:dyDescent="0.2">
      <c r="A1420" s="25"/>
      <c r="B1420" s="25"/>
      <c r="C1420" s="25"/>
      <c r="D1420" s="25" t="s">
        <v>3626</v>
      </c>
      <c r="E1420" s="25" t="s">
        <v>2911</v>
      </c>
      <c r="F1420" s="25" t="s">
        <v>2869</v>
      </c>
      <c r="G1420" s="25" t="s">
        <v>2936</v>
      </c>
      <c r="H1420" s="25" t="s">
        <v>1348</v>
      </c>
      <c r="I1420" s="25" t="s">
        <v>2728</v>
      </c>
      <c r="J1420" s="25" t="s">
        <v>375</v>
      </c>
    </row>
    <row r="1421" spans="1:10" ht="18" hidden="1" customHeight="1" outlineLevel="2" x14ac:dyDescent="0.2">
      <c r="A1421" s="25"/>
      <c r="B1421" s="25"/>
      <c r="C1421" s="25"/>
      <c r="D1421" s="25" t="s">
        <v>3627</v>
      </c>
      <c r="E1421" s="25" t="s">
        <v>2911</v>
      </c>
      <c r="F1421" s="25" t="s">
        <v>2871</v>
      </c>
      <c r="G1421" s="25" t="s">
        <v>2937</v>
      </c>
      <c r="H1421" s="25" t="s">
        <v>1348</v>
      </c>
      <c r="I1421" s="25" t="s">
        <v>2728</v>
      </c>
      <c r="J1421" s="25" t="s">
        <v>375</v>
      </c>
    </row>
    <row r="1422" spans="1:10" ht="18" hidden="1" customHeight="1" outlineLevel="2" x14ac:dyDescent="0.2">
      <c r="A1422" s="25"/>
      <c r="B1422" s="25"/>
      <c r="C1422" s="25"/>
      <c r="D1422" s="25" t="s">
        <v>3628</v>
      </c>
      <c r="E1422" s="25" t="s">
        <v>2911</v>
      </c>
      <c r="F1422" s="25" t="s">
        <v>2873</v>
      </c>
      <c r="G1422" s="25" t="s">
        <v>2938</v>
      </c>
      <c r="H1422" s="25" t="s">
        <v>1348</v>
      </c>
      <c r="I1422" s="25" t="s">
        <v>2728</v>
      </c>
      <c r="J1422" s="25" t="s">
        <v>375</v>
      </c>
    </row>
    <row r="1423" spans="1:10" ht="18" hidden="1" customHeight="1" outlineLevel="2" x14ac:dyDescent="0.2">
      <c r="A1423" s="25"/>
      <c r="B1423" s="25"/>
      <c r="C1423" s="25"/>
      <c r="D1423" s="25" t="s">
        <v>3629</v>
      </c>
      <c r="E1423" s="25" t="s">
        <v>2911</v>
      </c>
      <c r="F1423" s="25" t="s">
        <v>2875</v>
      </c>
      <c r="G1423" s="25" t="s">
        <v>2939</v>
      </c>
      <c r="H1423" s="25" t="s">
        <v>1348</v>
      </c>
      <c r="I1423" s="25" t="s">
        <v>2728</v>
      </c>
      <c r="J1423" s="25" t="s">
        <v>375</v>
      </c>
    </row>
    <row r="1424" spans="1:10" ht="18" hidden="1" customHeight="1" outlineLevel="2" x14ac:dyDescent="0.2">
      <c r="A1424" s="25"/>
      <c r="B1424" s="25"/>
      <c r="C1424" s="25"/>
      <c r="D1424" s="25" t="s">
        <v>3630</v>
      </c>
      <c r="E1424" s="25" t="s">
        <v>2911</v>
      </c>
      <c r="F1424" s="25" t="s">
        <v>2877</v>
      </c>
      <c r="G1424" s="25" t="s">
        <v>2940</v>
      </c>
      <c r="H1424" s="25" t="s">
        <v>1348</v>
      </c>
      <c r="I1424" s="25" t="s">
        <v>2728</v>
      </c>
      <c r="J1424" s="25" t="s">
        <v>375</v>
      </c>
    </row>
    <row r="1425" spans="1:12" ht="18" hidden="1" customHeight="1" outlineLevel="2" x14ac:dyDescent="0.2">
      <c r="A1425" s="25"/>
      <c r="B1425" s="25"/>
      <c r="C1425" s="25"/>
      <c r="D1425" s="25" t="s">
        <v>3631</v>
      </c>
      <c r="E1425" s="25" t="s">
        <v>2911</v>
      </c>
      <c r="F1425" s="25" t="s">
        <v>2879</v>
      </c>
      <c r="G1425" s="25" t="s">
        <v>2941</v>
      </c>
      <c r="H1425" s="25" t="s">
        <v>1348</v>
      </c>
      <c r="I1425" s="25" t="s">
        <v>2728</v>
      </c>
      <c r="J1425" s="25" t="s">
        <v>375</v>
      </c>
    </row>
    <row r="1426" spans="1:12" ht="18" hidden="1" customHeight="1" outlineLevel="2" x14ac:dyDescent="0.2">
      <c r="A1426" s="25"/>
      <c r="B1426" s="25"/>
      <c r="C1426" s="25"/>
      <c r="D1426" s="25" t="s">
        <v>3632</v>
      </c>
      <c r="E1426" s="25" t="s">
        <v>2911</v>
      </c>
      <c r="F1426" s="25" t="s">
        <v>2881</v>
      </c>
      <c r="G1426" s="25" t="s">
        <v>547</v>
      </c>
      <c r="H1426" s="25" t="s">
        <v>1348</v>
      </c>
      <c r="I1426" s="25" t="s">
        <v>2728</v>
      </c>
      <c r="J1426" s="25" t="s">
        <v>375</v>
      </c>
    </row>
    <row r="1427" spans="1:12" ht="18" hidden="1" customHeight="1" outlineLevel="2" x14ac:dyDescent="0.2">
      <c r="A1427" s="25"/>
      <c r="B1427" s="25"/>
      <c r="C1427" s="25"/>
      <c r="D1427" s="25" t="s">
        <v>3633</v>
      </c>
      <c r="E1427" s="25" t="s">
        <v>2911</v>
      </c>
      <c r="F1427" s="25" t="s">
        <v>2882</v>
      </c>
      <c r="G1427" s="25" t="s">
        <v>2942</v>
      </c>
      <c r="H1427" s="25" t="s">
        <v>1348</v>
      </c>
      <c r="I1427" s="25" t="s">
        <v>2728</v>
      </c>
      <c r="J1427" s="25" t="s">
        <v>375</v>
      </c>
    </row>
    <row r="1428" spans="1:12" ht="18" hidden="1" customHeight="1" outlineLevel="2" x14ac:dyDescent="0.2">
      <c r="A1428" s="25"/>
      <c r="B1428" s="25"/>
      <c r="C1428" s="25"/>
      <c r="D1428" s="25" t="s">
        <v>3634</v>
      </c>
      <c r="E1428" s="25" t="s">
        <v>2911</v>
      </c>
      <c r="F1428" s="25" t="s">
        <v>2884</v>
      </c>
      <c r="G1428" s="25" t="s">
        <v>2943</v>
      </c>
      <c r="H1428" s="25" t="s">
        <v>1348</v>
      </c>
      <c r="I1428" s="25" t="s">
        <v>2728</v>
      </c>
      <c r="J1428" s="25" t="s">
        <v>375</v>
      </c>
    </row>
    <row r="1429" spans="1:12" ht="18" hidden="1" customHeight="1" outlineLevel="2" x14ac:dyDescent="0.2">
      <c r="A1429" s="25"/>
      <c r="B1429" s="25"/>
      <c r="C1429" s="25"/>
      <c r="D1429" s="25" t="s">
        <v>3635</v>
      </c>
      <c r="E1429" s="25" t="s">
        <v>2911</v>
      </c>
      <c r="F1429" s="25" t="s">
        <v>2886</v>
      </c>
      <c r="G1429" s="25" t="s">
        <v>2944</v>
      </c>
      <c r="H1429" s="25" t="s">
        <v>1348</v>
      </c>
      <c r="I1429" s="25" t="s">
        <v>2728</v>
      </c>
      <c r="J1429" s="25" t="s">
        <v>375</v>
      </c>
    </row>
    <row r="1430" spans="1:12" ht="18" hidden="1" customHeight="1" outlineLevel="2" x14ac:dyDescent="0.2">
      <c r="A1430" s="25"/>
      <c r="B1430" s="25"/>
      <c r="C1430" s="25"/>
      <c r="D1430" s="25" t="s">
        <v>3636</v>
      </c>
      <c r="E1430" s="25" t="s">
        <v>2911</v>
      </c>
      <c r="F1430" s="25" t="s">
        <v>2888</v>
      </c>
      <c r="G1430" s="25" t="s">
        <v>2945</v>
      </c>
      <c r="H1430" s="25" t="s">
        <v>1348</v>
      </c>
      <c r="I1430" s="25" t="s">
        <v>2728</v>
      </c>
      <c r="J1430" s="25" t="s">
        <v>375</v>
      </c>
    </row>
    <row r="1431" spans="1:12" ht="18" hidden="1" customHeight="1" outlineLevel="2" x14ac:dyDescent="0.2">
      <c r="A1431" s="25"/>
      <c r="B1431" s="25"/>
      <c r="C1431" s="25"/>
      <c r="D1431" s="25" t="s">
        <v>3637</v>
      </c>
      <c r="E1431" s="25" t="s">
        <v>2911</v>
      </c>
      <c r="F1431" s="25" t="s">
        <v>2889</v>
      </c>
      <c r="G1431" s="25" t="s">
        <v>2946</v>
      </c>
      <c r="H1431" s="25" t="s">
        <v>1348</v>
      </c>
      <c r="I1431" s="25" t="s">
        <v>2728</v>
      </c>
      <c r="J1431" s="25" t="s">
        <v>375</v>
      </c>
    </row>
    <row r="1432" spans="1:12" ht="18" hidden="1" customHeight="1" outlineLevel="2" x14ac:dyDescent="0.2">
      <c r="A1432" s="25"/>
      <c r="B1432" s="25"/>
      <c r="C1432" s="25"/>
      <c r="D1432" s="25" t="s">
        <v>3638</v>
      </c>
      <c r="E1432" s="25" t="s">
        <v>2911</v>
      </c>
      <c r="F1432" s="25" t="s">
        <v>2890</v>
      </c>
      <c r="G1432" s="25" t="s">
        <v>2947</v>
      </c>
      <c r="H1432" s="25" t="s">
        <v>1348</v>
      </c>
      <c r="I1432" s="25" t="s">
        <v>2728</v>
      </c>
      <c r="J1432" s="25" t="s">
        <v>375</v>
      </c>
    </row>
    <row r="1433" spans="1:12" ht="18" hidden="1" customHeight="1" outlineLevel="2" x14ac:dyDescent="0.2">
      <c r="A1433" s="25"/>
      <c r="B1433" s="25"/>
      <c r="C1433" s="25"/>
      <c r="D1433" s="25" t="s">
        <v>352</v>
      </c>
      <c r="E1433" s="25" t="s">
        <v>2911</v>
      </c>
      <c r="F1433" s="25" t="s">
        <v>2892</v>
      </c>
      <c r="G1433" s="25" t="s">
        <v>547</v>
      </c>
      <c r="H1433" s="25" t="s">
        <v>1348</v>
      </c>
      <c r="I1433" s="25" t="s">
        <v>2728</v>
      </c>
      <c r="J1433" s="25" t="s">
        <v>375</v>
      </c>
    </row>
    <row r="1434" spans="1:12" ht="18" hidden="1" customHeight="1" outlineLevel="2" x14ac:dyDescent="0.2">
      <c r="A1434" s="25"/>
      <c r="B1434" s="25"/>
      <c r="C1434" s="25"/>
      <c r="D1434" s="25" t="s">
        <v>352</v>
      </c>
      <c r="E1434" s="25" t="s">
        <v>2911</v>
      </c>
      <c r="F1434" s="25" t="s">
        <v>2893</v>
      </c>
      <c r="G1434" s="25" t="s">
        <v>547</v>
      </c>
      <c r="H1434" s="25" t="s">
        <v>1348</v>
      </c>
      <c r="I1434" s="25" t="s">
        <v>2728</v>
      </c>
      <c r="J1434" s="25" t="s">
        <v>375</v>
      </c>
    </row>
    <row r="1435" spans="1:12" ht="18" hidden="1" customHeight="1" outlineLevel="2" x14ac:dyDescent="0.2">
      <c r="A1435" s="25"/>
      <c r="B1435" s="25"/>
      <c r="C1435" s="25"/>
      <c r="D1435" s="25" t="s">
        <v>3639</v>
      </c>
      <c r="E1435" s="25" t="s">
        <v>2911</v>
      </c>
      <c r="F1435" s="25" t="s">
        <v>2894</v>
      </c>
      <c r="G1435" s="25" t="s">
        <v>2948</v>
      </c>
      <c r="H1435" s="25" t="s">
        <v>1348</v>
      </c>
      <c r="I1435" s="25" t="s">
        <v>2728</v>
      </c>
      <c r="J1435" s="25" t="s">
        <v>375</v>
      </c>
    </row>
    <row r="1436" spans="1:12" ht="18" hidden="1" customHeight="1" outlineLevel="2" x14ac:dyDescent="0.2">
      <c r="A1436" s="25"/>
      <c r="B1436" s="25"/>
      <c r="C1436" s="25"/>
      <c r="D1436" s="25" t="s">
        <v>352</v>
      </c>
      <c r="E1436" s="25" t="s">
        <v>2911</v>
      </c>
      <c r="F1436" s="25" t="s">
        <v>2895</v>
      </c>
      <c r="G1436" s="25" t="s">
        <v>2949</v>
      </c>
      <c r="H1436" s="25" t="s">
        <v>1348</v>
      </c>
      <c r="I1436" s="25" t="s">
        <v>2728</v>
      </c>
      <c r="J1436" s="25" t="s">
        <v>375</v>
      </c>
    </row>
    <row r="1437" spans="1:12" customFormat="1" ht="18" hidden="1" customHeight="1" outlineLevel="2" x14ac:dyDescent="0.25">
      <c r="A1437" s="25"/>
      <c r="B1437" s="25"/>
      <c r="C1437" s="25"/>
      <c r="D1437" s="25"/>
      <c r="E1437" s="25"/>
      <c r="F1437" s="25"/>
      <c r="G1437" s="25"/>
      <c r="H1437" s="25"/>
      <c r="I1437" s="25"/>
      <c r="J1437" s="25"/>
      <c r="K1437" s="25"/>
      <c r="L1437" s="25"/>
    </row>
    <row r="1438" spans="1:12" customFormat="1" ht="18" customHeight="1" outlineLevel="1" collapsed="1" x14ac:dyDescent="0.25">
      <c r="A1438" s="119" t="s">
        <v>3912</v>
      </c>
      <c r="B1438" s="120"/>
      <c r="C1438" s="120"/>
      <c r="D1438" s="120"/>
      <c r="E1438" s="120"/>
      <c r="F1438" s="120" t="s">
        <v>147</v>
      </c>
      <c r="G1438" s="120"/>
      <c r="H1438" s="120"/>
      <c r="I1438" s="120"/>
      <c r="J1438" s="120"/>
      <c r="K1438" s="120"/>
      <c r="L1438" s="160"/>
    </row>
    <row r="1439" spans="1:12" ht="18" hidden="1" customHeight="1" outlineLevel="2" x14ac:dyDescent="0.2">
      <c r="A1439" s="25"/>
      <c r="B1439" s="25"/>
      <c r="C1439" s="25"/>
      <c r="D1439" s="25" t="s">
        <v>3589</v>
      </c>
      <c r="E1439" s="25" t="s">
        <v>2896</v>
      </c>
      <c r="F1439" s="25" t="s">
        <v>1199</v>
      </c>
      <c r="G1439" s="25" t="s">
        <v>2897</v>
      </c>
      <c r="H1439" s="25" t="s">
        <v>1348</v>
      </c>
      <c r="I1439" s="25" t="s">
        <v>2728</v>
      </c>
      <c r="J1439" s="25" t="s">
        <v>375</v>
      </c>
    </row>
    <row r="1440" spans="1:12" ht="18" hidden="1" customHeight="1" outlineLevel="2" x14ac:dyDescent="0.2">
      <c r="A1440" s="25"/>
      <c r="B1440" s="25"/>
      <c r="C1440" s="25"/>
      <c r="D1440" s="25" t="s">
        <v>3590</v>
      </c>
      <c r="E1440" s="25" t="s">
        <v>2896</v>
      </c>
      <c r="F1440" s="25" t="s">
        <v>1200</v>
      </c>
      <c r="G1440" s="25" t="s">
        <v>2898</v>
      </c>
      <c r="H1440" s="25" t="s">
        <v>1348</v>
      </c>
      <c r="I1440" s="25" t="s">
        <v>2728</v>
      </c>
      <c r="J1440" s="25" t="s">
        <v>375</v>
      </c>
    </row>
    <row r="1441" spans="1:12" ht="18" hidden="1" customHeight="1" outlineLevel="2" x14ac:dyDescent="0.2">
      <c r="A1441" s="25"/>
      <c r="B1441" s="25"/>
      <c r="C1441" s="25"/>
      <c r="D1441" s="25" t="s">
        <v>3591</v>
      </c>
      <c r="E1441" s="25" t="s">
        <v>2896</v>
      </c>
      <c r="F1441" s="25" t="s">
        <v>1201</v>
      </c>
      <c r="G1441" s="25" t="s">
        <v>2899</v>
      </c>
      <c r="H1441" s="25" t="s">
        <v>1348</v>
      </c>
      <c r="I1441" s="25" t="s">
        <v>2728</v>
      </c>
      <c r="J1441" s="25" t="s">
        <v>375</v>
      </c>
    </row>
    <row r="1442" spans="1:12" ht="18" hidden="1" customHeight="1" outlineLevel="2" x14ac:dyDescent="0.2">
      <c r="A1442" s="25"/>
      <c r="B1442" s="25"/>
      <c r="C1442" s="25"/>
      <c r="D1442" s="25" t="s">
        <v>3592</v>
      </c>
      <c r="E1442" s="25" t="s">
        <v>2896</v>
      </c>
      <c r="F1442" s="25" t="s">
        <v>1202</v>
      </c>
      <c r="G1442" s="25" t="s">
        <v>2900</v>
      </c>
      <c r="H1442" s="25" t="s">
        <v>1348</v>
      </c>
      <c r="I1442" s="25" t="s">
        <v>2728</v>
      </c>
      <c r="J1442" s="25" t="s">
        <v>375</v>
      </c>
    </row>
    <row r="1443" spans="1:12" ht="18" hidden="1" customHeight="1" outlineLevel="2" x14ac:dyDescent="0.2">
      <c r="A1443" s="25"/>
      <c r="B1443" s="25"/>
      <c r="C1443" s="25"/>
      <c r="D1443" s="25" t="s">
        <v>3593</v>
      </c>
      <c r="E1443" s="25" t="s">
        <v>2896</v>
      </c>
      <c r="F1443" s="25" t="s">
        <v>2368</v>
      </c>
      <c r="G1443" s="25" t="s">
        <v>2901</v>
      </c>
      <c r="H1443" s="25" t="s">
        <v>1348</v>
      </c>
      <c r="I1443" s="25" t="s">
        <v>2728</v>
      </c>
      <c r="J1443" s="25" t="s">
        <v>375</v>
      </c>
    </row>
    <row r="1444" spans="1:12" ht="18" hidden="1" customHeight="1" outlineLevel="2" x14ac:dyDescent="0.2">
      <c r="A1444" s="25"/>
      <c r="B1444" s="25"/>
      <c r="C1444" s="25"/>
      <c r="D1444" s="25" t="s">
        <v>3594</v>
      </c>
      <c r="E1444" s="25" t="s">
        <v>2896</v>
      </c>
      <c r="F1444" s="25" t="s">
        <v>517</v>
      </c>
      <c r="G1444" s="25" t="s">
        <v>2902</v>
      </c>
      <c r="H1444" s="25" t="s">
        <v>1348</v>
      </c>
      <c r="I1444" s="25" t="s">
        <v>2728</v>
      </c>
      <c r="J1444" s="25" t="s">
        <v>375</v>
      </c>
    </row>
    <row r="1445" spans="1:12" ht="18" hidden="1" customHeight="1" outlineLevel="2" x14ac:dyDescent="0.2">
      <c r="A1445" s="25"/>
      <c r="B1445" s="25"/>
      <c r="C1445" s="25"/>
      <c r="D1445" s="25" t="s">
        <v>3595</v>
      </c>
      <c r="E1445" s="25" t="s">
        <v>2896</v>
      </c>
      <c r="F1445" s="25" t="s">
        <v>3901</v>
      </c>
      <c r="G1445" s="25" t="s">
        <v>2903</v>
      </c>
      <c r="H1445" s="25" t="s">
        <v>1348</v>
      </c>
      <c r="I1445" s="25" t="s">
        <v>2728</v>
      </c>
      <c r="J1445" s="25" t="s">
        <v>375</v>
      </c>
    </row>
    <row r="1446" spans="1:12" ht="18" hidden="1" customHeight="1" outlineLevel="2" x14ac:dyDescent="0.2">
      <c r="A1446" s="25"/>
      <c r="B1446" s="25"/>
      <c r="C1446" s="25"/>
      <c r="D1446" s="25" t="s">
        <v>3596</v>
      </c>
      <c r="E1446" s="25" t="s">
        <v>2896</v>
      </c>
      <c r="F1446" s="25" t="s">
        <v>3902</v>
      </c>
      <c r="G1446" s="25" t="s">
        <v>2904</v>
      </c>
      <c r="H1446" s="25" t="s">
        <v>1348</v>
      </c>
      <c r="I1446" s="25" t="s">
        <v>2728</v>
      </c>
      <c r="J1446" s="25" t="s">
        <v>375</v>
      </c>
    </row>
    <row r="1447" spans="1:12" ht="18" hidden="1" customHeight="1" outlineLevel="2" x14ac:dyDescent="0.2">
      <c r="A1447" s="25"/>
      <c r="B1447" s="25"/>
      <c r="C1447" s="25"/>
      <c r="D1447" s="25" t="s">
        <v>3597</v>
      </c>
      <c r="E1447" s="25" t="s">
        <v>2896</v>
      </c>
      <c r="F1447" s="25" t="s">
        <v>3903</v>
      </c>
      <c r="G1447" s="25" t="s">
        <v>2905</v>
      </c>
      <c r="H1447" s="25" t="s">
        <v>1348</v>
      </c>
      <c r="I1447" s="25" t="s">
        <v>2728</v>
      </c>
      <c r="J1447" s="25" t="s">
        <v>375</v>
      </c>
    </row>
    <row r="1448" spans="1:12" ht="18" hidden="1" customHeight="1" outlineLevel="2" x14ac:dyDescent="0.2">
      <c r="A1448" s="25"/>
      <c r="B1448" s="25"/>
      <c r="C1448" s="25"/>
      <c r="D1448" s="25" t="s">
        <v>3598</v>
      </c>
      <c r="E1448" s="25" t="s">
        <v>2896</v>
      </c>
      <c r="F1448" s="25" t="s">
        <v>3904</v>
      </c>
      <c r="G1448" s="25" t="s">
        <v>2906</v>
      </c>
      <c r="H1448" s="25" t="s">
        <v>1348</v>
      </c>
      <c r="I1448" s="25" t="s">
        <v>2728</v>
      </c>
      <c r="J1448" s="25" t="s">
        <v>375</v>
      </c>
    </row>
    <row r="1449" spans="1:12" ht="18" hidden="1" customHeight="1" outlineLevel="2" x14ac:dyDescent="0.2">
      <c r="A1449" s="25"/>
      <c r="B1449" s="25"/>
      <c r="C1449" s="25"/>
      <c r="D1449" s="25" t="s">
        <v>3599</v>
      </c>
      <c r="E1449" s="25" t="s">
        <v>2896</v>
      </c>
      <c r="F1449" s="25" t="s">
        <v>3905</v>
      </c>
      <c r="G1449" s="25" t="s">
        <v>2907</v>
      </c>
      <c r="H1449" s="25" t="s">
        <v>1348</v>
      </c>
      <c r="I1449" s="25" t="s">
        <v>2728</v>
      </c>
      <c r="J1449" s="25" t="s">
        <v>375</v>
      </c>
    </row>
    <row r="1450" spans="1:12" ht="18" hidden="1" customHeight="1" outlineLevel="2" x14ac:dyDescent="0.2">
      <c r="A1450" s="25"/>
      <c r="B1450" s="25"/>
      <c r="C1450" s="25"/>
      <c r="D1450" s="25" t="s">
        <v>3600</v>
      </c>
      <c r="E1450" s="25" t="s">
        <v>2896</v>
      </c>
      <c r="F1450" s="25" t="s">
        <v>3906</v>
      </c>
      <c r="G1450" s="25" t="s">
        <v>2908</v>
      </c>
      <c r="H1450" s="25" t="s">
        <v>1348</v>
      </c>
      <c r="I1450" s="25" t="s">
        <v>2728</v>
      </c>
      <c r="J1450" s="25" t="s">
        <v>375</v>
      </c>
    </row>
    <row r="1451" spans="1:12" ht="18" hidden="1" customHeight="1" outlineLevel="2" x14ac:dyDescent="0.2">
      <c r="A1451" s="25"/>
      <c r="B1451" s="25"/>
      <c r="C1451" s="25"/>
      <c r="D1451" s="25" t="s">
        <v>3601</v>
      </c>
      <c r="E1451" s="25" t="s">
        <v>2896</v>
      </c>
      <c r="F1451" s="25" t="s">
        <v>3907</v>
      </c>
      <c r="G1451" s="25" t="s">
        <v>2909</v>
      </c>
      <c r="H1451" s="25" t="s">
        <v>1348</v>
      </c>
      <c r="I1451" s="25" t="s">
        <v>2728</v>
      </c>
      <c r="J1451" s="25" t="s">
        <v>375</v>
      </c>
    </row>
    <row r="1452" spans="1:12" ht="18" hidden="1" customHeight="1" outlineLevel="2" x14ac:dyDescent="0.2">
      <c r="A1452" s="25"/>
      <c r="B1452" s="25"/>
      <c r="C1452" s="25"/>
      <c r="D1452" s="25" t="s">
        <v>3602</v>
      </c>
      <c r="E1452" s="25" t="s">
        <v>2896</v>
      </c>
      <c r="F1452" s="25" t="s">
        <v>3908</v>
      </c>
      <c r="G1452" s="25" t="s">
        <v>2910</v>
      </c>
      <c r="H1452" s="25" t="s">
        <v>1348</v>
      </c>
      <c r="I1452" s="25" t="s">
        <v>2728</v>
      </c>
      <c r="J1452" s="25" t="s">
        <v>375</v>
      </c>
    </row>
    <row r="1453" spans="1:12" customFormat="1" ht="18" hidden="1" customHeight="1" outlineLevel="2" x14ac:dyDescent="0.25">
      <c r="A1453" s="25"/>
      <c r="B1453" s="25"/>
      <c r="C1453" s="25"/>
      <c r="D1453" s="25"/>
      <c r="E1453" s="25"/>
      <c r="F1453" s="25"/>
      <c r="G1453" s="25"/>
      <c r="H1453" s="25"/>
      <c r="I1453" s="25"/>
      <c r="J1453" s="25"/>
      <c r="K1453" s="25"/>
      <c r="L1453" s="25"/>
    </row>
    <row r="1454" spans="1:12" customFormat="1" ht="18" customHeight="1" outlineLevel="1" x14ac:dyDescent="0.25">
      <c r="A1454" s="119" t="s">
        <v>148</v>
      </c>
      <c r="B1454" s="120"/>
      <c r="C1454" s="120"/>
      <c r="D1454" s="120"/>
      <c r="E1454" s="120"/>
      <c r="F1454" s="120" t="s">
        <v>148</v>
      </c>
      <c r="G1454" s="120"/>
      <c r="H1454" s="120"/>
      <c r="I1454" s="120"/>
      <c r="J1454" s="120"/>
      <c r="K1454" s="120"/>
      <c r="L1454" s="160"/>
    </row>
    <row r="1455" spans="1:12" ht="18" customHeight="1" outlineLevel="2" x14ac:dyDescent="0.2">
      <c r="A1455" s="25"/>
      <c r="B1455" s="25"/>
      <c r="C1455" s="25"/>
      <c r="D1455" s="25" t="s">
        <v>3654</v>
      </c>
      <c r="E1455" s="25" t="s">
        <v>2964</v>
      </c>
      <c r="F1455" s="25" t="s">
        <v>2965</v>
      </c>
      <c r="G1455" s="25" t="s">
        <v>2966</v>
      </c>
      <c r="H1455" s="25" t="s">
        <v>1348</v>
      </c>
      <c r="I1455" s="25" t="s">
        <v>2728</v>
      </c>
      <c r="J1455" s="25" t="s">
        <v>375</v>
      </c>
    </row>
    <row r="1456" spans="1:12" ht="18" customHeight="1" outlineLevel="2" x14ac:dyDescent="0.2">
      <c r="A1456" s="25"/>
      <c r="B1456" s="25"/>
      <c r="C1456" s="25"/>
      <c r="D1456" s="25" t="s">
        <v>3655</v>
      </c>
      <c r="E1456" s="25" t="s">
        <v>2964</v>
      </c>
      <c r="F1456" s="25" t="s">
        <v>2967</v>
      </c>
      <c r="G1456" s="25" t="s">
        <v>2968</v>
      </c>
      <c r="H1456" s="25" t="s">
        <v>1348</v>
      </c>
      <c r="I1456" s="25" t="s">
        <v>2728</v>
      </c>
      <c r="J1456" s="25" t="s">
        <v>375</v>
      </c>
    </row>
    <row r="1457" spans="1:10" ht="18" customHeight="1" outlineLevel="2" x14ac:dyDescent="0.2">
      <c r="A1457" s="25"/>
      <c r="B1457" s="25"/>
      <c r="C1457" s="25"/>
      <c r="D1457" s="25" t="s">
        <v>3656</v>
      </c>
      <c r="E1457" s="25" t="s">
        <v>2964</v>
      </c>
      <c r="F1457" s="25" t="s">
        <v>2969</v>
      </c>
      <c r="G1457" s="25" t="s">
        <v>2970</v>
      </c>
      <c r="H1457" s="25" t="s">
        <v>1348</v>
      </c>
      <c r="I1457" s="25" t="s">
        <v>2728</v>
      </c>
      <c r="J1457" s="25" t="s">
        <v>375</v>
      </c>
    </row>
    <row r="1458" spans="1:10" ht="18" customHeight="1" outlineLevel="2" x14ac:dyDescent="0.2">
      <c r="A1458" s="25"/>
      <c r="B1458" s="25"/>
      <c r="C1458" s="25"/>
      <c r="D1458" s="25"/>
      <c r="E1458" s="25"/>
      <c r="F1458" s="25"/>
      <c r="G1458" s="25"/>
      <c r="H1458" s="25"/>
      <c r="I1458" s="25"/>
    </row>
    <row r="1459" spans="1:10" ht="18" customHeight="1" outlineLevel="2" x14ac:dyDescent="0.2">
      <c r="A1459" s="25"/>
      <c r="B1459" s="25"/>
      <c r="C1459" s="25"/>
      <c r="D1459" s="25" t="s">
        <v>3657</v>
      </c>
      <c r="E1459" s="25" t="s">
        <v>2964</v>
      </c>
      <c r="F1459" s="25" t="s">
        <v>2971</v>
      </c>
      <c r="G1459" s="25" t="s">
        <v>2972</v>
      </c>
      <c r="H1459" s="25" t="s">
        <v>1348</v>
      </c>
      <c r="I1459" s="25" t="s">
        <v>2728</v>
      </c>
      <c r="J1459" s="25" t="s">
        <v>375</v>
      </c>
    </row>
    <row r="1460" spans="1:10" ht="18" customHeight="1" outlineLevel="2" x14ac:dyDescent="0.2">
      <c r="A1460" s="25"/>
      <c r="B1460" s="25"/>
      <c r="C1460" s="25"/>
      <c r="D1460" s="25" t="s">
        <v>3658</v>
      </c>
      <c r="E1460" s="25" t="s">
        <v>2964</v>
      </c>
      <c r="F1460" s="25" t="s">
        <v>2973</v>
      </c>
      <c r="G1460" s="25" t="s">
        <v>2974</v>
      </c>
      <c r="H1460" s="25" t="s">
        <v>1348</v>
      </c>
      <c r="I1460" s="25" t="s">
        <v>2728</v>
      </c>
      <c r="J1460" s="25" t="s">
        <v>375</v>
      </c>
    </row>
    <row r="1461" spans="1:10" ht="18" customHeight="1" outlineLevel="2" x14ac:dyDescent="0.2">
      <c r="A1461" s="25"/>
      <c r="B1461" s="25"/>
      <c r="C1461" s="25"/>
      <c r="D1461" s="25"/>
      <c r="E1461" s="25"/>
      <c r="F1461" s="25"/>
      <c r="G1461" s="25"/>
      <c r="H1461" s="25"/>
      <c r="I1461" s="25"/>
    </row>
    <row r="1462" spans="1:10" ht="18" customHeight="1" outlineLevel="2" x14ac:dyDescent="0.2">
      <c r="A1462" s="25"/>
      <c r="B1462" s="25"/>
      <c r="C1462" s="25"/>
      <c r="D1462" s="25" t="s">
        <v>3659</v>
      </c>
      <c r="E1462" s="25" t="s">
        <v>2964</v>
      </c>
      <c r="F1462" s="25" t="s">
        <v>2975</v>
      </c>
      <c r="G1462" s="25" t="s">
        <v>2976</v>
      </c>
      <c r="H1462" s="25" t="s">
        <v>1348</v>
      </c>
      <c r="I1462" s="25" t="s">
        <v>2728</v>
      </c>
      <c r="J1462" s="25" t="s">
        <v>375</v>
      </c>
    </row>
    <row r="1463" spans="1:10" ht="18" customHeight="1" outlineLevel="2" x14ac:dyDescent="0.2">
      <c r="A1463" s="25"/>
      <c r="B1463" s="25"/>
      <c r="C1463" s="25"/>
      <c r="D1463" s="25" t="s">
        <v>3660</v>
      </c>
      <c r="E1463" s="25" t="s">
        <v>2964</v>
      </c>
      <c r="F1463" s="25" t="s">
        <v>2977</v>
      </c>
      <c r="G1463" s="25" t="s">
        <v>2978</v>
      </c>
      <c r="H1463" s="25" t="s">
        <v>1348</v>
      </c>
      <c r="I1463" s="25" t="s">
        <v>2728</v>
      </c>
      <c r="J1463" s="25" t="s">
        <v>375</v>
      </c>
    </row>
    <row r="1464" spans="1:10" ht="18" customHeight="1" outlineLevel="2" x14ac:dyDescent="0.2">
      <c r="A1464" s="25"/>
      <c r="B1464" s="25"/>
      <c r="C1464" s="25"/>
      <c r="D1464" s="25" t="s">
        <v>3661</v>
      </c>
      <c r="E1464" s="25" t="s">
        <v>2964</v>
      </c>
      <c r="F1464" s="25" t="s">
        <v>2979</v>
      </c>
      <c r="G1464" s="25" t="s">
        <v>2980</v>
      </c>
      <c r="H1464" s="25" t="s">
        <v>1348</v>
      </c>
      <c r="I1464" s="25" t="s">
        <v>2728</v>
      </c>
      <c r="J1464" s="25" t="s">
        <v>375</v>
      </c>
    </row>
    <row r="1465" spans="1:10" ht="18" customHeight="1" outlineLevel="2" x14ac:dyDescent="0.2">
      <c r="A1465" s="25"/>
      <c r="B1465" s="25"/>
      <c r="C1465" s="25"/>
      <c r="D1465" s="25" t="s">
        <v>3662</v>
      </c>
      <c r="E1465" s="25" t="s">
        <v>2964</v>
      </c>
      <c r="F1465" s="25" t="s">
        <v>2981</v>
      </c>
      <c r="G1465" s="25" t="s">
        <v>2982</v>
      </c>
      <c r="H1465" s="25" t="s">
        <v>1348</v>
      </c>
      <c r="I1465" s="25" t="s">
        <v>2728</v>
      </c>
      <c r="J1465" s="25" t="s">
        <v>375</v>
      </c>
    </row>
    <row r="1466" spans="1:10" ht="18" customHeight="1" outlineLevel="2" x14ac:dyDescent="0.2">
      <c r="A1466" s="25"/>
      <c r="B1466" s="25"/>
      <c r="C1466" s="25"/>
      <c r="D1466" s="25"/>
      <c r="E1466" s="25"/>
      <c r="F1466" s="25"/>
      <c r="G1466" s="25"/>
      <c r="H1466" s="25"/>
      <c r="I1466" s="25"/>
    </row>
    <row r="1467" spans="1:10" ht="18" customHeight="1" outlineLevel="2" x14ac:dyDescent="0.2">
      <c r="A1467" s="25"/>
      <c r="B1467" s="25"/>
      <c r="C1467" s="25"/>
      <c r="D1467" s="25" t="s">
        <v>3663</v>
      </c>
      <c r="E1467" s="25" t="s">
        <v>2964</v>
      </c>
      <c r="F1467" s="25" t="s">
        <v>2983</v>
      </c>
      <c r="G1467" s="25" t="s">
        <v>547</v>
      </c>
      <c r="H1467" s="25" t="s">
        <v>1348</v>
      </c>
      <c r="I1467" s="25" t="s">
        <v>2728</v>
      </c>
      <c r="J1467" s="25" t="s">
        <v>375</v>
      </c>
    </row>
    <row r="1468" spans="1:10" ht="18" customHeight="1" outlineLevel="2" x14ac:dyDescent="0.2">
      <c r="A1468" s="25"/>
      <c r="B1468" s="25"/>
      <c r="C1468" s="25"/>
      <c r="D1468" s="25" t="s">
        <v>3664</v>
      </c>
      <c r="E1468" s="25" t="s">
        <v>2964</v>
      </c>
      <c r="F1468" s="25" t="s">
        <v>2984</v>
      </c>
      <c r="G1468" s="25" t="s">
        <v>2985</v>
      </c>
      <c r="H1468" s="25" t="s">
        <v>1348</v>
      </c>
      <c r="I1468" s="25" t="s">
        <v>2728</v>
      </c>
      <c r="J1468" s="25" t="s">
        <v>375</v>
      </c>
    </row>
    <row r="1469" spans="1:10" ht="18" customHeight="1" outlineLevel="2" x14ac:dyDescent="0.2">
      <c r="A1469" s="25"/>
      <c r="B1469" s="25"/>
      <c r="C1469" s="25"/>
      <c r="D1469" s="25" t="s">
        <v>3665</v>
      </c>
      <c r="E1469" s="25" t="s">
        <v>2964</v>
      </c>
      <c r="F1469" s="25" t="s">
        <v>2986</v>
      </c>
      <c r="G1469" s="25" t="s">
        <v>2987</v>
      </c>
      <c r="H1469" s="25" t="s">
        <v>1348</v>
      </c>
      <c r="I1469" s="25" t="s">
        <v>2728</v>
      </c>
      <c r="J1469" s="25" t="s">
        <v>375</v>
      </c>
    </row>
    <row r="1470" spans="1:10" ht="18" customHeight="1" outlineLevel="2" x14ac:dyDescent="0.2">
      <c r="A1470" s="25"/>
      <c r="B1470" s="25"/>
      <c r="C1470" s="25"/>
      <c r="D1470" s="25" t="s">
        <v>3666</v>
      </c>
      <c r="E1470" s="25" t="s">
        <v>2964</v>
      </c>
      <c r="F1470" s="25" t="s">
        <v>2988</v>
      </c>
      <c r="G1470" s="25" t="s">
        <v>2989</v>
      </c>
      <c r="H1470" s="25" t="s">
        <v>1348</v>
      </c>
      <c r="I1470" s="25" t="s">
        <v>2728</v>
      </c>
      <c r="J1470" s="25" t="s">
        <v>375</v>
      </c>
    </row>
    <row r="1471" spans="1:10" ht="18" customHeight="1" outlineLevel="2" x14ac:dyDescent="0.2">
      <c r="A1471" s="25"/>
      <c r="B1471" s="25"/>
      <c r="C1471" s="25"/>
      <c r="D1471" s="25"/>
      <c r="E1471" s="25"/>
      <c r="F1471" s="25"/>
      <c r="G1471" s="25"/>
      <c r="H1471" s="25"/>
      <c r="I1471" s="25"/>
    </row>
    <row r="1472" spans="1:10" ht="18" customHeight="1" outlineLevel="2" x14ac:dyDescent="0.2">
      <c r="A1472" s="25"/>
      <c r="B1472" s="25"/>
      <c r="C1472" s="25"/>
      <c r="D1472" s="25" t="s">
        <v>3667</v>
      </c>
      <c r="E1472" s="25" t="s">
        <v>2964</v>
      </c>
      <c r="F1472" s="25" t="s">
        <v>2990</v>
      </c>
      <c r="G1472" s="25" t="s">
        <v>2991</v>
      </c>
      <c r="H1472" s="25" t="s">
        <v>1348</v>
      </c>
      <c r="I1472" s="25" t="s">
        <v>2728</v>
      </c>
      <c r="J1472" s="25" t="s">
        <v>375</v>
      </c>
    </row>
    <row r="1473" spans="1:10" ht="18" customHeight="1" outlineLevel="2" x14ac:dyDescent="0.2">
      <c r="A1473" s="25"/>
      <c r="B1473" s="25"/>
      <c r="C1473" s="25"/>
      <c r="D1473" s="25" t="s">
        <v>3668</v>
      </c>
      <c r="E1473" s="25" t="s">
        <v>2964</v>
      </c>
      <c r="F1473" s="25" t="s">
        <v>2992</v>
      </c>
      <c r="G1473" s="25" t="s">
        <v>2993</v>
      </c>
      <c r="H1473" s="25" t="s">
        <v>1348</v>
      </c>
      <c r="I1473" s="25" t="s">
        <v>2728</v>
      </c>
      <c r="J1473" s="25" t="s">
        <v>375</v>
      </c>
    </row>
    <row r="1474" spans="1:10" ht="18" customHeight="1" outlineLevel="2" x14ac:dyDescent="0.2">
      <c r="A1474" s="25"/>
      <c r="B1474" s="25"/>
      <c r="C1474" s="25"/>
      <c r="D1474" s="25" t="s">
        <v>3669</v>
      </c>
      <c r="E1474" s="25" t="s">
        <v>2964</v>
      </c>
      <c r="F1474" s="25" t="s">
        <v>2994</v>
      </c>
      <c r="G1474" s="25" t="s">
        <v>2995</v>
      </c>
      <c r="H1474" s="25" t="s">
        <v>1348</v>
      </c>
      <c r="I1474" s="25" t="s">
        <v>2728</v>
      </c>
      <c r="J1474" s="25" t="s">
        <v>375</v>
      </c>
    </row>
    <row r="1475" spans="1:10" ht="18" customHeight="1" outlineLevel="2" x14ac:dyDescent="0.2">
      <c r="A1475" s="25"/>
      <c r="B1475" s="25"/>
      <c r="C1475" s="25"/>
      <c r="D1475" s="25" t="s">
        <v>3670</v>
      </c>
      <c r="E1475" s="25" t="s">
        <v>2964</v>
      </c>
      <c r="F1475" s="25" t="s">
        <v>2996</v>
      </c>
      <c r="G1475" s="25" t="s">
        <v>2997</v>
      </c>
      <c r="H1475" s="25" t="s">
        <v>1348</v>
      </c>
      <c r="I1475" s="25" t="s">
        <v>2728</v>
      </c>
      <c r="J1475" s="25" t="s">
        <v>375</v>
      </c>
    </row>
    <row r="1476" spans="1:10" ht="18" customHeight="1" outlineLevel="2" x14ac:dyDescent="0.2">
      <c r="A1476" s="25"/>
      <c r="B1476" s="25"/>
      <c r="C1476" s="25"/>
      <c r="D1476" s="25" t="s">
        <v>3671</v>
      </c>
      <c r="E1476" s="25" t="s">
        <v>2964</v>
      </c>
      <c r="F1476" s="25" t="s">
        <v>2998</v>
      </c>
      <c r="G1476" s="25" t="s">
        <v>2999</v>
      </c>
      <c r="H1476" s="25" t="s">
        <v>1348</v>
      </c>
      <c r="I1476" s="25" t="s">
        <v>2728</v>
      </c>
      <c r="J1476" s="25" t="s">
        <v>375</v>
      </c>
    </row>
    <row r="1477" spans="1:10" ht="18" customHeight="1" outlineLevel="2" x14ac:dyDescent="0.2">
      <c r="A1477" s="25"/>
      <c r="B1477" s="25"/>
      <c r="C1477" s="25"/>
      <c r="D1477" s="25"/>
      <c r="E1477" s="25"/>
      <c r="F1477" s="25"/>
      <c r="G1477" s="25"/>
      <c r="H1477" s="25"/>
      <c r="I1477" s="25"/>
    </row>
    <row r="1478" spans="1:10" ht="18" customHeight="1" outlineLevel="2" x14ac:dyDescent="0.2">
      <c r="A1478" s="25"/>
      <c r="B1478" s="25"/>
      <c r="C1478" s="25"/>
      <c r="D1478" s="25" t="s">
        <v>3672</v>
      </c>
      <c r="E1478" s="25" t="s">
        <v>2964</v>
      </c>
      <c r="F1478" s="25" t="s">
        <v>3000</v>
      </c>
      <c r="G1478" s="25" t="s">
        <v>3001</v>
      </c>
      <c r="H1478" s="25" t="s">
        <v>1348</v>
      </c>
      <c r="I1478" s="25" t="s">
        <v>2728</v>
      </c>
      <c r="J1478" s="25" t="s">
        <v>375</v>
      </c>
    </row>
    <row r="1479" spans="1:10" ht="18" customHeight="1" outlineLevel="2" x14ac:dyDescent="0.2">
      <c r="A1479" s="25"/>
      <c r="B1479" s="25"/>
      <c r="C1479" s="25"/>
      <c r="D1479" s="25" t="s">
        <v>3673</v>
      </c>
      <c r="E1479" s="25" t="s">
        <v>2964</v>
      </c>
      <c r="F1479" s="25" t="s">
        <v>3002</v>
      </c>
      <c r="G1479" s="25" t="s">
        <v>3003</v>
      </c>
      <c r="H1479" s="25" t="s">
        <v>1348</v>
      </c>
      <c r="I1479" s="25" t="s">
        <v>2728</v>
      </c>
      <c r="J1479" s="25" t="s">
        <v>375</v>
      </c>
    </row>
    <row r="1480" spans="1:10" ht="18" customHeight="1" outlineLevel="2" x14ac:dyDescent="0.2">
      <c r="A1480" s="25"/>
      <c r="B1480" s="25"/>
      <c r="C1480" s="25"/>
      <c r="D1480" s="25" t="s">
        <v>3674</v>
      </c>
      <c r="E1480" s="25" t="s">
        <v>2964</v>
      </c>
      <c r="F1480" s="25" t="s">
        <v>3004</v>
      </c>
      <c r="G1480" s="25" t="s">
        <v>3005</v>
      </c>
      <c r="H1480" s="25" t="s">
        <v>1348</v>
      </c>
      <c r="I1480" s="25" t="s">
        <v>2728</v>
      </c>
      <c r="J1480" s="25" t="s">
        <v>375</v>
      </c>
    </row>
    <row r="1481" spans="1:10" ht="18" customHeight="1" outlineLevel="2" x14ac:dyDescent="0.2">
      <c r="A1481" s="25"/>
      <c r="B1481" s="25"/>
      <c r="C1481" s="25"/>
      <c r="D1481" s="25" t="s">
        <v>3675</v>
      </c>
      <c r="E1481" s="25" t="s">
        <v>2964</v>
      </c>
      <c r="F1481" s="25" t="s">
        <v>3006</v>
      </c>
      <c r="G1481" s="25" t="s">
        <v>3007</v>
      </c>
      <c r="H1481" s="25" t="s">
        <v>1348</v>
      </c>
      <c r="I1481" s="25" t="s">
        <v>2728</v>
      </c>
      <c r="J1481" s="25" t="s">
        <v>375</v>
      </c>
    </row>
    <row r="1482" spans="1:10" ht="18" customHeight="1" outlineLevel="2" x14ac:dyDescent="0.2">
      <c r="A1482" s="25"/>
      <c r="B1482" s="25"/>
      <c r="C1482" s="25"/>
      <c r="D1482" s="25" t="s">
        <v>3676</v>
      </c>
      <c r="E1482" s="25" t="s">
        <v>2964</v>
      </c>
      <c r="F1482" s="25" t="s">
        <v>3008</v>
      </c>
      <c r="G1482" s="25" t="s">
        <v>3009</v>
      </c>
      <c r="H1482" s="25" t="s">
        <v>1348</v>
      </c>
      <c r="I1482" s="25" t="s">
        <v>2728</v>
      </c>
      <c r="J1482" s="25" t="s">
        <v>375</v>
      </c>
    </row>
    <row r="1483" spans="1:10" ht="18" customHeight="1" outlineLevel="2" x14ac:dyDescent="0.2">
      <c r="A1483" s="25"/>
      <c r="B1483" s="25"/>
      <c r="C1483" s="25"/>
      <c r="D1483" s="25"/>
      <c r="E1483" s="25"/>
      <c r="F1483" s="25"/>
      <c r="G1483" s="25"/>
      <c r="H1483" s="25"/>
      <c r="I1483" s="25"/>
      <c r="J1483" s="25" t="s">
        <v>375</v>
      </c>
    </row>
    <row r="1484" spans="1:10" ht="18" customHeight="1" outlineLevel="2" x14ac:dyDescent="0.2">
      <c r="A1484" s="25"/>
      <c r="B1484" s="25"/>
      <c r="C1484" s="25"/>
      <c r="D1484" s="25" t="s">
        <v>3677</v>
      </c>
      <c r="E1484" s="25" t="s">
        <v>2964</v>
      </c>
      <c r="F1484" s="25" t="s">
        <v>3010</v>
      </c>
      <c r="G1484" s="25" t="s">
        <v>3011</v>
      </c>
      <c r="H1484" s="25" t="s">
        <v>1348</v>
      </c>
      <c r="I1484" s="25" t="s">
        <v>2728</v>
      </c>
      <c r="J1484" s="25" t="s">
        <v>375</v>
      </c>
    </row>
    <row r="1485" spans="1:10" ht="18" customHeight="1" outlineLevel="2" x14ac:dyDescent="0.2">
      <c r="A1485" s="25"/>
      <c r="B1485" s="25"/>
      <c r="C1485" s="25"/>
      <c r="D1485" s="25" t="s">
        <v>3678</v>
      </c>
      <c r="E1485" s="25" t="s">
        <v>2964</v>
      </c>
      <c r="F1485" s="25" t="s">
        <v>3012</v>
      </c>
      <c r="G1485" s="25" t="s">
        <v>3013</v>
      </c>
      <c r="H1485" s="25" t="s">
        <v>1348</v>
      </c>
      <c r="I1485" s="25" t="s">
        <v>2728</v>
      </c>
      <c r="J1485" s="25" t="s">
        <v>375</v>
      </c>
    </row>
    <row r="1486" spans="1:10" ht="18" customHeight="1" outlineLevel="2" x14ac:dyDescent="0.2">
      <c r="A1486" s="25"/>
      <c r="B1486" s="25"/>
      <c r="C1486" s="25"/>
      <c r="D1486" s="25" t="s">
        <v>3679</v>
      </c>
      <c r="E1486" s="25" t="s">
        <v>2964</v>
      </c>
      <c r="F1486" s="25" t="s">
        <v>3014</v>
      </c>
      <c r="G1486" s="25" t="s">
        <v>3015</v>
      </c>
      <c r="H1486" s="25" t="s">
        <v>1348</v>
      </c>
      <c r="I1486" s="25" t="s">
        <v>2728</v>
      </c>
      <c r="J1486" s="25" t="s">
        <v>375</v>
      </c>
    </row>
    <row r="1487" spans="1:10" ht="18" customHeight="1" outlineLevel="2" x14ac:dyDescent="0.2">
      <c r="A1487" s="25"/>
      <c r="B1487" s="25"/>
      <c r="C1487" s="25"/>
      <c r="D1487" s="25"/>
      <c r="E1487" s="25" t="s">
        <v>547</v>
      </c>
      <c r="F1487" s="25"/>
      <c r="G1487" s="25" t="s">
        <v>547</v>
      </c>
      <c r="H1487" s="25" t="s">
        <v>1348</v>
      </c>
      <c r="I1487" s="25"/>
      <c r="J1487" s="25" t="s">
        <v>375</v>
      </c>
    </row>
    <row r="1488" spans="1:10" ht="18" customHeight="1" outlineLevel="2" x14ac:dyDescent="0.2">
      <c r="A1488" s="25"/>
      <c r="B1488" s="25"/>
      <c r="C1488" s="25"/>
      <c r="D1488" s="25" t="s">
        <v>3680</v>
      </c>
      <c r="E1488" s="25" t="s">
        <v>2964</v>
      </c>
      <c r="F1488" s="25" t="s">
        <v>3016</v>
      </c>
      <c r="G1488" s="25" t="s">
        <v>3017</v>
      </c>
      <c r="H1488" s="25" t="s">
        <v>1348</v>
      </c>
      <c r="I1488" s="25" t="s">
        <v>2728</v>
      </c>
      <c r="J1488" s="25" t="s">
        <v>375</v>
      </c>
    </row>
    <row r="1489" spans="1:12" ht="18" customHeight="1" outlineLevel="2" x14ac:dyDescent="0.2">
      <c r="A1489" s="25"/>
      <c r="B1489" s="25"/>
      <c r="C1489" s="25"/>
      <c r="D1489" s="25" t="s">
        <v>3681</v>
      </c>
      <c r="E1489" s="25" t="s">
        <v>2964</v>
      </c>
      <c r="F1489" s="25" t="s">
        <v>3018</v>
      </c>
      <c r="G1489" s="25" t="s">
        <v>3019</v>
      </c>
      <c r="H1489" s="25" t="s">
        <v>1348</v>
      </c>
      <c r="I1489" s="25" t="s">
        <v>2728</v>
      </c>
      <c r="J1489" s="25" t="s">
        <v>375</v>
      </c>
    </row>
    <row r="1490" spans="1:12" ht="18" customHeight="1" outlineLevel="2" x14ac:dyDescent="0.2">
      <c r="A1490" s="25"/>
      <c r="B1490" s="25"/>
      <c r="C1490" s="25"/>
      <c r="D1490" s="25" t="s">
        <v>3682</v>
      </c>
      <c r="E1490" s="25" t="s">
        <v>2964</v>
      </c>
      <c r="F1490" s="25" t="s">
        <v>3020</v>
      </c>
      <c r="G1490" s="25" t="s">
        <v>3021</v>
      </c>
      <c r="H1490" s="25" t="s">
        <v>1348</v>
      </c>
      <c r="I1490" s="25" t="s">
        <v>2728</v>
      </c>
      <c r="J1490" s="25" t="s">
        <v>375</v>
      </c>
    </row>
    <row r="1491" spans="1:12" ht="18" customHeight="1" outlineLevel="2" x14ac:dyDescent="0.2">
      <c r="A1491" s="25"/>
      <c r="B1491" s="25"/>
      <c r="C1491" s="25"/>
      <c r="D1491" s="25"/>
      <c r="E1491" s="25" t="s">
        <v>547</v>
      </c>
      <c r="F1491" s="25"/>
      <c r="G1491" s="25" t="s">
        <v>547</v>
      </c>
      <c r="H1491" s="25" t="s">
        <v>1348</v>
      </c>
      <c r="I1491" s="25"/>
      <c r="J1491" s="25" t="s">
        <v>375</v>
      </c>
    </row>
    <row r="1492" spans="1:12" ht="18" customHeight="1" outlineLevel="2" x14ac:dyDescent="0.2">
      <c r="A1492" s="25"/>
      <c r="B1492" s="25"/>
      <c r="C1492" s="25"/>
      <c r="D1492" s="25" t="s">
        <v>3683</v>
      </c>
      <c r="E1492" s="25" t="s">
        <v>2964</v>
      </c>
      <c r="F1492" s="25" t="s">
        <v>3022</v>
      </c>
      <c r="G1492" s="25" t="s">
        <v>3023</v>
      </c>
      <c r="H1492" s="25" t="s">
        <v>1348</v>
      </c>
      <c r="I1492" s="25" t="s">
        <v>2728</v>
      </c>
      <c r="J1492" s="25" t="s">
        <v>375</v>
      </c>
    </row>
    <row r="1493" spans="1:12" ht="18" customHeight="1" outlineLevel="2" x14ac:dyDescent="0.2">
      <c r="A1493" s="25"/>
      <c r="B1493" s="25"/>
      <c r="C1493" s="25"/>
      <c r="D1493" s="25" t="s">
        <v>3684</v>
      </c>
      <c r="E1493" s="25" t="s">
        <v>2964</v>
      </c>
      <c r="F1493" s="25" t="s">
        <v>3024</v>
      </c>
      <c r="G1493" s="25" t="s">
        <v>3025</v>
      </c>
      <c r="H1493" s="25" t="s">
        <v>1348</v>
      </c>
      <c r="I1493" s="25" t="s">
        <v>2728</v>
      </c>
      <c r="J1493" s="25" t="s">
        <v>375</v>
      </c>
    </row>
    <row r="1494" spans="1:12" ht="18" customHeight="1" outlineLevel="2" x14ac:dyDescent="0.2">
      <c r="A1494" s="25"/>
      <c r="B1494" s="25"/>
      <c r="C1494" s="25"/>
      <c r="D1494" s="25" t="s">
        <v>3685</v>
      </c>
      <c r="E1494" s="25" t="s">
        <v>2964</v>
      </c>
      <c r="F1494" s="25" t="s">
        <v>3026</v>
      </c>
      <c r="G1494" s="25" t="s">
        <v>3027</v>
      </c>
      <c r="H1494" s="25" t="s">
        <v>1348</v>
      </c>
      <c r="I1494" s="25" t="s">
        <v>2728</v>
      </c>
      <c r="J1494" s="25" t="s">
        <v>375</v>
      </c>
    </row>
    <row r="1495" spans="1:12" ht="18" customHeight="1" outlineLevel="2" x14ac:dyDescent="0.2">
      <c r="A1495" s="25"/>
      <c r="B1495" s="25"/>
      <c r="C1495" s="25"/>
      <c r="D1495" s="25"/>
      <c r="E1495" s="25" t="s">
        <v>547</v>
      </c>
      <c r="F1495" s="25"/>
      <c r="G1495" s="25" t="s">
        <v>547</v>
      </c>
      <c r="H1495" s="25" t="s">
        <v>1348</v>
      </c>
      <c r="I1495" s="25"/>
      <c r="J1495" s="25" t="s">
        <v>375</v>
      </c>
    </row>
    <row r="1496" spans="1:12" ht="18" customHeight="1" outlineLevel="2" x14ac:dyDescent="0.2">
      <c r="A1496" s="25"/>
      <c r="B1496" s="25"/>
      <c r="C1496" s="25"/>
      <c r="D1496" s="25" t="s">
        <v>3686</v>
      </c>
      <c r="E1496" s="25" t="s">
        <v>2964</v>
      </c>
      <c r="F1496" s="25" t="s">
        <v>3028</v>
      </c>
      <c r="G1496" s="25" t="s">
        <v>3029</v>
      </c>
      <c r="H1496" s="25" t="s">
        <v>1348</v>
      </c>
      <c r="I1496" s="25" t="s">
        <v>2728</v>
      </c>
      <c r="J1496" s="25" t="s">
        <v>375</v>
      </c>
    </row>
    <row r="1497" spans="1:12" ht="18" customHeight="1" outlineLevel="2" x14ac:dyDescent="0.2">
      <c r="A1497" s="25"/>
      <c r="B1497" s="25"/>
      <c r="C1497" s="25"/>
      <c r="D1497" s="25" t="s">
        <v>3687</v>
      </c>
      <c r="E1497" s="25" t="s">
        <v>2964</v>
      </c>
      <c r="F1497" s="25" t="s">
        <v>3030</v>
      </c>
      <c r="G1497" s="25" t="s">
        <v>3031</v>
      </c>
      <c r="H1497" s="25" t="s">
        <v>1348</v>
      </c>
      <c r="I1497" s="25" t="s">
        <v>2728</v>
      </c>
      <c r="J1497" s="25" t="s">
        <v>375</v>
      </c>
    </row>
    <row r="1498" spans="1:12" ht="18" customHeight="1" outlineLevel="2" x14ac:dyDescent="0.2">
      <c r="A1498" s="25"/>
      <c r="B1498" s="25"/>
      <c r="C1498" s="25"/>
      <c r="D1498" s="25" t="s">
        <v>3688</v>
      </c>
      <c r="E1498" s="25" t="s">
        <v>2964</v>
      </c>
      <c r="F1498" s="25" t="s">
        <v>3032</v>
      </c>
      <c r="G1498" s="25" t="s">
        <v>3033</v>
      </c>
      <c r="H1498" s="25" t="s">
        <v>1348</v>
      </c>
      <c r="I1498" s="25" t="s">
        <v>2728</v>
      </c>
      <c r="J1498" s="25" t="s">
        <v>375</v>
      </c>
    </row>
    <row r="1499" spans="1:12" ht="18" customHeight="1" outlineLevel="2" x14ac:dyDescent="0.2">
      <c r="A1499" s="25"/>
      <c r="B1499" s="25"/>
      <c r="C1499" s="25"/>
      <c r="D1499" s="25" t="s">
        <v>3689</v>
      </c>
      <c r="E1499" s="25" t="s">
        <v>2964</v>
      </c>
      <c r="F1499" s="25" t="s">
        <v>3034</v>
      </c>
      <c r="G1499" s="25" t="s">
        <v>3035</v>
      </c>
      <c r="H1499" s="25" t="s">
        <v>1348</v>
      </c>
      <c r="I1499" s="25" t="s">
        <v>2728</v>
      </c>
      <c r="J1499" s="25" t="s">
        <v>375</v>
      </c>
    </row>
    <row r="1500" spans="1:12" ht="18" customHeight="1" outlineLevel="2" x14ac:dyDescent="0.2">
      <c r="A1500" s="25"/>
      <c r="B1500" s="25"/>
      <c r="C1500" s="25"/>
      <c r="D1500" s="25"/>
      <c r="E1500" s="25" t="s">
        <v>547</v>
      </c>
      <c r="F1500" s="25"/>
      <c r="G1500" s="25" t="s">
        <v>547</v>
      </c>
      <c r="H1500" s="25" t="s">
        <v>1348</v>
      </c>
      <c r="I1500" s="25"/>
      <c r="J1500" s="25" t="s">
        <v>375</v>
      </c>
    </row>
    <row r="1501" spans="1:12" ht="18" customHeight="1" outlineLevel="2" x14ac:dyDescent="0.2">
      <c r="A1501" s="25"/>
      <c r="B1501" s="25"/>
      <c r="C1501" s="25"/>
      <c r="D1501" s="25" t="s">
        <v>3690</v>
      </c>
      <c r="E1501" s="25" t="s">
        <v>2964</v>
      </c>
      <c r="F1501" s="25" t="s">
        <v>3036</v>
      </c>
      <c r="G1501" s="25" t="s">
        <v>547</v>
      </c>
      <c r="H1501" s="25" t="s">
        <v>1348</v>
      </c>
      <c r="I1501" s="25" t="s">
        <v>2728</v>
      </c>
      <c r="J1501" s="25" t="s">
        <v>375</v>
      </c>
    </row>
    <row r="1502" spans="1:12" ht="18" customHeight="1" outlineLevel="2" x14ac:dyDescent="0.2">
      <c r="A1502" s="25"/>
      <c r="B1502" s="25"/>
      <c r="C1502" s="25"/>
      <c r="D1502" s="25" t="s">
        <v>352</v>
      </c>
      <c r="E1502" s="25" t="s">
        <v>2964</v>
      </c>
      <c r="F1502" s="25" t="s">
        <v>3037</v>
      </c>
      <c r="G1502" s="25" t="s">
        <v>547</v>
      </c>
      <c r="H1502" s="25" t="s">
        <v>1348</v>
      </c>
      <c r="I1502" s="25" t="s">
        <v>2728</v>
      </c>
      <c r="J1502" s="25" t="s">
        <v>375</v>
      </c>
    </row>
    <row r="1503" spans="1:12" customFormat="1" ht="18" customHeight="1" outlineLevel="2" x14ac:dyDescent="0.25">
      <c r="A1503" s="25"/>
      <c r="B1503" s="25"/>
      <c r="C1503" s="25"/>
      <c r="D1503" s="25"/>
      <c r="E1503" s="25"/>
      <c r="F1503" s="25"/>
      <c r="G1503" s="25"/>
      <c r="H1503" s="25"/>
      <c r="I1503" s="25"/>
      <c r="J1503" s="25"/>
      <c r="K1503" s="25"/>
      <c r="L1503" s="25"/>
    </row>
    <row r="1504" spans="1:12" customFormat="1" ht="18" customHeight="1" collapsed="1" x14ac:dyDescent="0.25">
      <c r="A1504" s="127" t="s">
        <v>4202</v>
      </c>
      <c r="B1504" s="128"/>
      <c r="C1504" s="128"/>
      <c r="D1504" s="128"/>
      <c r="E1504" s="128"/>
      <c r="F1504" s="128"/>
      <c r="G1504" s="128"/>
      <c r="H1504" s="128"/>
      <c r="I1504" s="128"/>
      <c r="J1504" s="128"/>
      <c r="K1504" s="128"/>
      <c r="L1504" s="161"/>
    </row>
    <row r="1505" spans="1:12" customFormat="1" ht="18" hidden="1" customHeight="1" outlineLevel="1" collapsed="1" x14ac:dyDescent="0.25">
      <c r="A1505" s="119" t="s">
        <v>3854</v>
      </c>
      <c r="B1505" s="120"/>
      <c r="C1505" s="120"/>
      <c r="D1505" s="120"/>
      <c r="E1505" s="120"/>
      <c r="F1505" s="120" t="s">
        <v>148</v>
      </c>
      <c r="G1505" s="120"/>
      <c r="H1505" s="120"/>
      <c r="I1505" s="120"/>
      <c r="J1505" s="120"/>
      <c r="K1505" s="120"/>
      <c r="L1505" s="160"/>
    </row>
    <row r="1506" spans="1:12" ht="18" hidden="1" customHeight="1" outlineLevel="2" x14ac:dyDescent="0.2">
      <c r="A1506" s="25"/>
      <c r="B1506" s="25"/>
      <c r="C1506" s="25"/>
      <c r="D1506" s="25" t="s">
        <v>3377</v>
      </c>
      <c r="E1506" s="25" t="s">
        <v>2139</v>
      </c>
      <c r="F1506" s="25" t="s">
        <v>2140</v>
      </c>
      <c r="G1506" s="25" t="s">
        <v>2141</v>
      </c>
      <c r="H1506" s="25" t="s">
        <v>2142</v>
      </c>
      <c r="I1506" s="25" t="s">
        <v>2143</v>
      </c>
    </row>
    <row r="1507" spans="1:12" ht="18" hidden="1" customHeight="1" outlineLevel="2" x14ac:dyDescent="0.2">
      <c r="A1507" s="25"/>
      <c r="B1507" s="25"/>
      <c r="C1507" s="25"/>
      <c r="D1507" s="25" t="s">
        <v>3378</v>
      </c>
      <c r="E1507" s="59" t="s">
        <v>2139</v>
      </c>
      <c r="F1507" s="25" t="s">
        <v>2144</v>
      </c>
      <c r="G1507" s="25" t="s">
        <v>2145</v>
      </c>
      <c r="H1507" s="25" t="s">
        <v>2142</v>
      </c>
      <c r="I1507" s="25" t="s">
        <v>2143</v>
      </c>
      <c r="K1507" s="25">
        <v>3</v>
      </c>
      <c r="L1507" s="25">
        <v>5</v>
      </c>
    </row>
    <row r="1508" spans="1:12" ht="18" hidden="1" customHeight="1" outlineLevel="2" x14ac:dyDescent="0.2">
      <c r="A1508" s="25"/>
      <c r="B1508" s="25"/>
      <c r="C1508" s="25"/>
      <c r="D1508" s="25" t="s">
        <v>3379</v>
      </c>
      <c r="E1508" s="59" t="s">
        <v>2139</v>
      </c>
      <c r="F1508" s="25" t="s">
        <v>2146</v>
      </c>
      <c r="G1508" s="25" t="s">
        <v>2147</v>
      </c>
      <c r="H1508" s="25" t="s">
        <v>2142</v>
      </c>
      <c r="I1508" s="25" t="s">
        <v>2143</v>
      </c>
      <c r="K1508" s="25">
        <v>3</v>
      </c>
      <c r="L1508" s="25">
        <v>5</v>
      </c>
    </row>
    <row r="1509" spans="1:12" ht="18" hidden="1" customHeight="1" outlineLevel="2" x14ac:dyDescent="0.2">
      <c r="A1509" s="25"/>
      <c r="B1509" s="25"/>
      <c r="C1509" s="25"/>
      <c r="D1509" s="25" t="s">
        <v>3380</v>
      </c>
      <c r="E1509" s="59" t="s">
        <v>2139</v>
      </c>
      <c r="F1509" s="25" t="s">
        <v>2148</v>
      </c>
      <c r="G1509" s="25" t="s">
        <v>2149</v>
      </c>
      <c r="H1509" s="25" t="s">
        <v>2142</v>
      </c>
      <c r="I1509" s="25" t="s">
        <v>2143</v>
      </c>
      <c r="K1509" s="25">
        <v>3</v>
      </c>
      <c r="L1509" s="25">
        <v>5</v>
      </c>
    </row>
    <row r="1510" spans="1:12" ht="18" hidden="1" customHeight="1" outlineLevel="2" x14ac:dyDescent="0.2">
      <c r="A1510" s="25"/>
      <c r="B1510" s="25"/>
      <c r="C1510" s="25"/>
      <c r="D1510" s="25" t="s">
        <v>3381</v>
      </c>
      <c r="E1510" s="25" t="s">
        <v>2139</v>
      </c>
      <c r="F1510" s="25" t="s">
        <v>2150</v>
      </c>
      <c r="G1510" s="25" t="s">
        <v>2151</v>
      </c>
      <c r="H1510" s="25" t="s">
        <v>2142</v>
      </c>
      <c r="I1510" s="25" t="s">
        <v>2143</v>
      </c>
    </row>
    <row r="1511" spans="1:12" ht="18" hidden="1" customHeight="1" outlineLevel="2" x14ac:dyDescent="0.2">
      <c r="A1511" s="25"/>
      <c r="B1511" s="25"/>
      <c r="C1511" s="25"/>
      <c r="D1511" s="25" t="s">
        <v>3382</v>
      </c>
      <c r="E1511" s="25" t="s">
        <v>2139</v>
      </c>
      <c r="F1511" s="25" t="s">
        <v>2152</v>
      </c>
      <c r="G1511" s="25" t="s">
        <v>2153</v>
      </c>
      <c r="H1511" s="25" t="s">
        <v>2142</v>
      </c>
      <c r="I1511" s="25" t="s">
        <v>2143</v>
      </c>
    </row>
    <row r="1512" spans="1:12" ht="18" hidden="1" customHeight="1" outlineLevel="2" x14ac:dyDescent="0.2">
      <c r="A1512" s="25"/>
      <c r="B1512" s="25"/>
      <c r="C1512" s="25"/>
      <c r="D1512" s="25" t="s">
        <v>3383</v>
      </c>
      <c r="E1512" s="25" t="s">
        <v>2139</v>
      </c>
      <c r="F1512" s="25" t="s">
        <v>2154</v>
      </c>
      <c r="G1512" s="25" t="s">
        <v>2155</v>
      </c>
      <c r="H1512" s="25" t="s">
        <v>2142</v>
      </c>
      <c r="I1512" s="25" t="s">
        <v>2143</v>
      </c>
    </row>
    <row r="1513" spans="1:12" ht="18" hidden="1" customHeight="1" outlineLevel="2" x14ac:dyDescent="0.2">
      <c r="A1513" s="25"/>
      <c r="B1513" s="25"/>
      <c r="C1513" s="25"/>
      <c r="D1513" s="25" t="s">
        <v>352</v>
      </c>
      <c r="E1513" s="25" t="s">
        <v>2139</v>
      </c>
      <c r="F1513" s="25" t="s">
        <v>2156</v>
      </c>
      <c r="G1513" s="25" t="s">
        <v>2157</v>
      </c>
      <c r="H1513" s="25" t="s">
        <v>2142</v>
      </c>
      <c r="I1513" s="25" t="s">
        <v>2143</v>
      </c>
    </row>
    <row r="1514" spans="1:12" ht="18" hidden="1" customHeight="1" outlineLevel="2" x14ac:dyDescent="0.2">
      <c r="A1514" s="25"/>
      <c r="B1514" s="25"/>
      <c r="C1514" s="25"/>
      <c r="D1514" s="25" t="s">
        <v>3384</v>
      </c>
      <c r="E1514" s="59" t="s">
        <v>2158</v>
      </c>
      <c r="F1514" s="25"/>
      <c r="G1514" s="25" t="s">
        <v>2159</v>
      </c>
      <c r="H1514" s="25" t="s">
        <v>2142</v>
      </c>
      <c r="I1514" s="25" t="s">
        <v>2160</v>
      </c>
      <c r="K1514" s="25">
        <v>9</v>
      </c>
      <c r="L1514" s="25">
        <v>12</v>
      </c>
    </row>
    <row r="1515" spans="1:12" ht="18" hidden="1" customHeight="1" outlineLevel="2" x14ac:dyDescent="0.2">
      <c r="A1515" s="25"/>
      <c r="B1515" s="25"/>
      <c r="C1515" s="25"/>
      <c r="D1515" s="25" t="s">
        <v>3385</v>
      </c>
      <c r="E1515" s="25" t="s">
        <v>2139</v>
      </c>
      <c r="F1515" s="25" t="s">
        <v>2161</v>
      </c>
      <c r="G1515" s="25" t="s">
        <v>2162</v>
      </c>
      <c r="H1515" s="25" t="s">
        <v>2163</v>
      </c>
      <c r="I1515" s="25" t="s">
        <v>3862</v>
      </c>
    </row>
    <row r="1516" spans="1:12" ht="18" hidden="1" customHeight="1" outlineLevel="2" x14ac:dyDescent="0.2">
      <c r="A1516" s="25"/>
      <c r="B1516" s="25"/>
      <c r="C1516" s="25"/>
      <c r="D1516" s="25" t="s">
        <v>3386</v>
      </c>
      <c r="E1516" s="25" t="s">
        <v>2139</v>
      </c>
      <c r="F1516" s="25" t="s">
        <v>2164</v>
      </c>
      <c r="G1516" s="25" t="s">
        <v>2165</v>
      </c>
      <c r="H1516" s="25" t="s">
        <v>2163</v>
      </c>
      <c r="I1516" s="25" t="s">
        <v>3863</v>
      </c>
    </row>
    <row r="1517" spans="1:12" ht="18" hidden="1" customHeight="1" outlineLevel="2" x14ac:dyDescent="0.2">
      <c r="A1517" s="25"/>
      <c r="B1517" s="25"/>
      <c r="C1517" s="25"/>
      <c r="D1517" s="25" t="s">
        <v>3387</v>
      </c>
      <c r="E1517" s="25" t="s">
        <v>2139</v>
      </c>
      <c r="F1517" s="25" t="s">
        <v>2164</v>
      </c>
      <c r="G1517" s="25" t="s">
        <v>2166</v>
      </c>
      <c r="H1517" s="25" t="s">
        <v>2163</v>
      </c>
      <c r="I1517" s="25" t="s">
        <v>3864</v>
      </c>
    </row>
    <row r="1518" spans="1:12" ht="18" hidden="1" customHeight="1" outlineLevel="2" x14ac:dyDescent="0.2">
      <c r="A1518" s="25"/>
      <c r="B1518" s="25"/>
      <c r="C1518" s="25"/>
      <c r="D1518" s="25" t="s">
        <v>352</v>
      </c>
      <c r="E1518" s="25" t="s">
        <v>2139</v>
      </c>
      <c r="F1518" s="25" t="s">
        <v>2167</v>
      </c>
      <c r="G1518" s="25" t="s">
        <v>2168</v>
      </c>
      <c r="H1518" s="25" t="s">
        <v>2163</v>
      </c>
      <c r="I1518" s="25" t="s">
        <v>3865</v>
      </c>
    </row>
    <row r="1519" spans="1:12" ht="18" hidden="1" customHeight="1" outlineLevel="2" x14ac:dyDescent="0.2">
      <c r="A1519" s="25"/>
      <c r="B1519" s="25"/>
      <c r="C1519" s="25"/>
      <c r="D1519" s="25" t="s">
        <v>3388</v>
      </c>
      <c r="E1519" s="25" t="s">
        <v>2139</v>
      </c>
      <c r="F1519" s="25" t="s">
        <v>2167</v>
      </c>
      <c r="G1519" s="25" t="s">
        <v>2169</v>
      </c>
      <c r="H1519" s="25" t="s">
        <v>2163</v>
      </c>
      <c r="I1519" s="25" t="s">
        <v>3866</v>
      </c>
    </row>
    <row r="1520" spans="1:12" ht="18" hidden="1" customHeight="1" outlineLevel="2" x14ac:dyDescent="0.2">
      <c r="A1520" s="25"/>
      <c r="B1520" s="25"/>
      <c r="C1520" s="25"/>
      <c r="D1520" s="25" t="s">
        <v>3389</v>
      </c>
      <c r="E1520" s="25" t="s">
        <v>2139</v>
      </c>
      <c r="F1520" s="25" t="s">
        <v>2170</v>
      </c>
      <c r="G1520" s="25" t="s">
        <v>2171</v>
      </c>
      <c r="H1520" s="25" t="s">
        <v>2163</v>
      </c>
      <c r="I1520" s="25" t="s">
        <v>3867</v>
      </c>
    </row>
    <row r="1521" spans="1:14" ht="18" hidden="1" customHeight="1" outlineLevel="2" x14ac:dyDescent="0.2">
      <c r="A1521" s="25"/>
      <c r="B1521" s="25"/>
      <c r="C1521" s="25"/>
      <c r="D1521" s="25" t="s">
        <v>3390</v>
      </c>
      <c r="E1521" s="25" t="s">
        <v>2172</v>
      </c>
      <c r="F1521" s="25"/>
      <c r="G1521" s="25" t="s">
        <v>2173</v>
      </c>
      <c r="H1521" s="25" t="s">
        <v>2163</v>
      </c>
      <c r="I1521" s="25" t="s">
        <v>3064</v>
      </c>
    </row>
    <row r="1522" spans="1:14" ht="18" hidden="1" customHeight="1" outlineLevel="2" x14ac:dyDescent="0.2">
      <c r="A1522" s="25"/>
      <c r="B1522" s="25"/>
      <c r="C1522" s="25"/>
      <c r="D1522" s="25"/>
      <c r="E1522" s="25"/>
      <c r="F1522" s="25"/>
      <c r="G1522" s="25"/>
      <c r="H1522" s="25"/>
      <c r="I1522" s="25"/>
    </row>
    <row r="1523" spans="1:14" customFormat="1" ht="18" hidden="1" customHeight="1" outlineLevel="1" collapsed="1" x14ac:dyDescent="0.25">
      <c r="A1523" s="119" t="s">
        <v>3894</v>
      </c>
      <c r="B1523" s="120"/>
      <c r="C1523" s="120"/>
      <c r="D1523" s="120"/>
      <c r="E1523" s="120"/>
      <c r="F1523" s="120" t="s">
        <v>148</v>
      </c>
      <c r="G1523" s="120"/>
      <c r="H1523" s="120"/>
      <c r="I1523" s="120"/>
      <c r="J1523" s="120"/>
      <c r="K1523" s="120"/>
      <c r="L1523" s="160"/>
      <c r="N1523" s="9"/>
    </row>
    <row r="1524" spans="1:14" ht="18" hidden="1" customHeight="1" outlineLevel="2" x14ac:dyDescent="0.2">
      <c r="A1524" s="25"/>
      <c r="B1524" s="25"/>
      <c r="C1524" s="25"/>
      <c r="D1524" s="25" t="s">
        <v>3391</v>
      </c>
      <c r="E1524" s="25" t="s">
        <v>2174</v>
      </c>
      <c r="F1524" s="25" t="s">
        <v>2175</v>
      </c>
      <c r="G1524" s="25" t="s">
        <v>2176</v>
      </c>
      <c r="H1524" s="25"/>
      <c r="I1524" s="25"/>
    </row>
    <row r="1525" spans="1:14" ht="18" hidden="1" customHeight="1" outlineLevel="2" x14ac:dyDescent="0.2">
      <c r="A1525" s="25"/>
      <c r="B1525" s="25"/>
      <c r="C1525" s="25"/>
      <c r="D1525" s="25" t="s">
        <v>352</v>
      </c>
      <c r="E1525" s="25" t="s">
        <v>2174</v>
      </c>
      <c r="F1525" s="25" t="s">
        <v>2177</v>
      </c>
      <c r="G1525" s="25" t="s">
        <v>2178</v>
      </c>
      <c r="H1525" s="25"/>
      <c r="I1525" s="25"/>
    </row>
    <row r="1526" spans="1:14" ht="18" hidden="1" customHeight="1" outlineLevel="2" x14ac:dyDescent="0.2">
      <c r="A1526" s="25"/>
      <c r="B1526" s="25"/>
      <c r="C1526" s="25"/>
      <c r="D1526" s="25" t="s">
        <v>3393</v>
      </c>
      <c r="E1526" s="25" t="s">
        <v>2174</v>
      </c>
      <c r="F1526" s="25" t="s">
        <v>2184</v>
      </c>
      <c r="G1526" s="25" t="s">
        <v>2185</v>
      </c>
      <c r="H1526" s="25"/>
      <c r="I1526" s="25"/>
    </row>
    <row r="1527" spans="1:14" ht="18" hidden="1" customHeight="1" outlineLevel="2" x14ac:dyDescent="0.2">
      <c r="A1527" s="25"/>
      <c r="B1527" s="25"/>
      <c r="C1527" s="25"/>
      <c r="D1527" s="25" t="s">
        <v>3394</v>
      </c>
      <c r="E1527" s="25" t="s">
        <v>2174</v>
      </c>
      <c r="F1527" s="25" t="s">
        <v>2186</v>
      </c>
      <c r="G1527" s="25" t="s">
        <v>2187</v>
      </c>
      <c r="H1527" s="25"/>
      <c r="I1527" s="25"/>
      <c r="K1527" s="25">
        <v>5</v>
      </c>
    </row>
    <row r="1528" spans="1:14" ht="18" hidden="1" customHeight="1" outlineLevel="2" x14ac:dyDescent="0.2">
      <c r="A1528" s="25"/>
      <c r="B1528" s="25"/>
      <c r="C1528" s="25"/>
      <c r="D1528" s="25" t="s">
        <v>3396</v>
      </c>
      <c r="E1528" s="25" t="s">
        <v>2174</v>
      </c>
      <c r="F1528" s="25" t="s">
        <v>2190</v>
      </c>
      <c r="G1528" s="25" t="s">
        <v>2191</v>
      </c>
      <c r="H1528" s="25"/>
      <c r="I1528" s="25"/>
    </row>
    <row r="1529" spans="1:14" ht="18" hidden="1" customHeight="1" outlineLevel="2" x14ac:dyDescent="0.2">
      <c r="A1529" s="25"/>
      <c r="B1529" s="25"/>
      <c r="C1529" s="25"/>
      <c r="D1529" s="25" t="s">
        <v>3397</v>
      </c>
      <c r="E1529" s="25" t="s">
        <v>2174</v>
      </c>
      <c r="F1529" s="25" t="s">
        <v>2192</v>
      </c>
      <c r="G1529" s="25" t="s">
        <v>2193</v>
      </c>
      <c r="H1529" s="25"/>
      <c r="I1529" s="25"/>
      <c r="K1529" s="25">
        <v>5</v>
      </c>
    </row>
    <row r="1530" spans="1:14" ht="18" hidden="1" customHeight="1" outlineLevel="2" x14ac:dyDescent="0.2">
      <c r="A1530" s="25"/>
      <c r="B1530" s="25"/>
      <c r="C1530" s="25"/>
      <c r="D1530" s="25" t="s">
        <v>3399</v>
      </c>
      <c r="E1530" s="25" t="s">
        <v>2174</v>
      </c>
      <c r="F1530" s="25" t="s">
        <v>2196</v>
      </c>
      <c r="G1530" s="25" t="s">
        <v>2197</v>
      </c>
      <c r="H1530" s="25"/>
      <c r="I1530" s="25" t="s">
        <v>2198</v>
      </c>
    </row>
    <row r="1531" spans="1:14" ht="18" hidden="1" customHeight="1" outlineLevel="2" x14ac:dyDescent="0.2">
      <c r="A1531" s="25"/>
      <c r="B1531" s="25"/>
      <c r="C1531" s="25"/>
      <c r="D1531" s="25" t="s">
        <v>3400</v>
      </c>
      <c r="E1531" s="25" t="s">
        <v>2174</v>
      </c>
      <c r="F1531" s="25" t="s">
        <v>2199</v>
      </c>
      <c r="G1531" s="25" t="s">
        <v>2200</v>
      </c>
      <c r="H1531" s="25"/>
      <c r="I1531" s="25" t="s">
        <v>2198</v>
      </c>
      <c r="K1531" s="25">
        <v>5</v>
      </c>
    </row>
    <row r="1532" spans="1:14" ht="18" hidden="1" customHeight="1" outlineLevel="2" x14ac:dyDescent="0.2">
      <c r="A1532" s="25"/>
      <c r="B1532" s="25"/>
      <c r="C1532" s="25"/>
      <c r="D1532" s="25" t="s">
        <v>3401</v>
      </c>
      <c r="E1532" s="25" t="s">
        <v>2174</v>
      </c>
      <c r="F1532" s="25" t="s">
        <v>2201</v>
      </c>
      <c r="G1532" s="25" t="s">
        <v>2202</v>
      </c>
      <c r="H1532" s="25"/>
      <c r="I1532" s="25" t="s">
        <v>2203</v>
      </c>
    </row>
    <row r="1533" spans="1:14" ht="18" hidden="1" customHeight="1" outlineLevel="2" x14ac:dyDescent="0.2">
      <c r="A1533" s="25"/>
      <c r="B1533" s="25"/>
      <c r="C1533" s="25"/>
      <c r="D1533" s="25" t="s">
        <v>3402</v>
      </c>
      <c r="E1533" s="25" t="s">
        <v>2174</v>
      </c>
      <c r="F1533" s="25" t="s">
        <v>2204</v>
      </c>
      <c r="G1533" s="25" t="s">
        <v>2205</v>
      </c>
      <c r="H1533" s="25"/>
      <c r="I1533" s="25" t="s">
        <v>2203</v>
      </c>
    </row>
    <row r="1534" spans="1:14" ht="18" hidden="1" customHeight="1" outlineLevel="2" x14ac:dyDescent="0.2">
      <c r="A1534" s="25"/>
      <c r="B1534" s="25"/>
      <c r="C1534" s="25"/>
      <c r="D1534" s="25" t="s">
        <v>3404</v>
      </c>
      <c r="E1534" s="25" t="s">
        <v>2174</v>
      </c>
      <c r="F1534" s="25" t="s">
        <v>2206</v>
      </c>
      <c r="G1534" s="25" t="s">
        <v>2207</v>
      </c>
      <c r="H1534" s="25"/>
      <c r="I1534" s="25" t="s">
        <v>2203</v>
      </c>
    </row>
    <row r="1535" spans="1:14" ht="18" hidden="1" customHeight="1" outlineLevel="2" x14ac:dyDescent="0.2">
      <c r="A1535" s="25"/>
      <c r="B1535" s="25"/>
      <c r="C1535" s="25"/>
      <c r="D1535" s="25" t="s">
        <v>352</v>
      </c>
      <c r="E1535" s="25" t="s">
        <v>2174</v>
      </c>
      <c r="F1535" s="25" t="s">
        <v>2208</v>
      </c>
      <c r="G1535" s="25" t="s">
        <v>2209</v>
      </c>
      <c r="H1535" s="25"/>
      <c r="I1535" s="25" t="s">
        <v>2203</v>
      </c>
    </row>
    <row r="1536" spans="1:14" ht="18" hidden="1" customHeight="1" outlineLevel="2" x14ac:dyDescent="0.2">
      <c r="A1536" s="25"/>
      <c r="B1536" s="25"/>
      <c r="C1536" s="25"/>
      <c r="D1536" s="25" t="s">
        <v>3452</v>
      </c>
      <c r="E1536" s="59" t="s">
        <v>2531</v>
      </c>
      <c r="F1536" s="25" t="s">
        <v>2532</v>
      </c>
      <c r="G1536" s="25" t="s">
        <v>2533</v>
      </c>
      <c r="H1536" s="25" t="s">
        <v>2248</v>
      </c>
      <c r="I1536" s="25" t="s">
        <v>2534</v>
      </c>
      <c r="K1536" s="25">
        <v>10</v>
      </c>
      <c r="L1536" s="25">
        <v>13</v>
      </c>
    </row>
    <row r="1537" spans="1:12" ht="18" hidden="1" customHeight="1" outlineLevel="2" x14ac:dyDescent="0.2">
      <c r="A1537" s="25"/>
      <c r="B1537" s="25"/>
      <c r="C1537" s="25"/>
      <c r="D1537" s="25" t="s">
        <v>352</v>
      </c>
      <c r="E1537" s="25" t="s">
        <v>2531</v>
      </c>
      <c r="F1537" s="25" t="s">
        <v>2535</v>
      </c>
      <c r="G1537" s="25" t="s">
        <v>2536</v>
      </c>
      <c r="H1537" s="25" t="s">
        <v>2248</v>
      </c>
      <c r="I1537" s="25" t="s">
        <v>2534</v>
      </c>
    </row>
    <row r="1538" spans="1:12" ht="18" hidden="1" customHeight="1" outlineLevel="2" x14ac:dyDescent="0.2">
      <c r="A1538" s="25"/>
      <c r="B1538" s="25"/>
      <c r="C1538" s="25"/>
      <c r="D1538" s="25" t="s">
        <v>3453</v>
      </c>
      <c r="E1538" s="25" t="s">
        <v>2531</v>
      </c>
      <c r="F1538" s="25" t="s">
        <v>2532</v>
      </c>
      <c r="G1538" s="25" t="s">
        <v>2537</v>
      </c>
      <c r="H1538" s="25" t="s">
        <v>2226</v>
      </c>
      <c r="I1538" s="25" t="s">
        <v>2538</v>
      </c>
    </row>
    <row r="1539" spans="1:12" ht="18" hidden="1" customHeight="1" outlineLevel="2" x14ac:dyDescent="0.2">
      <c r="A1539" s="25"/>
      <c r="B1539" s="25"/>
      <c r="C1539" s="25"/>
      <c r="D1539" s="25" t="s">
        <v>3454</v>
      </c>
      <c r="E1539" s="59" t="s">
        <v>2539</v>
      </c>
      <c r="F1539" s="25" t="s">
        <v>2532</v>
      </c>
      <c r="G1539" s="25" t="s">
        <v>2540</v>
      </c>
      <c r="H1539" s="25" t="s">
        <v>2248</v>
      </c>
      <c r="I1539" s="25" t="s">
        <v>2541</v>
      </c>
      <c r="K1539" s="25">
        <v>10</v>
      </c>
      <c r="L1539" s="25">
        <v>13</v>
      </c>
    </row>
    <row r="1540" spans="1:12" ht="18" hidden="1" customHeight="1" outlineLevel="2" x14ac:dyDescent="0.2">
      <c r="A1540" s="25"/>
      <c r="B1540" s="25"/>
      <c r="C1540" s="25"/>
      <c r="D1540" s="25" t="s">
        <v>3455</v>
      </c>
      <c r="E1540" s="59" t="s">
        <v>2539</v>
      </c>
      <c r="F1540" s="25" t="s">
        <v>2535</v>
      </c>
      <c r="G1540" s="25" t="s">
        <v>2542</v>
      </c>
      <c r="H1540" s="25" t="s">
        <v>2248</v>
      </c>
      <c r="I1540" s="25" t="s">
        <v>2541</v>
      </c>
      <c r="K1540" s="25">
        <v>5</v>
      </c>
      <c r="L1540" s="25">
        <v>7</v>
      </c>
    </row>
    <row r="1541" spans="1:12" ht="18" hidden="1" customHeight="1" outlineLevel="2" x14ac:dyDescent="0.2">
      <c r="A1541" s="25"/>
      <c r="B1541" s="25"/>
      <c r="C1541" s="25"/>
      <c r="D1541" s="25" t="s">
        <v>352</v>
      </c>
      <c r="E1541" s="25" t="s">
        <v>2543</v>
      </c>
      <c r="F1541" s="25" t="s">
        <v>2532</v>
      </c>
      <c r="G1541" s="25" t="s">
        <v>2544</v>
      </c>
      <c r="H1541" s="25" t="s">
        <v>2248</v>
      </c>
      <c r="I1541" s="25" t="s">
        <v>2545</v>
      </c>
    </row>
    <row r="1542" spans="1:12" ht="18" hidden="1" customHeight="1" outlineLevel="2" x14ac:dyDescent="0.2">
      <c r="A1542" s="25"/>
      <c r="B1542" s="25"/>
      <c r="C1542" s="25"/>
      <c r="D1542" s="25" t="s">
        <v>3456</v>
      </c>
      <c r="E1542" s="25" t="s">
        <v>2546</v>
      </c>
      <c r="F1542" s="25" t="s">
        <v>2532</v>
      </c>
      <c r="G1542" s="25" t="s">
        <v>2547</v>
      </c>
      <c r="H1542" s="25" t="s">
        <v>2248</v>
      </c>
      <c r="I1542" s="25" t="s">
        <v>2548</v>
      </c>
    </row>
    <row r="1543" spans="1:12" ht="18" hidden="1" customHeight="1" outlineLevel="2" x14ac:dyDescent="0.2">
      <c r="A1543" s="25"/>
      <c r="B1543" s="25"/>
      <c r="C1543" s="25"/>
      <c r="D1543" s="25" t="s">
        <v>352</v>
      </c>
      <c r="E1543" s="25" t="s">
        <v>2546</v>
      </c>
      <c r="F1543" s="25" t="s">
        <v>2535</v>
      </c>
      <c r="G1543" s="25" t="s">
        <v>2549</v>
      </c>
      <c r="H1543" s="25" t="s">
        <v>2248</v>
      </c>
      <c r="I1543" s="25" t="s">
        <v>2548</v>
      </c>
    </row>
    <row r="1544" spans="1:12" ht="18" hidden="1" customHeight="1" outlineLevel="2" x14ac:dyDescent="0.2">
      <c r="A1544" s="25"/>
      <c r="B1544" s="25"/>
      <c r="C1544" s="25"/>
      <c r="D1544" s="25" t="s">
        <v>3457</v>
      </c>
      <c r="E1544" s="25" t="s">
        <v>2546</v>
      </c>
      <c r="F1544" s="25" t="s">
        <v>2535</v>
      </c>
      <c r="G1544" s="25" t="s">
        <v>2550</v>
      </c>
      <c r="H1544" s="25" t="s">
        <v>2183</v>
      </c>
      <c r="I1544" s="25" t="s">
        <v>2548</v>
      </c>
    </row>
    <row r="1545" spans="1:12" ht="18" hidden="1" customHeight="1" outlineLevel="2" x14ac:dyDescent="0.2">
      <c r="A1545" s="25"/>
      <c r="B1545" s="25"/>
      <c r="C1545" s="25"/>
      <c r="D1545" s="25"/>
      <c r="E1545" s="25"/>
      <c r="F1545" s="25"/>
      <c r="G1545" s="25"/>
      <c r="H1545" s="25"/>
      <c r="I1545" s="25"/>
    </row>
    <row r="1546" spans="1:12" ht="18" hidden="1" customHeight="1" outlineLevel="2" x14ac:dyDescent="0.2">
      <c r="A1546" s="25"/>
      <c r="B1546" s="25"/>
      <c r="C1546" s="25"/>
      <c r="D1546" s="25" t="s">
        <v>352</v>
      </c>
      <c r="E1546" s="25" t="s">
        <v>109</v>
      </c>
      <c r="F1546" s="25" t="s">
        <v>2181</v>
      </c>
      <c r="G1546" s="25" t="s">
        <v>2182</v>
      </c>
      <c r="H1546" s="25" t="s">
        <v>2183</v>
      </c>
      <c r="I1546" s="25"/>
    </row>
    <row r="1547" spans="1:12" ht="18" hidden="1" customHeight="1" outlineLevel="2" x14ac:dyDescent="0.2">
      <c r="A1547" s="25"/>
      <c r="B1547" s="25"/>
      <c r="C1547" s="25"/>
      <c r="D1547" s="25" t="s">
        <v>352</v>
      </c>
      <c r="E1547" s="25" t="s">
        <v>109</v>
      </c>
      <c r="F1547" s="25" t="s">
        <v>2188</v>
      </c>
      <c r="G1547" s="25" t="s">
        <v>2189</v>
      </c>
      <c r="H1547" s="25" t="s">
        <v>2183</v>
      </c>
      <c r="I1547" s="25"/>
    </row>
    <row r="1548" spans="1:12" ht="18" hidden="1" customHeight="1" outlineLevel="2" x14ac:dyDescent="0.2">
      <c r="A1548" s="25"/>
      <c r="B1548" s="25"/>
      <c r="C1548" s="25"/>
      <c r="D1548" s="25" t="s">
        <v>352</v>
      </c>
      <c r="E1548" s="25" t="s">
        <v>109</v>
      </c>
      <c r="F1548" s="25" t="s">
        <v>2194</v>
      </c>
      <c r="G1548" s="25" t="s">
        <v>2195</v>
      </c>
      <c r="H1548" s="25" t="s">
        <v>2183</v>
      </c>
      <c r="I1548" s="25"/>
    </row>
    <row r="1549" spans="1:12" ht="18" hidden="1" customHeight="1" outlineLevel="2" x14ac:dyDescent="0.2">
      <c r="A1549" s="25"/>
      <c r="B1549" s="25"/>
      <c r="C1549" s="25"/>
      <c r="D1549" s="25" t="s">
        <v>352</v>
      </c>
      <c r="E1549" s="25" t="s">
        <v>109</v>
      </c>
      <c r="F1549" s="25" t="s">
        <v>2210</v>
      </c>
      <c r="G1549" s="25" t="s">
        <v>2211</v>
      </c>
      <c r="H1549" s="25" t="s">
        <v>2183</v>
      </c>
      <c r="I1549" s="25"/>
    </row>
    <row r="1550" spans="1:12" ht="18" hidden="1" customHeight="1" outlineLevel="2" x14ac:dyDescent="0.2">
      <c r="A1550" s="25"/>
      <c r="B1550" s="25"/>
      <c r="C1550" s="25"/>
      <c r="D1550" s="25" t="s">
        <v>352</v>
      </c>
      <c r="E1550" s="25" t="s">
        <v>109</v>
      </c>
      <c r="F1550" s="25" t="s">
        <v>2212</v>
      </c>
      <c r="G1550" s="25" t="s">
        <v>2213</v>
      </c>
      <c r="H1550" s="25" t="s">
        <v>2183</v>
      </c>
      <c r="I1550" s="25"/>
    </row>
    <row r="1551" spans="1:12" ht="18" hidden="1" customHeight="1" outlineLevel="2" x14ac:dyDescent="0.2">
      <c r="A1551" s="25"/>
      <c r="B1551" s="25"/>
      <c r="C1551" s="25"/>
      <c r="D1551" s="25" t="s">
        <v>352</v>
      </c>
      <c r="E1551" s="25" t="s">
        <v>111</v>
      </c>
      <c r="F1551" s="25" t="s">
        <v>2214</v>
      </c>
      <c r="G1551" s="25"/>
      <c r="H1551" s="25" t="s">
        <v>2183</v>
      </c>
      <c r="I1551" s="25" t="s">
        <v>1280</v>
      </c>
    </row>
    <row r="1552" spans="1:12" ht="18" hidden="1" customHeight="1" outlineLevel="2" x14ac:dyDescent="0.2">
      <c r="A1552" s="25"/>
      <c r="B1552" s="25"/>
      <c r="C1552" s="25"/>
      <c r="D1552" s="25"/>
      <c r="E1552" s="25"/>
      <c r="F1552" s="25"/>
      <c r="G1552" s="25"/>
      <c r="H1552" s="25"/>
      <c r="I1552" s="25"/>
    </row>
    <row r="1553" spans="1:14" customFormat="1" ht="18" hidden="1" customHeight="1" outlineLevel="1" collapsed="1" x14ac:dyDescent="0.25">
      <c r="A1553" s="119" t="s">
        <v>3855</v>
      </c>
      <c r="B1553" s="120"/>
      <c r="C1553" s="120"/>
      <c r="D1553" s="120"/>
      <c r="E1553" s="120"/>
      <c r="F1553" s="120" t="s">
        <v>148</v>
      </c>
      <c r="G1553" s="120"/>
      <c r="H1553" s="120"/>
      <c r="I1553" s="120"/>
      <c r="J1553" s="120"/>
      <c r="K1553" s="120"/>
      <c r="L1553" s="160"/>
      <c r="N1553" s="9"/>
    </row>
    <row r="1554" spans="1:14" ht="18" hidden="1" customHeight="1" outlineLevel="2" x14ac:dyDescent="0.2">
      <c r="A1554" s="25"/>
      <c r="B1554" s="25"/>
      <c r="C1554" s="25"/>
      <c r="D1554" s="25" t="s">
        <v>3392</v>
      </c>
      <c r="E1554" s="59" t="s">
        <v>110</v>
      </c>
      <c r="F1554" s="25" t="s">
        <v>2179</v>
      </c>
      <c r="G1554" s="25"/>
      <c r="H1554" s="25"/>
      <c r="I1554" s="25" t="s">
        <v>2180</v>
      </c>
    </row>
    <row r="1555" spans="1:14" ht="18" hidden="1" customHeight="1" outlineLevel="2" x14ac:dyDescent="0.2">
      <c r="A1555" s="25"/>
      <c r="B1555" s="25"/>
      <c r="C1555" s="25"/>
      <c r="D1555" s="25" t="s">
        <v>3395</v>
      </c>
      <c r="E1555" s="25" t="s">
        <v>110</v>
      </c>
      <c r="F1555" s="25" t="s">
        <v>1200</v>
      </c>
      <c r="G1555" s="25"/>
      <c r="H1555" s="25"/>
      <c r="I1555" s="25"/>
    </row>
    <row r="1556" spans="1:14" ht="18" hidden="1" customHeight="1" outlineLevel="2" x14ac:dyDescent="0.2">
      <c r="A1556" s="25"/>
      <c r="B1556" s="25"/>
      <c r="C1556" s="25"/>
      <c r="D1556" s="25" t="s">
        <v>3398</v>
      </c>
      <c r="E1556" s="25" t="s">
        <v>110</v>
      </c>
      <c r="F1556" s="25" t="s">
        <v>1201</v>
      </c>
      <c r="G1556" s="25"/>
      <c r="H1556" s="25"/>
      <c r="I1556" s="25"/>
    </row>
    <row r="1557" spans="1:14" ht="18" hidden="1" customHeight="1" outlineLevel="2" x14ac:dyDescent="0.2">
      <c r="A1557" s="25"/>
      <c r="B1557" s="25"/>
      <c r="C1557" s="25"/>
      <c r="D1557" s="25" t="s">
        <v>3403</v>
      </c>
      <c r="E1557" s="25" t="s">
        <v>110</v>
      </c>
      <c r="F1557" s="25" t="s">
        <v>1202</v>
      </c>
      <c r="G1557" s="25"/>
      <c r="H1557" s="25"/>
      <c r="I1557" s="25"/>
    </row>
    <row r="1558" spans="1:14" ht="18" hidden="1" customHeight="1" outlineLevel="2" x14ac:dyDescent="0.2">
      <c r="A1558" s="25"/>
      <c r="B1558" s="25"/>
      <c r="C1558" s="25"/>
      <c r="D1558" s="25"/>
      <c r="E1558" s="25"/>
      <c r="F1558" s="25"/>
      <c r="G1558" s="25"/>
      <c r="H1558" s="25"/>
      <c r="I1558" s="25"/>
    </row>
    <row r="1559" spans="1:14" customFormat="1" ht="18" hidden="1" customHeight="1" outlineLevel="1" collapsed="1" x14ac:dyDescent="0.25">
      <c r="A1559" s="119" t="s">
        <v>113</v>
      </c>
      <c r="B1559" s="120"/>
      <c r="C1559" s="120"/>
      <c r="D1559" s="120"/>
      <c r="E1559" s="120"/>
      <c r="F1559" s="120" t="s">
        <v>148</v>
      </c>
      <c r="G1559" s="120"/>
      <c r="H1559" s="120"/>
      <c r="I1559" s="120"/>
      <c r="J1559" s="120"/>
      <c r="K1559" s="120"/>
      <c r="L1559" s="160"/>
      <c r="N1559" s="9"/>
    </row>
    <row r="1560" spans="1:14" ht="18" hidden="1" customHeight="1" outlineLevel="2" x14ac:dyDescent="0.2">
      <c r="A1560" s="25"/>
      <c r="B1560" s="25"/>
      <c r="C1560" s="25"/>
      <c r="D1560" s="25" t="s">
        <v>2474</v>
      </c>
      <c r="E1560" s="25" t="s">
        <v>2472</v>
      </c>
      <c r="F1560" s="25" t="s">
        <v>2473</v>
      </c>
      <c r="G1560" s="25" t="s">
        <v>2474</v>
      </c>
      <c r="H1560" s="25" t="s">
        <v>2142</v>
      </c>
      <c r="I1560" s="25" t="s">
        <v>3871</v>
      </c>
    </row>
    <row r="1561" spans="1:14" ht="18" hidden="1" customHeight="1" outlineLevel="2" x14ac:dyDescent="0.2">
      <c r="A1561" s="25"/>
      <c r="B1561" s="25"/>
      <c r="C1561" s="25"/>
      <c r="D1561" s="25" t="s">
        <v>2476</v>
      </c>
      <c r="E1561" s="25" t="s">
        <v>2472</v>
      </c>
      <c r="F1561" s="25" t="s">
        <v>2475</v>
      </c>
      <c r="G1561" s="25" t="s">
        <v>2476</v>
      </c>
      <c r="H1561" s="25" t="s">
        <v>2142</v>
      </c>
      <c r="I1561" s="25" t="s">
        <v>3872</v>
      </c>
    </row>
    <row r="1562" spans="1:14" ht="18" hidden="1" customHeight="1" outlineLevel="2" x14ac:dyDescent="0.2">
      <c r="A1562" s="25"/>
      <c r="B1562" s="25"/>
      <c r="C1562" s="25"/>
      <c r="D1562" s="25" t="s">
        <v>2478</v>
      </c>
      <c r="E1562" s="25" t="s">
        <v>2472</v>
      </c>
      <c r="F1562" s="25" t="s">
        <v>2477</v>
      </c>
      <c r="G1562" s="25" t="s">
        <v>2478</v>
      </c>
      <c r="H1562" s="25" t="s">
        <v>2142</v>
      </c>
      <c r="I1562" s="25" t="s">
        <v>3873</v>
      </c>
    </row>
    <row r="1563" spans="1:14" ht="18" hidden="1" customHeight="1" outlineLevel="2" x14ac:dyDescent="0.2">
      <c r="A1563" s="25"/>
      <c r="B1563" s="25"/>
      <c r="C1563" s="25"/>
      <c r="D1563" s="25" t="s">
        <v>2480</v>
      </c>
      <c r="E1563" s="25" t="s">
        <v>2472</v>
      </c>
      <c r="F1563" s="25" t="s">
        <v>2479</v>
      </c>
      <c r="G1563" s="25" t="s">
        <v>2480</v>
      </c>
      <c r="H1563" s="25" t="s">
        <v>2142</v>
      </c>
      <c r="I1563" s="25" t="s">
        <v>3874</v>
      </c>
    </row>
    <row r="1564" spans="1:14" ht="18" hidden="1" customHeight="1" outlineLevel="2" x14ac:dyDescent="0.2">
      <c r="A1564" s="25"/>
      <c r="B1564" s="25"/>
      <c r="C1564" s="25"/>
      <c r="D1564" s="25" t="s">
        <v>2482</v>
      </c>
      <c r="E1564" s="25" t="s">
        <v>2472</v>
      </c>
      <c r="F1564" s="25" t="s">
        <v>2481</v>
      </c>
      <c r="G1564" s="25" t="s">
        <v>2482</v>
      </c>
      <c r="H1564" s="25" t="s">
        <v>2142</v>
      </c>
      <c r="I1564" s="25" t="s">
        <v>3875</v>
      </c>
    </row>
    <row r="1565" spans="1:14" ht="18" hidden="1" customHeight="1" outlineLevel="2" x14ac:dyDescent="0.2">
      <c r="A1565" s="25"/>
      <c r="B1565" s="25"/>
      <c r="C1565" s="25"/>
      <c r="D1565" s="25" t="s">
        <v>2484</v>
      </c>
      <c r="E1565" s="25" t="s">
        <v>2472</v>
      </c>
      <c r="F1565" s="25" t="s">
        <v>2483</v>
      </c>
      <c r="G1565" s="25" t="s">
        <v>2484</v>
      </c>
      <c r="H1565" s="25" t="s">
        <v>2142</v>
      </c>
      <c r="I1565" s="25" t="s">
        <v>3876</v>
      </c>
    </row>
    <row r="1566" spans="1:14" ht="18" hidden="1" customHeight="1" outlineLevel="2" x14ac:dyDescent="0.2">
      <c r="A1566" s="25"/>
      <c r="B1566" s="25"/>
      <c r="C1566" s="25"/>
      <c r="D1566" s="25" t="s">
        <v>2486</v>
      </c>
      <c r="E1566" s="25" t="s">
        <v>2472</v>
      </c>
      <c r="F1566" s="25" t="s">
        <v>2485</v>
      </c>
      <c r="G1566" s="25" t="s">
        <v>2486</v>
      </c>
      <c r="H1566" s="25" t="s">
        <v>2142</v>
      </c>
      <c r="I1566" s="25" t="s">
        <v>3877</v>
      </c>
    </row>
    <row r="1567" spans="1:14" ht="18" hidden="1" customHeight="1" outlineLevel="2" x14ac:dyDescent="0.2">
      <c r="A1567" s="25"/>
      <c r="B1567" s="25"/>
      <c r="C1567" s="25"/>
      <c r="D1567" s="25" t="s">
        <v>352</v>
      </c>
      <c r="E1567" s="25" t="s">
        <v>2472</v>
      </c>
      <c r="F1567" s="25" t="s">
        <v>2487</v>
      </c>
      <c r="G1567" s="25" t="s">
        <v>2488</v>
      </c>
      <c r="H1567" s="25" t="s">
        <v>2142</v>
      </c>
      <c r="I1567" s="25" t="s">
        <v>3871</v>
      </c>
    </row>
    <row r="1568" spans="1:14" ht="18" hidden="1" customHeight="1" outlineLevel="2" x14ac:dyDescent="0.2">
      <c r="A1568" s="25"/>
      <c r="B1568" s="25"/>
      <c r="C1568" s="25"/>
      <c r="D1568" s="25" t="s">
        <v>352</v>
      </c>
      <c r="E1568" s="25" t="s">
        <v>2472</v>
      </c>
      <c r="F1568" s="25" t="s">
        <v>2489</v>
      </c>
      <c r="G1568" s="25" t="s">
        <v>2490</v>
      </c>
      <c r="H1568" s="25" t="s">
        <v>2142</v>
      </c>
      <c r="I1568" s="25" t="s">
        <v>3872</v>
      </c>
    </row>
    <row r="1569" spans="1:14" ht="18" hidden="1" customHeight="1" outlineLevel="2" x14ac:dyDescent="0.2">
      <c r="A1569" s="25"/>
      <c r="B1569" s="25"/>
      <c r="C1569" s="25"/>
      <c r="D1569" s="25" t="s">
        <v>352</v>
      </c>
      <c r="E1569" s="25" t="s">
        <v>2472</v>
      </c>
      <c r="F1569" s="25" t="s">
        <v>2491</v>
      </c>
      <c r="G1569" s="25" t="s">
        <v>2492</v>
      </c>
      <c r="H1569" s="25" t="s">
        <v>2142</v>
      </c>
      <c r="I1569" s="25" t="s">
        <v>3873</v>
      </c>
    </row>
    <row r="1570" spans="1:14" ht="18" hidden="1" customHeight="1" outlineLevel="2" x14ac:dyDescent="0.2">
      <c r="A1570" s="25"/>
      <c r="B1570" s="25"/>
      <c r="C1570" s="25"/>
      <c r="D1570" s="25" t="s">
        <v>352</v>
      </c>
      <c r="E1570" s="25" t="s">
        <v>2472</v>
      </c>
      <c r="F1570" s="25" t="s">
        <v>2493</v>
      </c>
      <c r="G1570" s="25" t="s">
        <v>2494</v>
      </c>
      <c r="H1570" s="25" t="s">
        <v>2142</v>
      </c>
      <c r="I1570" s="25" t="s">
        <v>2316</v>
      </c>
    </row>
    <row r="1571" spans="1:14" ht="18" hidden="1" customHeight="1" outlineLevel="2" x14ac:dyDescent="0.2">
      <c r="A1571" s="25"/>
      <c r="B1571" s="25"/>
      <c r="C1571" s="25"/>
      <c r="D1571" s="25" t="s">
        <v>352</v>
      </c>
      <c r="E1571" s="25" t="s">
        <v>2472</v>
      </c>
      <c r="F1571" s="25" t="s">
        <v>2495</v>
      </c>
      <c r="G1571" s="25" t="s">
        <v>2496</v>
      </c>
      <c r="H1571" s="25" t="s">
        <v>2142</v>
      </c>
      <c r="I1571" s="25" t="s">
        <v>2318</v>
      </c>
    </row>
    <row r="1572" spans="1:14" ht="18" hidden="1" customHeight="1" outlineLevel="2" x14ac:dyDescent="0.2">
      <c r="A1572" s="25"/>
      <c r="B1572" s="25"/>
      <c r="C1572" s="25"/>
      <c r="D1572" s="25" t="s">
        <v>352</v>
      </c>
      <c r="E1572" s="25" t="s">
        <v>2472</v>
      </c>
      <c r="F1572" s="25" t="s">
        <v>2497</v>
      </c>
      <c r="G1572" s="25" t="s">
        <v>2498</v>
      </c>
      <c r="H1572" s="25" t="s">
        <v>2142</v>
      </c>
      <c r="I1572" s="25" t="s">
        <v>2320</v>
      </c>
    </row>
    <row r="1573" spans="1:14" ht="18" hidden="1" customHeight="1" outlineLevel="2" x14ac:dyDescent="0.2">
      <c r="A1573" s="25"/>
      <c r="B1573" s="25"/>
      <c r="C1573" s="25"/>
      <c r="D1573" s="25" t="s">
        <v>2501</v>
      </c>
      <c r="E1573" s="25" t="s">
        <v>2499</v>
      </c>
      <c r="F1573" s="25" t="s">
        <v>2500</v>
      </c>
      <c r="G1573" s="25" t="s">
        <v>2501</v>
      </c>
      <c r="H1573" s="25" t="s">
        <v>2142</v>
      </c>
      <c r="I1573" s="25" t="s">
        <v>2502</v>
      </c>
    </row>
    <row r="1574" spans="1:14" ht="18" hidden="1" customHeight="1" outlineLevel="2" x14ac:dyDescent="0.2">
      <c r="A1574" s="25"/>
      <c r="B1574" s="25"/>
      <c r="C1574" s="25"/>
      <c r="D1574" s="25" t="s">
        <v>352</v>
      </c>
      <c r="E1574" s="25" t="s">
        <v>2499</v>
      </c>
      <c r="F1574" s="25" t="s">
        <v>2503</v>
      </c>
      <c r="G1574" s="25" t="s">
        <v>2504</v>
      </c>
      <c r="H1574" s="25" t="s">
        <v>2142</v>
      </c>
      <c r="I1574" s="25" t="s">
        <v>2505</v>
      </c>
    </row>
    <row r="1575" spans="1:14" ht="18" hidden="1" customHeight="1" outlineLevel="2" x14ac:dyDescent="0.2">
      <c r="A1575" s="25"/>
      <c r="B1575" s="25"/>
      <c r="C1575" s="25"/>
      <c r="D1575" s="25" t="s">
        <v>352</v>
      </c>
      <c r="E1575" s="25" t="s">
        <v>2506</v>
      </c>
      <c r="F1575" s="25"/>
      <c r="G1575" s="25" t="s">
        <v>2507</v>
      </c>
      <c r="H1575" s="25"/>
      <c r="I1575" s="25"/>
      <c r="J1575" s="25" t="s">
        <v>376</v>
      </c>
    </row>
    <row r="1576" spans="1:14" ht="18" hidden="1" customHeight="1" outlineLevel="2" x14ac:dyDescent="0.2">
      <c r="A1576" s="25"/>
      <c r="B1576" s="25"/>
      <c r="C1576" s="25"/>
      <c r="D1576" s="25" t="s">
        <v>352</v>
      </c>
      <c r="E1576" s="25" t="s">
        <v>2508</v>
      </c>
      <c r="F1576" s="25" t="s">
        <v>2509</v>
      </c>
      <c r="G1576" s="25" t="s">
        <v>2510</v>
      </c>
      <c r="H1576" s="25"/>
      <c r="I1576" s="25"/>
      <c r="J1576" s="25" t="s">
        <v>405</v>
      </c>
    </row>
    <row r="1577" spans="1:14" ht="18" hidden="1" customHeight="1" outlineLevel="2" x14ac:dyDescent="0.2">
      <c r="A1577" s="25"/>
      <c r="B1577" s="25"/>
      <c r="C1577" s="25"/>
      <c r="D1577" s="25"/>
      <c r="E1577" s="25"/>
      <c r="F1577" s="25"/>
      <c r="G1577" s="25"/>
      <c r="H1577" s="25"/>
      <c r="I1577" s="25"/>
      <c r="N1577" s="74"/>
    </row>
    <row r="1578" spans="1:14" ht="18" hidden="1" customHeight="1" outlineLevel="2" x14ac:dyDescent="0.2">
      <c r="A1578" s="25"/>
      <c r="B1578" s="25"/>
      <c r="C1578" s="25"/>
      <c r="D1578" s="25" t="s">
        <v>2261</v>
      </c>
      <c r="E1578" s="25" t="s">
        <v>2259</v>
      </c>
      <c r="F1578" s="25" t="s">
        <v>2260</v>
      </c>
      <c r="G1578" s="25" t="s">
        <v>2261</v>
      </c>
      <c r="H1578" s="25" t="s">
        <v>2142</v>
      </c>
      <c r="I1578" s="25" t="s">
        <v>2262</v>
      </c>
    </row>
    <row r="1579" spans="1:14" ht="18" hidden="1" customHeight="1" outlineLevel="2" x14ac:dyDescent="0.2">
      <c r="A1579" s="25"/>
      <c r="B1579" s="25"/>
      <c r="C1579" s="25"/>
      <c r="D1579" s="25" t="s">
        <v>2264</v>
      </c>
      <c r="E1579" s="25" t="s">
        <v>2259</v>
      </c>
      <c r="F1579" s="25" t="s">
        <v>2263</v>
      </c>
      <c r="G1579" s="25" t="s">
        <v>2264</v>
      </c>
      <c r="H1579" s="25" t="s">
        <v>2142</v>
      </c>
      <c r="I1579" s="25" t="s">
        <v>2262</v>
      </c>
    </row>
    <row r="1580" spans="1:14" ht="18" hidden="1" customHeight="1" outlineLevel="2" x14ac:dyDescent="0.2">
      <c r="A1580" s="25"/>
      <c r="B1580" s="25"/>
      <c r="C1580" s="25"/>
      <c r="D1580" s="25" t="s">
        <v>2266</v>
      </c>
      <c r="E1580" s="25" t="s">
        <v>2259</v>
      </c>
      <c r="F1580" s="25" t="s">
        <v>2265</v>
      </c>
      <c r="G1580" s="25" t="s">
        <v>2266</v>
      </c>
      <c r="H1580" s="25" t="s">
        <v>2142</v>
      </c>
      <c r="I1580" s="25" t="s">
        <v>2262</v>
      </c>
    </row>
    <row r="1581" spans="1:14" ht="18" hidden="1" customHeight="1" outlineLevel="2" x14ac:dyDescent="0.2">
      <c r="A1581" s="25"/>
      <c r="B1581" s="25"/>
      <c r="C1581" s="25"/>
      <c r="D1581" s="25" t="s">
        <v>2268</v>
      </c>
      <c r="E1581" s="25" t="s">
        <v>2259</v>
      </c>
      <c r="F1581" s="25" t="s">
        <v>2267</v>
      </c>
      <c r="G1581" s="25" t="s">
        <v>2268</v>
      </c>
      <c r="H1581" s="25" t="s">
        <v>2142</v>
      </c>
      <c r="I1581" s="25" t="s">
        <v>2262</v>
      </c>
    </row>
    <row r="1582" spans="1:14" ht="18" hidden="1" customHeight="1" outlineLevel="2" x14ac:dyDescent="0.2">
      <c r="A1582" s="25"/>
      <c r="B1582" s="25"/>
      <c r="C1582" s="25"/>
      <c r="D1582" s="25" t="s">
        <v>352</v>
      </c>
      <c r="E1582" s="25" t="s">
        <v>2259</v>
      </c>
      <c r="F1582" s="25" t="s">
        <v>2269</v>
      </c>
      <c r="G1582" s="25" t="s">
        <v>2270</v>
      </c>
      <c r="H1582" s="25" t="s">
        <v>2142</v>
      </c>
      <c r="I1582" s="25" t="s">
        <v>2262</v>
      </c>
    </row>
    <row r="1583" spans="1:14" ht="18" hidden="1" customHeight="1" outlineLevel="2" x14ac:dyDescent="0.2">
      <c r="A1583" s="25"/>
      <c r="B1583" s="25"/>
      <c r="C1583" s="25"/>
      <c r="D1583" s="25" t="s">
        <v>2273</v>
      </c>
      <c r="E1583" s="25" t="s">
        <v>2271</v>
      </c>
      <c r="F1583" s="25" t="s">
        <v>2272</v>
      </c>
      <c r="G1583" s="25" t="s">
        <v>2273</v>
      </c>
      <c r="H1583" s="25" t="s">
        <v>2142</v>
      </c>
      <c r="I1583" s="25" t="s">
        <v>2262</v>
      </c>
    </row>
    <row r="1584" spans="1:14" ht="18" hidden="1" customHeight="1" outlineLevel="2" x14ac:dyDescent="0.2">
      <c r="A1584" s="25"/>
      <c r="B1584" s="25"/>
      <c r="C1584" s="25"/>
      <c r="D1584" s="25" t="s">
        <v>2275</v>
      </c>
      <c r="E1584" s="25" t="s">
        <v>2271</v>
      </c>
      <c r="F1584" s="25" t="s">
        <v>2274</v>
      </c>
      <c r="G1584" s="25" t="s">
        <v>2275</v>
      </c>
      <c r="H1584" s="25" t="s">
        <v>2142</v>
      </c>
      <c r="I1584" s="25" t="s">
        <v>2262</v>
      </c>
    </row>
    <row r="1585" spans="1:9" ht="18" hidden="1" customHeight="1" outlineLevel="2" x14ac:dyDescent="0.2">
      <c r="A1585" s="25"/>
      <c r="B1585" s="25"/>
      <c r="C1585" s="25"/>
      <c r="D1585" s="25" t="s">
        <v>352</v>
      </c>
      <c r="E1585" s="25" t="s">
        <v>2271</v>
      </c>
      <c r="F1585" s="25" t="s">
        <v>2276</v>
      </c>
      <c r="G1585" s="25" t="s">
        <v>2277</v>
      </c>
      <c r="H1585" s="25" t="s">
        <v>2142</v>
      </c>
      <c r="I1585" s="25" t="s">
        <v>2262</v>
      </c>
    </row>
    <row r="1586" spans="1:9" ht="18" hidden="1" customHeight="1" outlineLevel="2" x14ac:dyDescent="0.2">
      <c r="A1586" s="25"/>
      <c r="B1586" s="25"/>
      <c r="C1586" s="25"/>
      <c r="D1586" s="25" t="s">
        <v>352</v>
      </c>
      <c r="E1586" s="25" t="s">
        <v>2271</v>
      </c>
      <c r="F1586" s="25" t="s">
        <v>2278</v>
      </c>
      <c r="G1586" s="25" t="s">
        <v>2279</v>
      </c>
      <c r="H1586" s="25" t="s">
        <v>2142</v>
      </c>
      <c r="I1586" s="25" t="s">
        <v>2262</v>
      </c>
    </row>
    <row r="1587" spans="1:9" ht="18" hidden="1" customHeight="1" outlineLevel="2" x14ac:dyDescent="0.2">
      <c r="A1587" s="25"/>
      <c r="B1587" s="25"/>
      <c r="C1587" s="25"/>
      <c r="D1587" s="25" t="s">
        <v>3405</v>
      </c>
      <c r="E1587" s="25" t="s">
        <v>2280</v>
      </c>
      <c r="F1587" s="25" t="s">
        <v>2281</v>
      </c>
      <c r="G1587" s="25" t="s">
        <v>2282</v>
      </c>
      <c r="H1587" s="25" t="s">
        <v>2142</v>
      </c>
      <c r="I1587" s="25" t="s">
        <v>2283</v>
      </c>
    </row>
    <row r="1588" spans="1:9" ht="18" hidden="1" customHeight="1" outlineLevel="2" x14ac:dyDescent="0.2">
      <c r="A1588" s="25"/>
      <c r="B1588" s="25"/>
      <c r="C1588" s="25"/>
      <c r="D1588" s="25" t="s">
        <v>3406</v>
      </c>
      <c r="E1588" s="25" t="s">
        <v>2280</v>
      </c>
      <c r="F1588" s="25" t="s">
        <v>2284</v>
      </c>
      <c r="G1588" s="25" t="s">
        <v>2285</v>
      </c>
      <c r="H1588" s="25" t="s">
        <v>2142</v>
      </c>
      <c r="I1588" s="25" t="s">
        <v>2283</v>
      </c>
    </row>
    <row r="1589" spans="1:9" ht="18" hidden="1" customHeight="1" outlineLevel="2" x14ac:dyDescent="0.2">
      <c r="A1589" s="25"/>
      <c r="B1589" s="25"/>
      <c r="C1589" s="25"/>
      <c r="D1589" s="25" t="s">
        <v>3407</v>
      </c>
      <c r="E1589" s="25" t="s">
        <v>2280</v>
      </c>
      <c r="F1589" s="25" t="s">
        <v>2286</v>
      </c>
      <c r="G1589" s="25" t="s">
        <v>2287</v>
      </c>
      <c r="H1589" s="25" t="s">
        <v>2142</v>
      </c>
      <c r="I1589" s="25" t="s">
        <v>2283</v>
      </c>
    </row>
    <row r="1590" spans="1:9" ht="18" hidden="1" customHeight="1" outlineLevel="2" x14ac:dyDescent="0.2">
      <c r="A1590" s="25"/>
      <c r="B1590" s="25"/>
      <c r="C1590" s="25"/>
      <c r="D1590" s="25" t="s">
        <v>3408</v>
      </c>
      <c r="E1590" s="25" t="s">
        <v>2280</v>
      </c>
      <c r="F1590" s="25" t="s">
        <v>2288</v>
      </c>
      <c r="G1590" s="25" t="s">
        <v>2289</v>
      </c>
      <c r="H1590" s="25" t="s">
        <v>2142</v>
      </c>
      <c r="I1590" s="25" t="s">
        <v>2283</v>
      </c>
    </row>
    <row r="1591" spans="1:9" ht="18" hidden="1" customHeight="1" outlineLevel="2" x14ac:dyDescent="0.2">
      <c r="A1591" s="25"/>
      <c r="B1591" s="25"/>
      <c r="C1591" s="25"/>
      <c r="D1591" s="25" t="s">
        <v>3409</v>
      </c>
      <c r="E1591" s="25" t="s">
        <v>2280</v>
      </c>
      <c r="F1591" s="25" t="s">
        <v>2290</v>
      </c>
      <c r="G1591" s="25" t="s">
        <v>2291</v>
      </c>
      <c r="H1591" s="25" t="s">
        <v>2142</v>
      </c>
      <c r="I1591" s="25" t="s">
        <v>2283</v>
      </c>
    </row>
    <row r="1592" spans="1:9" ht="18" hidden="1" customHeight="1" outlineLevel="2" x14ac:dyDescent="0.2">
      <c r="A1592" s="25"/>
      <c r="B1592" s="25"/>
      <c r="C1592" s="25"/>
      <c r="D1592" s="25" t="s">
        <v>3410</v>
      </c>
      <c r="E1592" s="25" t="s">
        <v>2280</v>
      </c>
      <c r="F1592" s="25" t="s">
        <v>2292</v>
      </c>
      <c r="G1592" s="25" t="s">
        <v>2293</v>
      </c>
      <c r="H1592" s="25" t="s">
        <v>2142</v>
      </c>
      <c r="I1592" s="25" t="s">
        <v>2283</v>
      </c>
    </row>
    <row r="1593" spans="1:9" ht="18" hidden="1" customHeight="1" outlineLevel="2" x14ac:dyDescent="0.2">
      <c r="A1593" s="25"/>
      <c r="B1593" s="25"/>
      <c r="C1593" s="25"/>
      <c r="D1593" s="25" t="s">
        <v>3411</v>
      </c>
      <c r="E1593" s="25" t="s">
        <v>2280</v>
      </c>
      <c r="F1593" s="25" t="s">
        <v>2294</v>
      </c>
      <c r="G1593" s="25" t="s">
        <v>2295</v>
      </c>
      <c r="H1593" s="25" t="s">
        <v>2142</v>
      </c>
      <c r="I1593" s="25" t="s">
        <v>2283</v>
      </c>
    </row>
    <row r="1594" spans="1:9" ht="18" hidden="1" customHeight="1" outlineLevel="2" x14ac:dyDescent="0.2">
      <c r="A1594" s="25"/>
      <c r="B1594" s="25"/>
      <c r="C1594" s="25"/>
      <c r="D1594" s="25" t="s">
        <v>3412</v>
      </c>
      <c r="E1594" s="25" t="s">
        <v>2280</v>
      </c>
      <c r="F1594" s="25" t="s">
        <v>2296</v>
      </c>
      <c r="G1594" s="25" t="s">
        <v>2297</v>
      </c>
      <c r="H1594" s="25" t="s">
        <v>2142</v>
      </c>
      <c r="I1594" s="25" t="s">
        <v>2283</v>
      </c>
    </row>
    <row r="1595" spans="1:9" ht="18" hidden="1" customHeight="1" outlineLevel="2" x14ac:dyDescent="0.2">
      <c r="A1595" s="25"/>
      <c r="B1595" s="25"/>
      <c r="C1595" s="25"/>
      <c r="D1595" s="25" t="s">
        <v>3413</v>
      </c>
      <c r="E1595" s="25" t="s">
        <v>2298</v>
      </c>
      <c r="F1595" s="25" t="s">
        <v>2164</v>
      </c>
      <c r="G1595" s="25" t="s">
        <v>2299</v>
      </c>
      <c r="H1595" s="25" t="s">
        <v>2142</v>
      </c>
      <c r="I1595" s="25"/>
    </row>
    <row r="1596" spans="1:9" ht="18" hidden="1" customHeight="1" outlineLevel="2" x14ac:dyDescent="0.2">
      <c r="A1596" s="25"/>
      <c r="B1596" s="25"/>
      <c r="C1596" s="25"/>
      <c r="D1596" s="25" t="s">
        <v>2300</v>
      </c>
      <c r="E1596" s="25" t="s">
        <v>2271</v>
      </c>
      <c r="F1596" s="25" t="s">
        <v>2272</v>
      </c>
      <c r="G1596" s="25" t="s">
        <v>2300</v>
      </c>
      <c r="H1596" s="25" t="s">
        <v>2142</v>
      </c>
      <c r="I1596" s="25" t="s">
        <v>2301</v>
      </c>
    </row>
    <row r="1597" spans="1:9" ht="18" hidden="1" customHeight="1" outlineLevel="2" x14ac:dyDescent="0.2">
      <c r="A1597" s="25"/>
      <c r="B1597" s="25"/>
      <c r="C1597" s="25"/>
      <c r="D1597" s="25" t="s">
        <v>2302</v>
      </c>
      <c r="E1597" s="25" t="s">
        <v>2271</v>
      </c>
      <c r="F1597" s="25" t="s">
        <v>2274</v>
      </c>
      <c r="G1597" s="25" t="s">
        <v>2302</v>
      </c>
      <c r="H1597" s="25" t="s">
        <v>2142</v>
      </c>
      <c r="I1597" s="25" t="s">
        <v>2301</v>
      </c>
    </row>
    <row r="1598" spans="1:9" ht="18" hidden="1" customHeight="1" outlineLevel="2" x14ac:dyDescent="0.2">
      <c r="A1598" s="25"/>
      <c r="B1598" s="25"/>
      <c r="C1598" s="25"/>
      <c r="D1598" s="25" t="s">
        <v>2303</v>
      </c>
      <c r="E1598" s="25" t="s">
        <v>2259</v>
      </c>
      <c r="F1598" s="25" t="s">
        <v>2260</v>
      </c>
      <c r="G1598" s="25" t="s">
        <v>2303</v>
      </c>
      <c r="H1598" s="25" t="s">
        <v>2142</v>
      </c>
      <c r="I1598" s="25" t="s">
        <v>2301</v>
      </c>
    </row>
    <row r="1599" spans="1:9" ht="18" hidden="1" customHeight="1" outlineLevel="2" x14ac:dyDescent="0.2">
      <c r="A1599" s="25"/>
      <c r="B1599" s="25"/>
      <c r="C1599" s="25"/>
      <c r="D1599" s="25" t="s">
        <v>2304</v>
      </c>
      <c r="E1599" s="25" t="s">
        <v>2259</v>
      </c>
      <c r="F1599" s="25" t="s">
        <v>2263</v>
      </c>
      <c r="G1599" s="25" t="s">
        <v>2304</v>
      </c>
      <c r="H1599" s="25" t="s">
        <v>2142</v>
      </c>
      <c r="I1599" s="25" t="s">
        <v>2301</v>
      </c>
    </row>
    <row r="1600" spans="1:9" ht="18" hidden="1" customHeight="1" outlineLevel="2" x14ac:dyDescent="0.2">
      <c r="A1600" s="25"/>
      <c r="B1600" s="25"/>
      <c r="C1600" s="25"/>
      <c r="D1600" s="25" t="s">
        <v>3414</v>
      </c>
      <c r="E1600" s="25" t="s">
        <v>2280</v>
      </c>
      <c r="F1600" s="25" t="s">
        <v>2305</v>
      </c>
      <c r="G1600" s="25" t="s">
        <v>2306</v>
      </c>
      <c r="H1600" s="25" t="s">
        <v>2142</v>
      </c>
      <c r="I1600" s="25" t="s">
        <v>2307</v>
      </c>
    </row>
    <row r="1601" spans="1:14" ht="18" hidden="1" customHeight="1" outlineLevel="2" x14ac:dyDescent="0.2">
      <c r="A1601" s="25"/>
      <c r="B1601" s="25"/>
      <c r="C1601" s="25"/>
      <c r="D1601" s="25" t="s">
        <v>3415</v>
      </c>
      <c r="E1601" s="25" t="s">
        <v>2280</v>
      </c>
      <c r="F1601" s="25" t="s">
        <v>2308</v>
      </c>
      <c r="G1601" s="25" t="s">
        <v>2309</v>
      </c>
      <c r="H1601" s="25" t="s">
        <v>2142</v>
      </c>
      <c r="I1601" s="25" t="s">
        <v>2307</v>
      </c>
    </row>
    <row r="1602" spans="1:14" ht="18" hidden="1" customHeight="1" outlineLevel="2" x14ac:dyDescent="0.2">
      <c r="A1602" s="25"/>
      <c r="B1602" s="25"/>
      <c r="C1602" s="25"/>
      <c r="D1602" s="25" t="s">
        <v>3416</v>
      </c>
      <c r="E1602" s="25" t="s">
        <v>2280</v>
      </c>
      <c r="F1602" s="25" t="s">
        <v>2310</v>
      </c>
      <c r="G1602" s="25" t="s">
        <v>2311</v>
      </c>
      <c r="H1602" s="25" t="s">
        <v>2142</v>
      </c>
      <c r="I1602" s="25" t="s">
        <v>2307</v>
      </c>
    </row>
    <row r="1603" spans="1:14" ht="18" hidden="1" customHeight="1" outlineLevel="2" x14ac:dyDescent="0.2">
      <c r="A1603" s="25"/>
      <c r="B1603" s="25"/>
      <c r="C1603" s="25"/>
      <c r="D1603" s="25" t="s">
        <v>3417</v>
      </c>
      <c r="E1603" s="25" t="s">
        <v>2280</v>
      </c>
      <c r="F1603" s="25" t="s">
        <v>2312</v>
      </c>
      <c r="G1603" s="25" t="s">
        <v>2313</v>
      </c>
      <c r="H1603" s="25" t="s">
        <v>2142</v>
      </c>
      <c r="I1603" s="25" t="s">
        <v>2307</v>
      </c>
    </row>
    <row r="1604" spans="1:14" ht="18" hidden="1" customHeight="1" outlineLevel="2" x14ac:dyDescent="0.2">
      <c r="A1604" s="25"/>
      <c r="B1604" s="25"/>
      <c r="C1604" s="25"/>
      <c r="D1604" s="25" t="s">
        <v>3418</v>
      </c>
      <c r="E1604" s="25" t="s">
        <v>2280</v>
      </c>
      <c r="F1604" s="25" t="s">
        <v>2314</v>
      </c>
      <c r="G1604" s="25" t="s">
        <v>2315</v>
      </c>
      <c r="H1604" s="25" t="s">
        <v>2142</v>
      </c>
      <c r="I1604" s="25" t="s">
        <v>2307</v>
      </c>
    </row>
    <row r="1605" spans="1:14" ht="18" hidden="1" customHeight="1" outlineLevel="2" x14ac:dyDescent="0.2">
      <c r="A1605" s="25"/>
      <c r="B1605" s="25"/>
      <c r="C1605" s="25"/>
      <c r="D1605" s="25" t="s">
        <v>3419</v>
      </c>
      <c r="E1605" s="25" t="s">
        <v>2280</v>
      </c>
      <c r="F1605" s="25" t="s">
        <v>2316</v>
      </c>
      <c r="G1605" s="25" t="s">
        <v>2317</v>
      </c>
      <c r="H1605" s="25" t="s">
        <v>2142</v>
      </c>
      <c r="I1605" s="25" t="s">
        <v>2307</v>
      </c>
    </row>
    <row r="1606" spans="1:14" ht="18" hidden="1" customHeight="1" outlineLevel="2" x14ac:dyDescent="0.2">
      <c r="A1606" s="25"/>
      <c r="B1606" s="25"/>
      <c r="C1606" s="25"/>
      <c r="D1606" s="25" t="s">
        <v>3420</v>
      </c>
      <c r="E1606" s="25" t="s">
        <v>2280</v>
      </c>
      <c r="F1606" s="25" t="s">
        <v>2318</v>
      </c>
      <c r="G1606" s="25" t="s">
        <v>2319</v>
      </c>
      <c r="H1606" s="25" t="s">
        <v>2142</v>
      </c>
      <c r="I1606" s="25" t="s">
        <v>2307</v>
      </c>
    </row>
    <row r="1607" spans="1:14" ht="18" hidden="1" customHeight="1" outlineLevel="2" x14ac:dyDescent="0.2">
      <c r="A1607" s="25"/>
      <c r="B1607" s="25"/>
      <c r="C1607" s="25"/>
      <c r="D1607" s="25" t="s">
        <v>3421</v>
      </c>
      <c r="E1607" s="25" t="s">
        <v>2280</v>
      </c>
      <c r="F1607" s="25" t="s">
        <v>2320</v>
      </c>
      <c r="G1607" s="25" t="s">
        <v>2321</v>
      </c>
      <c r="H1607" s="25" t="s">
        <v>2142</v>
      </c>
      <c r="I1607" s="25" t="s">
        <v>2307</v>
      </c>
    </row>
    <row r="1608" spans="1:14" ht="18" hidden="1" customHeight="1" outlineLevel="2" x14ac:dyDescent="0.2">
      <c r="A1608" s="25"/>
      <c r="B1608" s="25"/>
      <c r="C1608" s="25"/>
      <c r="D1608" s="25"/>
      <c r="E1608" s="25"/>
      <c r="F1608" s="25"/>
      <c r="G1608" s="25"/>
      <c r="H1608" s="25"/>
      <c r="I1608" s="25"/>
    </row>
    <row r="1609" spans="1:14" ht="18" hidden="1" customHeight="1" outlineLevel="2" x14ac:dyDescent="0.2">
      <c r="A1609" s="25"/>
      <c r="B1609" s="25"/>
      <c r="C1609" s="25"/>
      <c r="D1609" s="25" t="s">
        <v>2337</v>
      </c>
      <c r="E1609" s="25" t="s">
        <v>2335</v>
      </c>
      <c r="F1609" s="25" t="s">
        <v>2336</v>
      </c>
      <c r="G1609" s="25" t="s">
        <v>2337</v>
      </c>
      <c r="H1609" s="25" t="s">
        <v>2142</v>
      </c>
      <c r="I1609" s="25"/>
    </row>
    <row r="1610" spans="1:14" ht="18" hidden="1" customHeight="1" outlineLevel="2" x14ac:dyDescent="0.2">
      <c r="A1610" s="25"/>
      <c r="B1610" s="25"/>
      <c r="C1610" s="25"/>
      <c r="D1610" s="25" t="s">
        <v>352</v>
      </c>
      <c r="E1610" s="25" t="s">
        <v>2335</v>
      </c>
      <c r="F1610" s="25" t="s">
        <v>2338</v>
      </c>
      <c r="G1610" s="25" t="s">
        <v>2339</v>
      </c>
      <c r="H1610" s="25" t="s">
        <v>2142</v>
      </c>
      <c r="I1610" s="25"/>
    </row>
    <row r="1611" spans="1:14" ht="18" hidden="1" customHeight="1" outlineLevel="2" x14ac:dyDescent="0.2">
      <c r="A1611" s="25"/>
      <c r="B1611" s="25"/>
      <c r="C1611" s="25"/>
      <c r="D1611" s="25"/>
      <c r="E1611" s="25"/>
      <c r="F1611" s="25"/>
      <c r="G1611" s="25"/>
      <c r="H1611" s="25"/>
      <c r="I1611" s="25"/>
    </row>
    <row r="1612" spans="1:14" ht="18" hidden="1" customHeight="1" outlineLevel="2" x14ac:dyDescent="0.2">
      <c r="A1612" s="25"/>
      <c r="B1612" s="25"/>
      <c r="C1612" s="25"/>
      <c r="D1612" s="25" t="s">
        <v>2332</v>
      </c>
      <c r="E1612" s="25" t="s">
        <v>2330</v>
      </c>
      <c r="F1612" s="25" t="s">
        <v>2331</v>
      </c>
      <c r="G1612" s="25" t="s">
        <v>2332</v>
      </c>
      <c r="H1612" s="25" t="s">
        <v>2142</v>
      </c>
      <c r="I1612" s="25"/>
      <c r="N1612" s="75"/>
    </row>
    <row r="1613" spans="1:14" ht="18" hidden="1" customHeight="1" outlineLevel="2" x14ac:dyDescent="0.2">
      <c r="A1613" s="25"/>
      <c r="B1613" s="25"/>
      <c r="C1613" s="25"/>
      <c r="D1613" s="25" t="s">
        <v>2334</v>
      </c>
      <c r="E1613" s="25" t="s">
        <v>2330</v>
      </c>
      <c r="F1613" s="25" t="s">
        <v>2333</v>
      </c>
      <c r="G1613" s="25" t="s">
        <v>2334</v>
      </c>
      <c r="H1613" s="25" t="s">
        <v>2142</v>
      </c>
      <c r="I1613" s="25"/>
      <c r="N1613" s="75"/>
    </row>
    <row r="1614" spans="1:14" ht="18" hidden="1" customHeight="1" outlineLevel="2" x14ac:dyDescent="0.2">
      <c r="A1614" s="25"/>
      <c r="B1614" s="25"/>
      <c r="C1614" s="25"/>
      <c r="D1614" s="25"/>
      <c r="E1614" s="25"/>
      <c r="F1614" s="25"/>
      <c r="G1614" s="25"/>
      <c r="H1614" s="25"/>
      <c r="I1614" s="25"/>
    </row>
    <row r="1615" spans="1:14" customFormat="1" ht="18" hidden="1" customHeight="1" outlineLevel="1" collapsed="1" x14ac:dyDescent="0.25">
      <c r="A1615" s="119" t="s">
        <v>3856</v>
      </c>
      <c r="B1615" s="120"/>
      <c r="C1615" s="120"/>
      <c r="D1615" s="120"/>
      <c r="E1615" s="120"/>
      <c r="F1615" s="120" t="s">
        <v>148</v>
      </c>
      <c r="G1615" s="120"/>
      <c r="H1615" s="120"/>
      <c r="I1615" s="120"/>
      <c r="J1615" s="120"/>
      <c r="K1615" s="120"/>
      <c r="L1615" s="160"/>
    </row>
    <row r="1616" spans="1:14" ht="18" hidden="1" customHeight="1" outlineLevel="2" x14ac:dyDescent="0.2">
      <c r="A1616" s="25"/>
      <c r="B1616" s="25"/>
      <c r="C1616" s="25"/>
      <c r="D1616" s="25" t="s">
        <v>3422</v>
      </c>
      <c r="E1616" s="25" t="s">
        <v>115</v>
      </c>
      <c r="F1616" s="25" t="s">
        <v>2181</v>
      </c>
      <c r="G1616" s="25" t="s">
        <v>2340</v>
      </c>
      <c r="H1616" s="25" t="s">
        <v>2183</v>
      </c>
      <c r="I1616" s="25"/>
    </row>
    <row r="1617" spans="1:12" ht="18" hidden="1" customHeight="1" outlineLevel="2" x14ac:dyDescent="0.2">
      <c r="A1617" s="25"/>
      <c r="B1617" s="25"/>
      <c r="C1617" s="25"/>
      <c r="D1617" s="25" t="s">
        <v>3423</v>
      </c>
      <c r="E1617" s="25" t="s">
        <v>115</v>
      </c>
      <c r="F1617" s="25" t="s">
        <v>2188</v>
      </c>
      <c r="G1617" s="25" t="s">
        <v>2341</v>
      </c>
      <c r="H1617" s="25" t="s">
        <v>2183</v>
      </c>
      <c r="I1617" s="25"/>
    </row>
    <row r="1618" spans="1:12" ht="18" hidden="1" customHeight="1" outlineLevel="2" x14ac:dyDescent="0.2">
      <c r="A1618" s="25"/>
      <c r="B1618" s="25"/>
      <c r="C1618" s="25"/>
      <c r="D1618" s="25" t="s">
        <v>3424</v>
      </c>
      <c r="E1618" s="25" t="s">
        <v>115</v>
      </c>
      <c r="F1618" s="25" t="s">
        <v>2194</v>
      </c>
      <c r="G1618" s="25" t="s">
        <v>2342</v>
      </c>
      <c r="H1618" s="25" t="s">
        <v>2183</v>
      </c>
      <c r="I1618" s="25"/>
    </row>
    <row r="1619" spans="1:12" ht="18" hidden="1" customHeight="1" outlineLevel="2" x14ac:dyDescent="0.2">
      <c r="A1619" s="25"/>
      <c r="B1619" s="25"/>
      <c r="C1619" s="25"/>
      <c r="D1619" s="25" t="s">
        <v>3425</v>
      </c>
      <c r="E1619" s="25" t="s">
        <v>115</v>
      </c>
      <c r="F1619" s="25" t="s">
        <v>2343</v>
      </c>
      <c r="G1619" s="25" t="s">
        <v>2344</v>
      </c>
      <c r="H1619" s="25" t="s">
        <v>2183</v>
      </c>
      <c r="I1619" s="25"/>
    </row>
    <row r="1620" spans="1:12" ht="18" hidden="1" customHeight="1" outlineLevel="2" x14ac:dyDescent="0.2">
      <c r="A1620" s="25"/>
      <c r="B1620" s="25"/>
      <c r="C1620" s="25"/>
      <c r="D1620" s="25" t="s">
        <v>3426</v>
      </c>
      <c r="E1620" s="25" t="s">
        <v>115</v>
      </c>
      <c r="F1620" s="25" t="s">
        <v>2345</v>
      </c>
      <c r="G1620" s="25" t="s">
        <v>2346</v>
      </c>
      <c r="H1620" s="25" t="s">
        <v>2183</v>
      </c>
      <c r="I1620" s="25"/>
    </row>
    <row r="1621" spans="1:12" ht="18" hidden="1" customHeight="1" outlineLevel="2" x14ac:dyDescent="0.2">
      <c r="A1621" s="25"/>
      <c r="B1621" s="25"/>
      <c r="C1621" s="25"/>
      <c r="D1621" s="25" t="s">
        <v>3427</v>
      </c>
      <c r="E1621" s="25" t="s">
        <v>115</v>
      </c>
      <c r="F1621" s="25" t="s">
        <v>2347</v>
      </c>
      <c r="G1621" s="25" t="s">
        <v>2348</v>
      </c>
      <c r="H1621" s="25" t="s">
        <v>2183</v>
      </c>
      <c r="I1621" s="25"/>
    </row>
    <row r="1622" spans="1:12" ht="18" hidden="1" customHeight="1" outlineLevel="2" x14ac:dyDescent="0.2">
      <c r="A1622" s="25"/>
      <c r="B1622" s="25"/>
      <c r="C1622" s="25"/>
      <c r="D1622" s="25"/>
      <c r="E1622" s="25"/>
      <c r="F1622" s="25"/>
      <c r="G1622" s="25"/>
      <c r="H1622" s="25"/>
      <c r="I1622" s="25"/>
    </row>
    <row r="1623" spans="1:12" customFormat="1" ht="18" hidden="1" customHeight="1" outlineLevel="1" collapsed="1" x14ac:dyDescent="0.25">
      <c r="A1623" s="119" t="s">
        <v>3857</v>
      </c>
      <c r="B1623" s="120"/>
      <c r="C1623" s="120"/>
      <c r="D1623" s="120"/>
      <c r="E1623" s="120"/>
      <c r="F1623" s="120" t="s">
        <v>148</v>
      </c>
      <c r="G1623" s="120"/>
      <c r="H1623" s="120"/>
      <c r="I1623" s="120"/>
      <c r="J1623" s="120"/>
      <c r="K1623" s="120"/>
      <c r="L1623" s="160"/>
    </row>
    <row r="1624" spans="1:12" ht="18" hidden="1" customHeight="1" outlineLevel="2" x14ac:dyDescent="0.2">
      <c r="A1624" s="25"/>
      <c r="B1624" s="25"/>
      <c r="C1624" s="25"/>
      <c r="D1624" s="25" t="s">
        <v>352</v>
      </c>
      <c r="E1624" s="25" t="s">
        <v>116</v>
      </c>
      <c r="F1624" s="25" t="s">
        <v>2322</v>
      </c>
      <c r="G1624" s="25" t="s">
        <v>2323</v>
      </c>
      <c r="H1624" s="25" t="s">
        <v>2142</v>
      </c>
      <c r="I1624" s="25" t="s">
        <v>2324</v>
      </c>
    </row>
    <row r="1625" spans="1:12" ht="18" hidden="1" customHeight="1" outlineLevel="2" x14ac:dyDescent="0.2">
      <c r="A1625" s="25"/>
      <c r="B1625" s="25"/>
      <c r="C1625" s="25"/>
      <c r="D1625" s="25" t="s">
        <v>352</v>
      </c>
      <c r="E1625" s="25" t="s">
        <v>116</v>
      </c>
      <c r="F1625" s="25" t="s">
        <v>2325</v>
      </c>
      <c r="G1625" s="25" t="s">
        <v>2326</v>
      </c>
      <c r="H1625" s="25" t="s">
        <v>2142</v>
      </c>
      <c r="I1625" s="25" t="s">
        <v>2327</v>
      </c>
    </row>
    <row r="1626" spans="1:12" ht="18" hidden="1" customHeight="1" outlineLevel="2" x14ac:dyDescent="0.2">
      <c r="A1626" s="25"/>
      <c r="B1626" s="25"/>
      <c r="C1626" s="25"/>
      <c r="D1626" s="25" t="s">
        <v>352</v>
      </c>
      <c r="E1626" s="25" t="s">
        <v>116</v>
      </c>
      <c r="F1626" s="25" t="s">
        <v>2322</v>
      </c>
      <c r="G1626" s="25" t="s">
        <v>2328</v>
      </c>
      <c r="H1626" s="25" t="s">
        <v>2142</v>
      </c>
      <c r="I1626" s="25" t="s">
        <v>2329</v>
      </c>
    </row>
    <row r="1627" spans="1:12" ht="18" hidden="1" customHeight="1" outlineLevel="2" x14ac:dyDescent="0.2">
      <c r="A1627" s="25"/>
      <c r="B1627" s="25"/>
      <c r="C1627" s="25"/>
      <c r="D1627" s="25"/>
      <c r="E1627" s="25"/>
      <c r="F1627" s="25"/>
      <c r="G1627" s="25"/>
      <c r="H1627" s="25"/>
      <c r="I1627" s="25"/>
    </row>
    <row r="1628" spans="1:12" customFormat="1" ht="18" hidden="1" customHeight="1" outlineLevel="1" collapsed="1" x14ac:dyDescent="0.25">
      <c r="A1628" s="119" t="s">
        <v>118</v>
      </c>
      <c r="B1628" s="120"/>
      <c r="C1628" s="120"/>
      <c r="D1628" s="120"/>
      <c r="E1628" s="120"/>
      <c r="F1628" s="120" t="s">
        <v>148</v>
      </c>
      <c r="G1628" s="120"/>
      <c r="H1628" s="120"/>
      <c r="I1628" s="120"/>
      <c r="J1628" s="120"/>
      <c r="K1628" s="120"/>
      <c r="L1628" s="160"/>
    </row>
    <row r="1629" spans="1:12" ht="18" hidden="1" customHeight="1" outlineLevel="2" x14ac:dyDescent="0.2">
      <c r="A1629" s="25"/>
      <c r="B1629" s="25"/>
      <c r="C1629" s="25"/>
      <c r="D1629" s="25" t="s">
        <v>352</v>
      </c>
      <c r="E1629" s="25" t="s">
        <v>804</v>
      </c>
      <c r="F1629" s="65" t="s">
        <v>2349</v>
      </c>
      <c r="G1629" s="25" t="s">
        <v>2350</v>
      </c>
      <c r="H1629" s="25" t="s">
        <v>2351</v>
      </c>
      <c r="I1629" s="25"/>
    </row>
    <row r="1630" spans="1:12" ht="18" hidden="1" customHeight="1" outlineLevel="2" x14ac:dyDescent="0.2">
      <c r="A1630" s="25"/>
      <c r="B1630" s="25"/>
      <c r="C1630" s="25"/>
      <c r="D1630" s="25" t="s">
        <v>352</v>
      </c>
      <c r="E1630" s="25" t="s">
        <v>804</v>
      </c>
      <c r="F1630" s="65" t="s">
        <v>2352</v>
      </c>
      <c r="G1630" s="25" t="s">
        <v>2353</v>
      </c>
      <c r="H1630" s="25" t="s">
        <v>2351</v>
      </c>
      <c r="I1630" s="25"/>
    </row>
    <row r="1631" spans="1:12" ht="18" hidden="1" customHeight="1" outlineLevel="2" x14ac:dyDescent="0.2">
      <c r="A1631" s="25"/>
      <c r="B1631" s="25"/>
      <c r="C1631" s="25"/>
      <c r="D1631" s="25" t="s">
        <v>352</v>
      </c>
      <c r="E1631" s="25" t="s">
        <v>804</v>
      </c>
      <c r="F1631" s="65" t="s">
        <v>2354</v>
      </c>
      <c r="G1631" s="25" t="s">
        <v>2355</v>
      </c>
      <c r="H1631" s="25" t="s">
        <v>2248</v>
      </c>
      <c r="I1631" s="25"/>
    </row>
    <row r="1632" spans="1:12" ht="18" hidden="1" customHeight="1" outlineLevel="2" x14ac:dyDescent="0.2">
      <c r="A1632" s="25"/>
      <c r="B1632" s="25"/>
      <c r="C1632" s="25"/>
      <c r="D1632" s="25" t="s">
        <v>352</v>
      </c>
      <c r="E1632" s="25" t="s">
        <v>804</v>
      </c>
      <c r="F1632" s="65" t="s">
        <v>2356</v>
      </c>
      <c r="G1632" s="25" t="s">
        <v>2357</v>
      </c>
      <c r="H1632" s="25" t="s">
        <v>2248</v>
      </c>
      <c r="I1632" s="25"/>
    </row>
    <row r="1633" spans="1:12" ht="18" hidden="1" customHeight="1" outlineLevel="2" x14ac:dyDescent="0.2">
      <c r="A1633" s="25"/>
      <c r="B1633" s="25"/>
      <c r="C1633" s="25"/>
      <c r="D1633" s="25" t="s">
        <v>352</v>
      </c>
      <c r="E1633" s="25" t="s">
        <v>804</v>
      </c>
      <c r="F1633" s="65" t="s">
        <v>2358</v>
      </c>
      <c r="G1633" s="25"/>
      <c r="H1633" s="25" t="s">
        <v>2142</v>
      </c>
      <c r="I1633" s="25" t="s">
        <v>2359</v>
      </c>
    </row>
    <row r="1634" spans="1:12" ht="18" hidden="1" customHeight="1" outlineLevel="2" x14ac:dyDescent="0.2">
      <c r="A1634" s="25"/>
      <c r="B1634" s="25"/>
      <c r="C1634" s="25"/>
      <c r="D1634" s="25" t="s">
        <v>352</v>
      </c>
      <c r="E1634" s="25" t="s">
        <v>804</v>
      </c>
      <c r="F1634" s="65" t="s">
        <v>2360</v>
      </c>
      <c r="G1634" s="25" t="s">
        <v>2361</v>
      </c>
      <c r="H1634" s="25" t="s">
        <v>2142</v>
      </c>
      <c r="I1634" s="25" t="s">
        <v>3879</v>
      </c>
    </row>
    <row r="1635" spans="1:12" ht="18" hidden="1" customHeight="1" outlineLevel="2" x14ac:dyDescent="0.2">
      <c r="A1635" s="25"/>
      <c r="B1635" s="25"/>
      <c r="C1635" s="25"/>
      <c r="D1635" s="25"/>
      <c r="E1635" s="25"/>
      <c r="F1635" s="65"/>
      <c r="G1635" s="25"/>
      <c r="H1635" s="25"/>
      <c r="I1635" s="25"/>
    </row>
    <row r="1636" spans="1:12" customFormat="1" ht="18" hidden="1" customHeight="1" outlineLevel="1" collapsed="1" x14ac:dyDescent="0.25">
      <c r="A1636" s="119" t="s">
        <v>3858</v>
      </c>
      <c r="B1636" s="120"/>
      <c r="C1636" s="120"/>
      <c r="D1636" s="120"/>
      <c r="E1636" s="120"/>
      <c r="F1636" s="120" t="s">
        <v>148</v>
      </c>
      <c r="G1636" s="120"/>
      <c r="H1636" s="120"/>
      <c r="I1636" s="120"/>
      <c r="J1636" s="120"/>
      <c r="K1636" s="120"/>
      <c r="L1636" s="160"/>
    </row>
    <row r="1637" spans="1:12" ht="18" hidden="1" customHeight="1" outlineLevel="2" x14ac:dyDescent="0.2">
      <c r="A1637" s="25"/>
      <c r="B1637" s="25"/>
      <c r="C1637" s="25"/>
      <c r="D1637" s="25" t="s">
        <v>3428</v>
      </c>
      <c r="E1637" s="25" t="s">
        <v>2362</v>
      </c>
      <c r="F1637" s="25" t="s">
        <v>1199</v>
      </c>
      <c r="G1637" s="25" t="s">
        <v>2363</v>
      </c>
      <c r="H1637" s="25" t="s">
        <v>2142</v>
      </c>
      <c r="I1637" s="25" t="s">
        <v>2364</v>
      </c>
      <c r="J1637" s="25" t="s">
        <v>674</v>
      </c>
    </row>
    <row r="1638" spans="1:12" ht="18" hidden="1" customHeight="1" outlineLevel="2" x14ac:dyDescent="0.2">
      <c r="A1638" s="25"/>
      <c r="B1638" s="25"/>
      <c r="C1638" s="25"/>
      <c r="D1638" s="25" t="s">
        <v>3429</v>
      </c>
      <c r="E1638" s="25" t="s">
        <v>2362</v>
      </c>
      <c r="F1638" s="25" t="s">
        <v>1200</v>
      </c>
      <c r="G1638" s="25" t="s">
        <v>2365</v>
      </c>
      <c r="H1638" s="25" t="s">
        <v>2142</v>
      </c>
      <c r="I1638" s="25" t="s">
        <v>2364</v>
      </c>
      <c r="J1638" s="25" t="s">
        <v>674</v>
      </c>
      <c r="K1638" s="25">
        <v>5</v>
      </c>
    </row>
    <row r="1639" spans="1:12" ht="18" hidden="1" customHeight="1" outlineLevel="2" x14ac:dyDescent="0.2">
      <c r="A1639" s="25"/>
      <c r="B1639" s="25"/>
      <c r="C1639" s="25"/>
      <c r="D1639" s="25" t="s">
        <v>3430</v>
      </c>
      <c r="E1639" s="25" t="s">
        <v>2362</v>
      </c>
      <c r="F1639" s="25" t="s">
        <v>1201</v>
      </c>
      <c r="G1639" s="25" t="s">
        <v>2366</v>
      </c>
      <c r="H1639" s="25" t="s">
        <v>2142</v>
      </c>
      <c r="I1639" s="25" t="s">
        <v>2364</v>
      </c>
      <c r="J1639" s="25" t="s">
        <v>674</v>
      </c>
      <c r="K1639" s="25">
        <v>5</v>
      </c>
    </row>
    <row r="1640" spans="1:12" ht="18" hidden="1" customHeight="1" outlineLevel="2" x14ac:dyDescent="0.2">
      <c r="A1640" s="25"/>
      <c r="B1640" s="25"/>
      <c r="C1640" s="25"/>
      <c r="D1640" s="25" t="s">
        <v>3431</v>
      </c>
      <c r="E1640" s="25" t="s">
        <v>2362</v>
      </c>
      <c r="F1640" s="25" t="s">
        <v>1202</v>
      </c>
      <c r="G1640" s="25" t="s">
        <v>2367</v>
      </c>
      <c r="H1640" s="25" t="s">
        <v>2142</v>
      </c>
      <c r="I1640" s="25" t="s">
        <v>2364</v>
      </c>
      <c r="J1640" s="25" t="s">
        <v>674</v>
      </c>
      <c r="K1640" s="25">
        <v>5</v>
      </c>
    </row>
    <row r="1641" spans="1:12" ht="18" hidden="1" customHeight="1" outlineLevel="2" x14ac:dyDescent="0.2">
      <c r="A1641" s="25"/>
      <c r="B1641" s="25"/>
      <c r="C1641" s="25"/>
      <c r="D1641" s="25" t="s">
        <v>3432</v>
      </c>
      <c r="E1641" s="25" t="s">
        <v>2362</v>
      </c>
      <c r="F1641" s="25" t="s">
        <v>2368</v>
      </c>
      <c r="G1641" s="25" t="s">
        <v>2369</v>
      </c>
      <c r="H1641" s="25" t="s">
        <v>2142</v>
      </c>
      <c r="I1641" s="25" t="s">
        <v>2364</v>
      </c>
      <c r="J1641" s="25" t="s">
        <v>674</v>
      </c>
      <c r="K1641" s="25">
        <v>5</v>
      </c>
    </row>
    <row r="1642" spans="1:12" ht="18" hidden="1" customHeight="1" outlineLevel="2" x14ac:dyDescent="0.2">
      <c r="A1642" s="25"/>
      <c r="B1642" s="25"/>
      <c r="C1642" s="25"/>
      <c r="D1642" s="25" t="s">
        <v>3433</v>
      </c>
      <c r="E1642" s="25" t="s">
        <v>2362</v>
      </c>
      <c r="F1642" s="25" t="s">
        <v>517</v>
      </c>
      <c r="G1642" s="25" t="s">
        <v>2370</v>
      </c>
      <c r="H1642" s="25" t="s">
        <v>2142</v>
      </c>
      <c r="I1642" s="25" t="s">
        <v>2364</v>
      </c>
      <c r="J1642" s="25" t="s">
        <v>674</v>
      </c>
      <c r="K1642" s="25">
        <v>5</v>
      </c>
    </row>
    <row r="1643" spans="1:12" ht="18" hidden="1" customHeight="1" outlineLevel="2" x14ac:dyDescent="0.2">
      <c r="A1643" s="25"/>
      <c r="B1643" s="25"/>
      <c r="C1643" s="25"/>
      <c r="D1643" s="25" t="s">
        <v>3434</v>
      </c>
      <c r="E1643" s="25" t="s">
        <v>2362</v>
      </c>
      <c r="F1643" s="25" t="s">
        <v>518</v>
      </c>
      <c r="G1643" s="25" t="s">
        <v>2371</v>
      </c>
      <c r="H1643" s="25" t="s">
        <v>2142</v>
      </c>
      <c r="I1643" s="25" t="s">
        <v>2364</v>
      </c>
      <c r="J1643" s="25" t="s">
        <v>674</v>
      </c>
      <c r="K1643" s="25">
        <v>5</v>
      </c>
    </row>
    <row r="1644" spans="1:12" ht="18" hidden="1" customHeight="1" outlineLevel="2" x14ac:dyDescent="0.2">
      <c r="A1644" s="25"/>
      <c r="B1644" s="25"/>
      <c r="C1644" s="25"/>
      <c r="D1644" s="25" t="s">
        <v>3435</v>
      </c>
      <c r="E1644" s="25" t="s">
        <v>2362</v>
      </c>
      <c r="F1644" s="25" t="s">
        <v>519</v>
      </c>
      <c r="G1644" s="25" t="s">
        <v>2372</v>
      </c>
      <c r="H1644" s="25" t="s">
        <v>2142</v>
      </c>
      <c r="I1644" s="25" t="s">
        <v>2364</v>
      </c>
      <c r="J1644" s="25" t="s">
        <v>674</v>
      </c>
    </row>
    <row r="1645" spans="1:12" ht="18" hidden="1" customHeight="1" outlineLevel="2" x14ac:dyDescent="0.2">
      <c r="A1645" s="25"/>
      <c r="B1645" s="25"/>
      <c r="C1645" s="25"/>
      <c r="D1645" s="25" t="s">
        <v>3436</v>
      </c>
      <c r="E1645" s="25" t="s">
        <v>2362</v>
      </c>
      <c r="F1645" s="25" t="s">
        <v>520</v>
      </c>
      <c r="G1645" s="25" t="s">
        <v>2373</v>
      </c>
      <c r="H1645" s="25" t="s">
        <v>2142</v>
      </c>
      <c r="I1645" s="25" t="s">
        <v>2364</v>
      </c>
      <c r="J1645" s="25" t="s">
        <v>674</v>
      </c>
    </row>
    <row r="1646" spans="1:12" ht="18" hidden="1" customHeight="1" outlineLevel="2" x14ac:dyDescent="0.2">
      <c r="A1646" s="25"/>
      <c r="B1646" s="25"/>
      <c r="C1646" s="25"/>
      <c r="D1646" s="25" t="s">
        <v>3437</v>
      </c>
      <c r="E1646" s="25" t="s">
        <v>2362</v>
      </c>
      <c r="F1646" s="25" t="s">
        <v>521</v>
      </c>
      <c r="G1646" s="25" t="s">
        <v>2374</v>
      </c>
      <c r="H1646" s="25" t="s">
        <v>2142</v>
      </c>
      <c r="I1646" s="25" t="s">
        <v>2364</v>
      </c>
      <c r="J1646" s="25" t="s">
        <v>674</v>
      </c>
    </row>
    <row r="1647" spans="1:12" ht="18" hidden="1" customHeight="1" outlineLevel="2" x14ac:dyDescent="0.2">
      <c r="A1647" s="25"/>
      <c r="B1647" s="25"/>
      <c r="C1647" s="25"/>
      <c r="D1647" s="25" t="s">
        <v>3438</v>
      </c>
      <c r="E1647" s="25" t="s">
        <v>2362</v>
      </c>
      <c r="F1647" s="25" t="s">
        <v>522</v>
      </c>
      <c r="G1647" s="25" t="s">
        <v>2375</v>
      </c>
      <c r="H1647" s="25" t="s">
        <v>2142</v>
      </c>
      <c r="I1647" s="25" t="s">
        <v>2364</v>
      </c>
      <c r="J1647" s="25" t="s">
        <v>674</v>
      </c>
    </row>
    <row r="1648" spans="1:12" ht="18" hidden="1" customHeight="1" outlineLevel="2" x14ac:dyDescent="0.2">
      <c r="A1648" s="25"/>
      <c r="B1648" s="25"/>
      <c r="C1648" s="25"/>
      <c r="D1648" s="25" t="s">
        <v>3439</v>
      </c>
      <c r="E1648" s="25" t="s">
        <v>2362</v>
      </c>
      <c r="F1648" s="25" t="s">
        <v>523</v>
      </c>
      <c r="G1648" s="25" t="s">
        <v>2376</v>
      </c>
      <c r="H1648" s="25" t="s">
        <v>2142</v>
      </c>
      <c r="I1648" s="25" t="s">
        <v>2364</v>
      </c>
      <c r="J1648" s="25" t="s">
        <v>674</v>
      </c>
    </row>
    <row r="1649" spans="1:10" ht="18" hidden="1" customHeight="1" outlineLevel="2" x14ac:dyDescent="0.2">
      <c r="A1649" s="25"/>
      <c r="B1649" s="25"/>
      <c r="C1649" s="25"/>
      <c r="D1649" s="25" t="s">
        <v>352</v>
      </c>
      <c r="E1649" s="25" t="s">
        <v>2362</v>
      </c>
      <c r="F1649" s="25" t="s">
        <v>2377</v>
      </c>
      <c r="G1649" s="25" t="s">
        <v>2378</v>
      </c>
      <c r="H1649" s="25" t="s">
        <v>2248</v>
      </c>
      <c r="I1649" s="25" t="s">
        <v>3878</v>
      </c>
      <c r="J1649" s="25" t="s">
        <v>674</v>
      </c>
    </row>
    <row r="1650" spans="1:10" ht="18" hidden="1" customHeight="1" outlineLevel="2" x14ac:dyDescent="0.2">
      <c r="A1650" s="25"/>
      <c r="B1650" s="25"/>
      <c r="C1650" s="25"/>
      <c r="D1650" s="25"/>
      <c r="E1650" s="25"/>
      <c r="F1650" s="25"/>
      <c r="G1650" s="25"/>
      <c r="H1650" s="25"/>
      <c r="I1650" s="25"/>
    </row>
    <row r="1651" spans="1:10" ht="18" hidden="1" customHeight="1" outlineLevel="2" x14ac:dyDescent="0.2">
      <c r="A1651" s="25"/>
      <c r="B1651" s="25"/>
      <c r="C1651" s="25"/>
      <c r="D1651" s="25" t="s">
        <v>352</v>
      </c>
      <c r="E1651" s="65" t="s">
        <v>2379</v>
      </c>
      <c r="F1651" s="25" t="s">
        <v>2380</v>
      </c>
      <c r="G1651" s="25" t="s">
        <v>2381</v>
      </c>
      <c r="H1651" s="25" t="s">
        <v>2248</v>
      </c>
      <c r="I1651" s="25"/>
    </row>
    <row r="1652" spans="1:10" ht="18" hidden="1" customHeight="1" outlineLevel="2" x14ac:dyDescent="0.2">
      <c r="A1652" s="25"/>
      <c r="B1652" s="25"/>
      <c r="C1652" s="25"/>
      <c r="D1652" s="25" t="s">
        <v>352</v>
      </c>
      <c r="E1652" s="65" t="s">
        <v>2379</v>
      </c>
      <c r="F1652" s="25" t="s">
        <v>2382</v>
      </c>
      <c r="G1652" s="25" t="s">
        <v>2383</v>
      </c>
      <c r="H1652" s="25" t="s">
        <v>2248</v>
      </c>
      <c r="I1652" s="25"/>
    </row>
    <row r="1653" spans="1:10" ht="18" hidden="1" customHeight="1" outlineLevel="2" x14ac:dyDescent="0.2">
      <c r="A1653" s="25"/>
      <c r="B1653" s="25"/>
      <c r="C1653" s="25"/>
      <c r="D1653" s="25" t="s">
        <v>352</v>
      </c>
      <c r="E1653" s="65" t="s">
        <v>2379</v>
      </c>
      <c r="F1653" s="25" t="s">
        <v>2384</v>
      </c>
      <c r="G1653" s="25" t="s">
        <v>2385</v>
      </c>
      <c r="H1653" s="25" t="s">
        <v>2248</v>
      </c>
      <c r="I1653" s="25"/>
    </row>
    <row r="1654" spans="1:10" ht="18" hidden="1" customHeight="1" outlineLevel="2" x14ac:dyDescent="0.2">
      <c r="A1654" s="25"/>
      <c r="B1654" s="25"/>
      <c r="C1654" s="25"/>
      <c r="D1654" s="25" t="s">
        <v>352</v>
      </c>
      <c r="E1654" s="65" t="s">
        <v>2379</v>
      </c>
      <c r="F1654" s="25" t="s">
        <v>2386</v>
      </c>
      <c r="G1654" s="25" t="s">
        <v>2387</v>
      </c>
      <c r="H1654" s="25" t="s">
        <v>2248</v>
      </c>
      <c r="I1654" s="25"/>
    </row>
    <row r="1655" spans="1:10" ht="18" hidden="1" customHeight="1" outlineLevel="2" x14ac:dyDescent="0.2">
      <c r="A1655" s="25"/>
      <c r="B1655" s="25"/>
      <c r="C1655" s="25"/>
      <c r="D1655" s="25" t="s">
        <v>352</v>
      </c>
      <c r="E1655" s="65" t="s">
        <v>2379</v>
      </c>
      <c r="F1655" s="25" t="s">
        <v>2388</v>
      </c>
      <c r="G1655" s="25" t="s">
        <v>2389</v>
      </c>
      <c r="H1655" s="25" t="s">
        <v>2248</v>
      </c>
      <c r="I1655" s="25"/>
    </row>
    <row r="1656" spans="1:10" ht="18" hidden="1" customHeight="1" outlineLevel="2" x14ac:dyDescent="0.2">
      <c r="A1656" s="25"/>
      <c r="B1656" s="25"/>
      <c r="C1656" s="25"/>
      <c r="D1656" s="25" t="s">
        <v>352</v>
      </c>
      <c r="E1656" s="65" t="s">
        <v>2379</v>
      </c>
      <c r="F1656" s="25" t="s">
        <v>2390</v>
      </c>
      <c r="G1656" s="25" t="s">
        <v>2391</v>
      </c>
      <c r="H1656" s="25" t="s">
        <v>2248</v>
      </c>
      <c r="I1656" s="25"/>
    </row>
    <row r="1657" spans="1:10" ht="18" hidden="1" customHeight="1" outlineLevel="2" x14ac:dyDescent="0.2">
      <c r="A1657" s="25"/>
      <c r="B1657" s="25"/>
      <c r="C1657" s="25"/>
      <c r="D1657" s="25"/>
      <c r="E1657" s="65"/>
      <c r="F1657" s="25"/>
      <c r="G1657" s="25"/>
      <c r="H1657" s="25"/>
      <c r="I1657" s="25"/>
    </row>
    <row r="1658" spans="1:10" ht="18" hidden="1" customHeight="1" outlineLevel="2" x14ac:dyDescent="0.2">
      <c r="A1658" s="25"/>
      <c r="B1658" s="25"/>
      <c r="C1658" s="25"/>
      <c r="D1658" s="25" t="s">
        <v>352</v>
      </c>
      <c r="E1658" s="84" t="s">
        <v>2392</v>
      </c>
      <c r="F1658" s="25" t="s">
        <v>2380</v>
      </c>
      <c r="G1658" s="25" t="s">
        <v>2393</v>
      </c>
      <c r="H1658" s="25" t="s">
        <v>2248</v>
      </c>
      <c r="I1658" s="25"/>
    </row>
    <row r="1659" spans="1:10" ht="18" hidden="1" customHeight="1" outlineLevel="2" x14ac:dyDescent="0.2">
      <c r="A1659" s="25"/>
      <c r="B1659" s="25"/>
      <c r="C1659" s="25"/>
      <c r="D1659" s="25" t="s">
        <v>352</v>
      </c>
      <c r="E1659" s="84" t="s">
        <v>2392</v>
      </c>
      <c r="F1659" s="25" t="s">
        <v>2382</v>
      </c>
      <c r="G1659" s="25" t="s">
        <v>2394</v>
      </c>
      <c r="H1659" s="25" t="s">
        <v>2248</v>
      </c>
      <c r="I1659" s="25"/>
    </row>
    <row r="1660" spans="1:10" ht="18" hidden="1" customHeight="1" outlineLevel="2" x14ac:dyDescent="0.2">
      <c r="A1660" s="25"/>
      <c r="B1660" s="25"/>
      <c r="C1660" s="25"/>
      <c r="D1660" s="25" t="s">
        <v>352</v>
      </c>
      <c r="E1660" s="84" t="s">
        <v>2392</v>
      </c>
      <c r="F1660" s="25" t="s">
        <v>2384</v>
      </c>
      <c r="G1660" s="25" t="s">
        <v>2395</v>
      </c>
      <c r="H1660" s="25" t="s">
        <v>2248</v>
      </c>
      <c r="I1660" s="25"/>
    </row>
    <row r="1661" spans="1:10" ht="18" hidden="1" customHeight="1" outlineLevel="2" x14ac:dyDescent="0.2">
      <c r="A1661" s="25"/>
      <c r="B1661" s="25"/>
      <c r="C1661" s="25"/>
      <c r="D1661" s="25" t="s">
        <v>352</v>
      </c>
      <c r="E1661" s="84" t="s">
        <v>2392</v>
      </c>
      <c r="F1661" s="25" t="s">
        <v>2386</v>
      </c>
      <c r="G1661" s="25" t="s">
        <v>2396</v>
      </c>
      <c r="H1661" s="25" t="s">
        <v>2248</v>
      </c>
      <c r="I1661" s="25"/>
    </row>
    <row r="1662" spans="1:10" ht="18" hidden="1" customHeight="1" outlineLevel="2" x14ac:dyDescent="0.2">
      <c r="A1662" s="25"/>
      <c r="B1662" s="25"/>
      <c r="C1662" s="25"/>
      <c r="D1662" s="25" t="s">
        <v>352</v>
      </c>
      <c r="E1662" s="84" t="s">
        <v>2392</v>
      </c>
      <c r="F1662" s="25" t="s">
        <v>2388</v>
      </c>
      <c r="G1662" s="25" t="s">
        <v>2397</v>
      </c>
      <c r="H1662" s="25" t="s">
        <v>2248</v>
      </c>
      <c r="I1662" s="25"/>
    </row>
    <row r="1663" spans="1:10" ht="18" hidden="1" customHeight="1" outlineLevel="2" x14ac:dyDescent="0.2">
      <c r="A1663" s="25"/>
      <c r="B1663" s="25"/>
      <c r="C1663" s="25"/>
      <c r="D1663" s="25" t="s">
        <v>352</v>
      </c>
      <c r="E1663" s="84" t="s">
        <v>2392</v>
      </c>
      <c r="F1663" s="25" t="s">
        <v>2390</v>
      </c>
      <c r="G1663" s="25" t="s">
        <v>2398</v>
      </c>
      <c r="H1663" s="25" t="s">
        <v>2248</v>
      </c>
      <c r="I1663" s="25"/>
    </row>
    <row r="1664" spans="1:10" ht="18" hidden="1" customHeight="1" outlineLevel="2" x14ac:dyDescent="0.2">
      <c r="A1664" s="25"/>
      <c r="B1664" s="25"/>
      <c r="C1664" s="25"/>
      <c r="D1664" s="25"/>
      <c r="E1664" s="84"/>
      <c r="F1664" s="25"/>
      <c r="G1664" s="25"/>
      <c r="H1664" s="25"/>
      <c r="I1664" s="25"/>
    </row>
    <row r="1665" spans="1:14" ht="18" hidden="1" customHeight="1" outlineLevel="2" x14ac:dyDescent="0.2">
      <c r="A1665" s="25"/>
      <c r="B1665" s="25"/>
      <c r="C1665" s="25"/>
      <c r="D1665" s="25" t="s">
        <v>352</v>
      </c>
      <c r="E1665" s="65" t="s">
        <v>3870</v>
      </c>
      <c r="F1665" s="25" t="s">
        <v>2399</v>
      </c>
      <c r="G1665" s="25" t="s">
        <v>2400</v>
      </c>
      <c r="H1665" s="25" t="s">
        <v>2401</v>
      </c>
      <c r="I1665" s="25"/>
      <c r="N1665" s="75"/>
    </row>
    <row r="1666" spans="1:14" ht="18" hidden="1" customHeight="1" outlineLevel="2" x14ac:dyDescent="0.2">
      <c r="A1666" s="25"/>
      <c r="B1666" s="25"/>
      <c r="C1666" s="25"/>
      <c r="D1666" s="25"/>
      <c r="E1666" s="25" t="s">
        <v>2402</v>
      </c>
      <c r="F1666" s="25" t="s">
        <v>1199</v>
      </c>
      <c r="G1666" s="25" t="s">
        <v>2403</v>
      </c>
      <c r="H1666" s="25" t="s">
        <v>2401</v>
      </c>
      <c r="I1666" s="25"/>
      <c r="K1666" s="25">
        <v>50</v>
      </c>
      <c r="L1666" s="25">
        <v>60</v>
      </c>
      <c r="N1666" s="75"/>
    </row>
    <row r="1667" spans="1:14" ht="18" hidden="1" customHeight="1" outlineLevel="2" x14ac:dyDescent="0.2">
      <c r="A1667" s="25"/>
      <c r="B1667" s="25"/>
      <c r="C1667" s="25"/>
      <c r="D1667" s="25"/>
      <c r="E1667" s="25" t="s">
        <v>2404</v>
      </c>
      <c r="F1667" s="25" t="s">
        <v>1199</v>
      </c>
      <c r="G1667" s="25" t="s">
        <v>2405</v>
      </c>
      <c r="H1667" s="25" t="s">
        <v>2401</v>
      </c>
      <c r="I1667" s="25"/>
      <c r="K1667" s="25">
        <v>50</v>
      </c>
      <c r="L1667" s="25">
        <v>60</v>
      </c>
      <c r="N1667" s="75"/>
    </row>
    <row r="1668" spans="1:14" ht="18" hidden="1" customHeight="1" outlineLevel="2" x14ac:dyDescent="0.2">
      <c r="A1668" s="25"/>
      <c r="B1668" s="25"/>
      <c r="C1668" s="25"/>
      <c r="D1668" s="25"/>
      <c r="E1668" s="25" t="s">
        <v>2406</v>
      </c>
      <c r="F1668" s="25" t="s">
        <v>1199</v>
      </c>
      <c r="G1668" s="25" t="s">
        <v>2407</v>
      </c>
      <c r="H1668" s="25" t="s">
        <v>2401</v>
      </c>
      <c r="I1668" s="25"/>
      <c r="K1668" s="25">
        <v>50</v>
      </c>
      <c r="L1668" s="25">
        <v>60</v>
      </c>
      <c r="N1668" s="75"/>
    </row>
    <row r="1669" spans="1:14" ht="18" hidden="1" customHeight="1" outlineLevel="2" x14ac:dyDescent="0.2">
      <c r="A1669" s="25"/>
      <c r="B1669" s="25"/>
      <c r="C1669" s="25"/>
      <c r="D1669" s="25"/>
      <c r="E1669" s="25"/>
      <c r="F1669" s="25"/>
      <c r="G1669" s="25"/>
      <c r="H1669" s="25"/>
      <c r="I1669" s="25"/>
    </row>
    <row r="1670" spans="1:14" customFormat="1" ht="18" hidden="1" customHeight="1" outlineLevel="1" collapsed="1" x14ac:dyDescent="0.25">
      <c r="A1670" s="119" t="s">
        <v>3860</v>
      </c>
      <c r="B1670" s="120"/>
      <c r="C1670" s="120"/>
      <c r="D1670" s="120"/>
      <c r="E1670" s="120"/>
      <c r="F1670" s="120" t="s">
        <v>148</v>
      </c>
      <c r="G1670" s="120"/>
      <c r="H1670" s="120"/>
      <c r="I1670" s="120"/>
      <c r="J1670" s="120"/>
      <c r="K1670" s="120"/>
      <c r="L1670" s="160"/>
      <c r="N1670" s="9"/>
    </row>
    <row r="1671" spans="1:14" ht="18" hidden="1" customHeight="1" outlineLevel="2" x14ac:dyDescent="0.2">
      <c r="A1671" s="25"/>
      <c r="B1671" s="25"/>
      <c r="C1671" s="25"/>
      <c r="D1671" s="25" t="s">
        <v>2217</v>
      </c>
      <c r="E1671" s="25" t="s">
        <v>2215</v>
      </c>
      <c r="F1671" s="65" t="s">
        <v>2216</v>
      </c>
      <c r="G1671" s="25" t="s">
        <v>2217</v>
      </c>
      <c r="H1671" s="25" t="s">
        <v>2142</v>
      </c>
      <c r="I1671" s="25"/>
    </row>
    <row r="1672" spans="1:14" ht="18" hidden="1" customHeight="1" outlineLevel="2" x14ac:dyDescent="0.2">
      <c r="A1672" s="25"/>
      <c r="B1672" s="25"/>
      <c r="C1672" s="25"/>
      <c r="D1672" s="25" t="s">
        <v>2219</v>
      </c>
      <c r="E1672" s="25" t="s">
        <v>2215</v>
      </c>
      <c r="F1672" s="65" t="s">
        <v>2218</v>
      </c>
      <c r="G1672" s="25" t="s">
        <v>2219</v>
      </c>
      <c r="H1672" s="25" t="s">
        <v>2142</v>
      </c>
      <c r="I1672" s="25"/>
    </row>
    <row r="1673" spans="1:14" ht="18" hidden="1" customHeight="1" outlineLevel="2" x14ac:dyDescent="0.2">
      <c r="A1673" s="25"/>
      <c r="B1673" s="25"/>
      <c r="C1673" s="25"/>
      <c r="D1673" s="25" t="s">
        <v>2221</v>
      </c>
      <c r="E1673" s="25" t="s">
        <v>2215</v>
      </c>
      <c r="F1673" s="65" t="s">
        <v>2220</v>
      </c>
      <c r="G1673" s="25" t="s">
        <v>2221</v>
      </c>
      <c r="H1673" s="25" t="s">
        <v>2142</v>
      </c>
      <c r="I1673" s="25"/>
    </row>
    <row r="1674" spans="1:14" ht="18" hidden="1" customHeight="1" outlineLevel="2" x14ac:dyDescent="0.2">
      <c r="A1674" s="25"/>
      <c r="B1674" s="25"/>
      <c r="C1674" s="25"/>
      <c r="D1674" s="25" t="s">
        <v>2223</v>
      </c>
      <c r="E1674" s="25" t="s">
        <v>2215</v>
      </c>
      <c r="F1674" s="65" t="s">
        <v>2222</v>
      </c>
      <c r="G1674" s="25" t="s">
        <v>2223</v>
      </c>
      <c r="H1674" s="25" t="s">
        <v>2142</v>
      </c>
      <c r="I1674" s="25"/>
    </row>
    <row r="1675" spans="1:14" ht="18" hidden="1" customHeight="1" outlineLevel="2" x14ac:dyDescent="0.2">
      <c r="A1675" s="25"/>
      <c r="B1675" s="25"/>
      <c r="C1675" s="25"/>
      <c r="D1675" s="25" t="s">
        <v>2225</v>
      </c>
      <c r="E1675" s="25" t="s">
        <v>2215</v>
      </c>
      <c r="F1675" s="65" t="s">
        <v>2224</v>
      </c>
      <c r="G1675" s="25" t="s">
        <v>2225</v>
      </c>
      <c r="H1675" s="25" t="s">
        <v>2226</v>
      </c>
      <c r="I1675" s="25"/>
    </row>
    <row r="1676" spans="1:14" ht="18" hidden="1" customHeight="1" outlineLevel="2" x14ac:dyDescent="0.2">
      <c r="A1676" s="25"/>
      <c r="B1676" s="25"/>
      <c r="C1676" s="25"/>
      <c r="D1676" s="25" t="s">
        <v>2228</v>
      </c>
      <c r="E1676" s="25" t="s">
        <v>2215</v>
      </c>
      <c r="F1676" s="65" t="s">
        <v>2227</v>
      </c>
      <c r="G1676" s="25" t="s">
        <v>2228</v>
      </c>
      <c r="H1676" s="25" t="s">
        <v>2226</v>
      </c>
      <c r="I1676" s="25"/>
    </row>
    <row r="1677" spans="1:14" ht="18" hidden="1" customHeight="1" outlineLevel="2" x14ac:dyDescent="0.2">
      <c r="A1677" s="25"/>
      <c r="B1677" s="25"/>
      <c r="C1677" s="25"/>
      <c r="D1677" s="25" t="s">
        <v>2230</v>
      </c>
      <c r="E1677" s="25" t="s">
        <v>2215</v>
      </c>
      <c r="F1677" s="65" t="s">
        <v>2229</v>
      </c>
      <c r="G1677" s="25" t="s">
        <v>2230</v>
      </c>
      <c r="H1677" s="25" t="s">
        <v>2226</v>
      </c>
      <c r="I1677" s="25"/>
    </row>
    <row r="1678" spans="1:14" ht="18" hidden="1" customHeight="1" outlineLevel="2" x14ac:dyDescent="0.2">
      <c r="A1678" s="25"/>
      <c r="B1678" s="25"/>
      <c r="C1678" s="25"/>
      <c r="D1678" s="25" t="s">
        <v>2232</v>
      </c>
      <c r="E1678" s="25" t="s">
        <v>2215</v>
      </c>
      <c r="F1678" s="65" t="s">
        <v>2231</v>
      </c>
      <c r="G1678" s="25" t="s">
        <v>2232</v>
      </c>
      <c r="H1678" s="25" t="s">
        <v>2226</v>
      </c>
      <c r="I1678" s="25"/>
    </row>
    <row r="1679" spans="1:14" ht="18" hidden="1" customHeight="1" outlineLevel="2" x14ac:dyDescent="0.2">
      <c r="A1679" s="25"/>
      <c r="B1679" s="25"/>
      <c r="C1679" s="25"/>
      <c r="D1679" s="25" t="s">
        <v>2234</v>
      </c>
      <c r="E1679" s="25" t="s">
        <v>2215</v>
      </c>
      <c r="F1679" s="65" t="s">
        <v>2233</v>
      </c>
      <c r="G1679" s="25" t="s">
        <v>2234</v>
      </c>
      <c r="H1679" s="25" t="s">
        <v>2226</v>
      </c>
      <c r="I1679" s="25"/>
    </row>
    <row r="1680" spans="1:14" ht="18" hidden="1" customHeight="1" outlineLevel="2" x14ac:dyDescent="0.2">
      <c r="A1680" s="25"/>
      <c r="B1680" s="25"/>
      <c r="C1680" s="25"/>
      <c r="D1680" s="25"/>
      <c r="E1680" s="25" t="s">
        <v>2215</v>
      </c>
      <c r="F1680" s="65" t="s">
        <v>2235</v>
      </c>
      <c r="G1680" s="25" t="s">
        <v>2236</v>
      </c>
      <c r="H1680" s="25" t="s">
        <v>2226</v>
      </c>
      <c r="I1680" s="25"/>
    </row>
    <row r="1681" spans="1:14" ht="18" hidden="1" customHeight="1" outlineLevel="2" x14ac:dyDescent="0.2">
      <c r="A1681" s="25"/>
      <c r="B1681" s="25"/>
      <c r="C1681" s="25"/>
      <c r="D1681" s="25"/>
      <c r="E1681" s="25" t="s">
        <v>2215</v>
      </c>
      <c r="F1681" s="65" t="s">
        <v>2237</v>
      </c>
      <c r="G1681" s="25" t="s">
        <v>2238</v>
      </c>
      <c r="H1681" s="25" t="s">
        <v>2226</v>
      </c>
      <c r="I1681" s="25"/>
    </row>
    <row r="1682" spans="1:14" ht="18" hidden="1" customHeight="1" outlineLevel="2" x14ac:dyDescent="0.2">
      <c r="A1682" s="25"/>
      <c r="B1682" s="25"/>
      <c r="C1682" s="25"/>
      <c r="D1682" s="25"/>
      <c r="E1682" s="25" t="s">
        <v>2215</v>
      </c>
      <c r="F1682" s="65" t="s">
        <v>2239</v>
      </c>
      <c r="G1682" s="25" t="s">
        <v>2240</v>
      </c>
      <c r="H1682" s="25" t="s">
        <v>2226</v>
      </c>
      <c r="I1682" s="25"/>
    </row>
    <row r="1683" spans="1:14" ht="18" hidden="1" customHeight="1" outlineLevel="2" x14ac:dyDescent="0.2">
      <c r="A1683" s="25"/>
      <c r="B1683" s="25"/>
      <c r="C1683" s="25"/>
      <c r="D1683" s="25"/>
      <c r="E1683" s="25" t="s">
        <v>2215</v>
      </c>
      <c r="F1683" s="65" t="s">
        <v>2241</v>
      </c>
      <c r="G1683" s="25" t="s">
        <v>2242</v>
      </c>
      <c r="H1683" s="25" t="s">
        <v>2226</v>
      </c>
      <c r="I1683" s="25"/>
    </row>
    <row r="1684" spans="1:14" ht="18" hidden="1" customHeight="1" outlineLevel="2" x14ac:dyDescent="0.2">
      <c r="A1684" s="25"/>
      <c r="B1684" s="25"/>
      <c r="C1684" s="25"/>
      <c r="D1684" s="25"/>
      <c r="E1684" s="25" t="s">
        <v>2215</v>
      </c>
      <c r="F1684" s="65" t="s">
        <v>2243</v>
      </c>
      <c r="G1684" s="25" t="s">
        <v>2244</v>
      </c>
      <c r="H1684" s="25" t="s">
        <v>2226</v>
      </c>
      <c r="I1684" s="25"/>
    </row>
    <row r="1685" spans="1:14" ht="18" hidden="1" customHeight="1" outlineLevel="2" x14ac:dyDescent="0.2">
      <c r="A1685" s="25"/>
      <c r="B1685" s="25"/>
      <c r="C1685" s="25"/>
      <c r="D1685" s="25" t="s">
        <v>2246</v>
      </c>
      <c r="E1685" s="25" t="s">
        <v>2215</v>
      </c>
      <c r="F1685" s="65" t="s">
        <v>2245</v>
      </c>
      <c r="G1685" s="25" t="s">
        <v>2246</v>
      </c>
      <c r="H1685" s="25" t="s">
        <v>2226</v>
      </c>
      <c r="I1685" s="25"/>
    </row>
    <row r="1686" spans="1:14" ht="18" hidden="1" customHeight="1" outlineLevel="2" x14ac:dyDescent="0.2">
      <c r="A1686" s="25"/>
      <c r="B1686" s="25"/>
      <c r="C1686" s="25"/>
      <c r="D1686" s="25"/>
      <c r="E1686" s="25" t="s">
        <v>2215</v>
      </c>
      <c r="F1686" s="65" t="s">
        <v>2247</v>
      </c>
      <c r="G1686" s="25"/>
      <c r="H1686" s="25" t="s">
        <v>2248</v>
      </c>
      <c r="I1686" s="25"/>
    </row>
    <row r="1687" spans="1:14" ht="18" hidden="1" customHeight="1" outlineLevel="2" x14ac:dyDescent="0.2">
      <c r="A1687" s="25"/>
      <c r="B1687" s="25"/>
      <c r="C1687" s="25"/>
      <c r="D1687" s="25"/>
      <c r="E1687" s="25" t="s">
        <v>2215</v>
      </c>
      <c r="F1687" s="65" t="s">
        <v>2249</v>
      </c>
      <c r="G1687" s="25"/>
      <c r="H1687" s="25" t="s">
        <v>2248</v>
      </c>
      <c r="I1687" s="25"/>
    </row>
    <row r="1688" spans="1:14" ht="18" hidden="1" customHeight="1" outlineLevel="2" x14ac:dyDescent="0.2">
      <c r="A1688" s="25"/>
      <c r="B1688" s="25"/>
      <c r="C1688" s="25"/>
      <c r="D1688" s="25"/>
      <c r="E1688" s="25" t="s">
        <v>2215</v>
      </c>
      <c r="F1688" s="65" t="s">
        <v>2250</v>
      </c>
      <c r="G1688" s="25"/>
      <c r="H1688" s="25" t="s">
        <v>2248</v>
      </c>
      <c r="I1688" s="25"/>
    </row>
    <row r="1689" spans="1:14" ht="18" hidden="1" customHeight="1" outlineLevel="2" x14ac:dyDescent="0.2">
      <c r="A1689" s="25"/>
      <c r="B1689" s="25"/>
      <c r="C1689" s="25"/>
      <c r="D1689" s="25"/>
      <c r="E1689" s="25" t="s">
        <v>2215</v>
      </c>
      <c r="F1689" s="65" t="s">
        <v>2251</v>
      </c>
      <c r="G1689" s="25"/>
      <c r="H1689" s="25" t="s">
        <v>2248</v>
      </c>
      <c r="I1689" s="25"/>
    </row>
    <row r="1690" spans="1:14" ht="18" hidden="1" customHeight="1" outlineLevel="2" x14ac:dyDescent="0.2">
      <c r="A1690" s="25"/>
      <c r="B1690" s="25"/>
      <c r="C1690" s="25"/>
      <c r="D1690" s="25"/>
      <c r="E1690" s="25" t="s">
        <v>2215</v>
      </c>
      <c r="F1690" s="65" t="s">
        <v>2252</v>
      </c>
      <c r="G1690" s="25"/>
      <c r="H1690" s="25" t="s">
        <v>2248</v>
      </c>
      <c r="I1690" s="25"/>
    </row>
    <row r="1691" spans="1:14" ht="18" hidden="1" customHeight="1" outlineLevel="2" x14ac:dyDescent="0.2">
      <c r="A1691" s="25"/>
      <c r="B1691" s="25"/>
      <c r="C1691" s="25"/>
      <c r="D1691" s="25"/>
      <c r="E1691" s="25" t="s">
        <v>2215</v>
      </c>
      <c r="F1691" s="65" t="s">
        <v>2253</v>
      </c>
      <c r="G1691" s="25"/>
      <c r="H1691" s="25" t="s">
        <v>2248</v>
      </c>
      <c r="I1691" s="25"/>
    </row>
    <row r="1692" spans="1:14" ht="18" hidden="1" customHeight="1" outlineLevel="2" x14ac:dyDescent="0.2">
      <c r="A1692" s="25"/>
      <c r="B1692" s="25"/>
      <c r="C1692" s="25"/>
      <c r="D1692" s="25"/>
      <c r="E1692" s="25" t="s">
        <v>2215</v>
      </c>
      <c r="F1692" s="65" t="s">
        <v>2254</v>
      </c>
      <c r="G1692" s="25"/>
      <c r="H1692" s="25" t="s">
        <v>2248</v>
      </c>
      <c r="I1692" s="25"/>
    </row>
    <row r="1693" spans="1:14" ht="18" hidden="1" customHeight="1" outlineLevel="2" x14ac:dyDescent="0.2">
      <c r="A1693" s="25"/>
      <c r="B1693" s="25"/>
      <c r="C1693" s="25"/>
      <c r="D1693" s="25"/>
      <c r="E1693" s="25" t="s">
        <v>2215</v>
      </c>
      <c r="F1693" s="65" t="s">
        <v>2255</v>
      </c>
      <c r="G1693" s="25"/>
      <c r="H1693" s="25" t="s">
        <v>2248</v>
      </c>
      <c r="I1693" s="25"/>
    </row>
    <row r="1694" spans="1:14" ht="18" hidden="1" customHeight="1" outlineLevel="2" x14ac:dyDescent="0.2">
      <c r="A1694" s="25"/>
      <c r="B1694" s="25"/>
      <c r="C1694" s="25"/>
      <c r="D1694" s="25"/>
      <c r="E1694" s="25" t="s">
        <v>2215</v>
      </c>
      <c r="F1694" s="65" t="s">
        <v>2256</v>
      </c>
      <c r="G1694" s="25"/>
      <c r="H1694" s="25" t="s">
        <v>2248</v>
      </c>
      <c r="I1694" s="25"/>
    </row>
    <row r="1695" spans="1:14" customFormat="1" ht="18" hidden="1" customHeight="1" outlineLevel="2" x14ac:dyDescent="0.25">
      <c r="A1695" s="25"/>
      <c r="B1695" s="25"/>
      <c r="C1695" s="25"/>
      <c r="D1695" s="25"/>
      <c r="F1695" s="25"/>
      <c r="G1695" s="25"/>
      <c r="H1695" s="25"/>
      <c r="I1695" s="25"/>
      <c r="J1695" s="25"/>
      <c r="K1695" s="25"/>
      <c r="L1695" s="25"/>
      <c r="N1695" s="9"/>
    </row>
    <row r="1696" spans="1:14" customFormat="1" ht="18" hidden="1" customHeight="1" outlineLevel="1" collapsed="1" x14ac:dyDescent="0.25">
      <c r="A1696" s="119" t="s">
        <v>3859</v>
      </c>
      <c r="B1696" s="120"/>
      <c r="C1696" s="120"/>
      <c r="D1696" s="120"/>
      <c r="E1696" s="120"/>
      <c r="F1696" s="120" t="s">
        <v>148</v>
      </c>
      <c r="G1696" s="120"/>
      <c r="H1696" s="120"/>
      <c r="I1696" s="120"/>
      <c r="J1696" s="120"/>
      <c r="K1696" s="120"/>
      <c r="L1696" s="160"/>
    </row>
    <row r="1697" spans="1:15" ht="18" hidden="1" customHeight="1" outlineLevel="2" x14ac:dyDescent="0.2">
      <c r="A1697" s="25"/>
      <c r="B1697" s="25"/>
      <c r="C1697" s="25"/>
      <c r="D1697" s="25"/>
      <c r="E1697" s="25" t="s">
        <v>2551</v>
      </c>
      <c r="F1697" s="25" t="s">
        <v>2552</v>
      </c>
      <c r="G1697" s="25"/>
      <c r="H1697" s="25" t="s">
        <v>2248</v>
      </c>
      <c r="I1697" s="25" t="s">
        <v>2553</v>
      </c>
    </row>
    <row r="1698" spans="1:15" ht="18" hidden="1" customHeight="1" outlineLevel="2" x14ac:dyDescent="0.2">
      <c r="A1698" s="25"/>
      <c r="B1698" s="25"/>
      <c r="C1698" s="25"/>
      <c r="D1698" s="25"/>
      <c r="E1698" s="25" t="s">
        <v>2551</v>
      </c>
      <c r="F1698" s="25" t="s">
        <v>2554</v>
      </c>
      <c r="G1698" s="25"/>
      <c r="H1698" s="25" t="s">
        <v>2248</v>
      </c>
      <c r="I1698" s="25" t="s">
        <v>2555</v>
      </c>
      <c r="J1698" s="25" t="s">
        <v>674</v>
      </c>
    </row>
    <row r="1699" spans="1:15" ht="18" hidden="1" customHeight="1" outlineLevel="2" x14ac:dyDescent="0.2">
      <c r="A1699" s="25"/>
      <c r="B1699" s="25"/>
      <c r="C1699" s="25"/>
      <c r="D1699" s="25" t="s">
        <v>3458</v>
      </c>
      <c r="E1699" s="59" t="s">
        <v>2551</v>
      </c>
      <c r="F1699" s="25" t="s">
        <v>2556</v>
      </c>
      <c r="G1699" s="25"/>
      <c r="H1699" s="25" t="s">
        <v>2248</v>
      </c>
      <c r="I1699" s="25" t="s">
        <v>2557</v>
      </c>
      <c r="K1699" s="25">
        <v>6</v>
      </c>
      <c r="L1699" s="25">
        <v>8</v>
      </c>
    </row>
    <row r="1700" spans="1:15" ht="18" hidden="1" customHeight="1" outlineLevel="2" x14ac:dyDescent="0.2">
      <c r="A1700" s="25"/>
      <c r="B1700" s="25"/>
      <c r="C1700" s="25"/>
      <c r="D1700" s="25"/>
      <c r="E1700" s="25" t="s">
        <v>2551</v>
      </c>
      <c r="F1700" s="25" t="s">
        <v>2558</v>
      </c>
      <c r="G1700" s="25"/>
      <c r="H1700" s="25" t="s">
        <v>2248</v>
      </c>
      <c r="I1700" s="25" t="s">
        <v>2559</v>
      </c>
    </row>
    <row r="1701" spans="1:15" ht="18" hidden="1" customHeight="1" outlineLevel="2" x14ac:dyDescent="0.2">
      <c r="A1701" s="25"/>
      <c r="B1701" s="25"/>
      <c r="C1701" s="25"/>
      <c r="D1701" s="25"/>
      <c r="E1701" s="25"/>
      <c r="F1701" s="25"/>
      <c r="G1701" s="25"/>
      <c r="H1701" s="25"/>
      <c r="I1701" s="25"/>
    </row>
    <row r="1702" spans="1:15" customFormat="1" ht="18" hidden="1" customHeight="1" outlineLevel="1" collapsed="1" x14ac:dyDescent="0.25">
      <c r="A1702" s="119" t="s">
        <v>3861</v>
      </c>
      <c r="B1702" s="120"/>
      <c r="C1702" s="120"/>
      <c r="D1702" s="120"/>
      <c r="E1702" s="120"/>
      <c r="F1702" s="120" t="s">
        <v>148</v>
      </c>
      <c r="G1702" s="120"/>
      <c r="H1702" s="120"/>
      <c r="I1702" s="120"/>
      <c r="J1702" s="120"/>
      <c r="K1702" s="120"/>
      <c r="L1702" s="160"/>
      <c r="N1702" s="9"/>
      <c r="O1702" s="9"/>
    </row>
    <row r="1703" spans="1:15" ht="18" hidden="1" customHeight="1" outlineLevel="2" x14ac:dyDescent="0.2">
      <c r="A1703" s="25"/>
      <c r="B1703" s="25"/>
      <c r="C1703" s="25"/>
      <c r="D1703" s="25" t="s">
        <v>3459</v>
      </c>
      <c r="E1703" s="25" t="s">
        <v>2560</v>
      </c>
      <c r="F1703" s="25" t="s">
        <v>2561</v>
      </c>
      <c r="G1703" s="25" t="s">
        <v>2562</v>
      </c>
      <c r="H1703" s="25" t="s">
        <v>2248</v>
      </c>
      <c r="I1703" s="25" t="s">
        <v>3065</v>
      </c>
      <c r="J1703" s="25" t="s">
        <v>1872</v>
      </c>
    </row>
    <row r="1704" spans="1:15" ht="18" hidden="1" customHeight="1" outlineLevel="2" x14ac:dyDescent="0.2">
      <c r="A1704" s="25"/>
      <c r="B1704" s="25"/>
      <c r="C1704" s="25"/>
      <c r="D1704" s="25" t="s">
        <v>3459</v>
      </c>
      <c r="E1704" s="25" t="s">
        <v>2560</v>
      </c>
      <c r="F1704" s="25" t="s">
        <v>2561</v>
      </c>
      <c r="G1704" s="25" t="s">
        <v>2563</v>
      </c>
      <c r="H1704" s="25" t="s">
        <v>1348</v>
      </c>
      <c r="I1704" s="25"/>
    </row>
    <row r="1705" spans="1:15" ht="18" hidden="1" customHeight="1" outlineLevel="2" x14ac:dyDescent="0.2">
      <c r="A1705" s="25"/>
      <c r="B1705" s="25"/>
      <c r="C1705" s="25"/>
      <c r="D1705" s="25"/>
      <c r="E1705" s="25" t="s">
        <v>2564</v>
      </c>
      <c r="F1705" s="25" t="s">
        <v>2565</v>
      </c>
      <c r="G1705" s="25" t="s">
        <v>2566</v>
      </c>
      <c r="H1705" s="25" t="s">
        <v>2567</v>
      </c>
      <c r="I1705" s="25" t="s">
        <v>2568</v>
      </c>
      <c r="J1705" s="25" t="s">
        <v>673</v>
      </c>
    </row>
    <row r="1706" spans="1:15" ht="18" hidden="1" customHeight="1" outlineLevel="2" x14ac:dyDescent="0.2">
      <c r="A1706" s="25"/>
      <c r="B1706" s="25"/>
      <c r="C1706" s="25"/>
      <c r="D1706" s="25"/>
      <c r="E1706" s="59" t="s">
        <v>2569</v>
      </c>
      <c r="F1706" s="25"/>
      <c r="G1706" s="25" t="s">
        <v>2570</v>
      </c>
      <c r="H1706" s="25" t="s">
        <v>1348</v>
      </c>
      <c r="I1706" s="25" t="s">
        <v>547</v>
      </c>
      <c r="K1706" s="25">
        <v>100</v>
      </c>
      <c r="L1706" s="25">
        <v>150</v>
      </c>
    </row>
    <row r="1707" spans="1:15" ht="18" hidden="1" customHeight="1" outlineLevel="2" x14ac:dyDescent="0.2">
      <c r="A1707" s="25"/>
      <c r="B1707" s="25"/>
      <c r="C1707" s="25"/>
      <c r="D1707" s="25"/>
      <c r="E1707" s="25"/>
      <c r="F1707" s="25"/>
      <c r="G1707" s="25"/>
      <c r="H1707" s="25"/>
      <c r="I1707" s="25"/>
    </row>
    <row r="1708" spans="1:15" customFormat="1" ht="18" hidden="1" customHeight="1" outlineLevel="1" collapsed="1" x14ac:dyDescent="0.25">
      <c r="A1708" s="119" t="s">
        <v>46</v>
      </c>
      <c r="B1708" s="120"/>
      <c r="C1708" s="120"/>
      <c r="D1708" s="120"/>
      <c r="E1708" s="120"/>
      <c r="F1708" s="120" t="s">
        <v>148</v>
      </c>
      <c r="G1708" s="120"/>
      <c r="H1708" s="120"/>
      <c r="I1708" s="120"/>
      <c r="J1708" s="120"/>
      <c r="K1708" s="120"/>
      <c r="L1708" s="160"/>
      <c r="N1708" s="9"/>
      <c r="O1708" s="9"/>
    </row>
    <row r="1709" spans="1:15" ht="18" hidden="1" customHeight="1" outlineLevel="1" x14ac:dyDescent="0.2">
      <c r="A1709" s="25"/>
      <c r="B1709" s="25"/>
      <c r="C1709" s="25"/>
      <c r="D1709" s="25" t="s">
        <v>352</v>
      </c>
      <c r="E1709" s="25" t="s">
        <v>2257</v>
      </c>
      <c r="F1709" s="25"/>
      <c r="G1709" s="25"/>
      <c r="H1709" s="25"/>
      <c r="I1709" s="25" t="s">
        <v>2258</v>
      </c>
    </row>
    <row r="1710" spans="1:15" ht="18" hidden="1" customHeight="1" outlineLevel="1" x14ac:dyDescent="0.2">
      <c r="A1710" s="25"/>
      <c r="B1710" s="25"/>
      <c r="C1710" s="25"/>
      <c r="D1710" s="25"/>
      <c r="E1710" s="25"/>
      <c r="F1710" s="25"/>
      <c r="G1710" s="25"/>
      <c r="H1710" s="25"/>
      <c r="I1710" s="25"/>
    </row>
    <row r="1711" spans="1:15" customFormat="1" ht="18" customHeight="1" collapsed="1" x14ac:dyDescent="0.25">
      <c r="A1711" s="127" t="s">
        <v>4201</v>
      </c>
      <c r="B1711" s="128"/>
      <c r="C1711" s="128"/>
      <c r="D1711" s="128" t="s">
        <v>3440</v>
      </c>
      <c r="E1711" s="128"/>
      <c r="F1711" s="128"/>
      <c r="G1711" s="128"/>
      <c r="H1711" s="128"/>
      <c r="I1711" s="128"/>
      <c r="J1711" s="128"/>
      <c r="K1711" s="128"/>
      <c r="L1711" s="161"/>
      <c r="N1711" s="9"/>
      <c r="O1711" s="9"/>
    </row>
    <row r="1712" spans="1:15" customFormat="1" ht="18" hidden="1" customHeight="1" outlineLevel="1" collapsed="1" x14ac:dyDescent="0.25">
      <c r="A1712" s="119" t="s">
        <v>121</v>
      </c>
      <c r="B1712" s="120"/>
      <c r="C1712" s="120"/>
      <c r="D1712" s="120"/>
      <c r="E1712" s="120"/>
      <c r="F1712" s="120"/>
      <c r="G1712" s="120"/>
      <c r="H1712" s="120"/>
      <c r="I1712" s="120"/>
      <c r="J1712" s="120"/>
      <c r="K1712" s="120"/>
      <c r="L1712" s="160"/>
      <c r="N1712" s="9"/>
      <c r="O1712" s="9"/>
    </row>
    <row r="1713" spans="1:15" ht="18" hidden="1" customHeight="1" outlineLevel="2" x14ac:dyDescent="0.25">
      <c r="A1713" s="25"/>
      <c r="B1713" s="25"/>
      <c r="C1713" s="25"/>
      <c r="D1713" s="25" t="s">
        <v>352</v>
      </c>
      <c r="E1713" s="25" t="s">
        <v>2408</v>
      </c>
      <c r="F1713" s="25"/>
      <c r="G1713" s="25" t="s">
        <v>2409</v>
      </c>
      <c r="H1713" s="25" t="s">
        <v>2410</v>
      </c>
      <c r="I1713" s="25"/>
      <c r="N1713"/>
      <c r="O1713"/>
    </row>
    <row r="1714" spans="1:15" ht="18" hidden="1" customHeight="1" outlineLevel="2" x14ac:dyDescent="0.25">
      <c r="A1714" s="25"/>
      <c r="B1714" s="25"/>
      <c r="C1714" s="25"/>
      <c r="D1714" s="25" t="s">
        <v>3441</v>
      </c>
      <c r="E1714" s="25" t="s">
        <v>2411</v>
      </c>
      <c r="F1714" s="25" t="s">
        <v>2412</v>
      </c>
      <c r="G1714" s="25"/>
      <c r="H1714" s="25"/>
      <c r="I1714" s="25"/>
      <c r="N1714"/>
      <c r="O1714"/>
    </row>
    <row r="1715" spans="1:15" ht="18" hidden="1" customHeight="1" outlineLevel="2" x14ac:dyDescent="0.25">
      <c r="A1715" s="25"/>
      <c r="B1715" s="25"/>
      <c r="C1715" s="25"/>
      <c r="D1715" s="25" t="s">
        <v>352</v>
      </c>
      <c r="E1715" s="25" t="s">
        <v>2411</v>
      </c>
      <c r="F1715" s="25" t="s">
        <v>2413</v>
      </c>
      <c r="G1715" s="25"/>
      <c r="H1715" s="25" t="s">
        <v>2142</v>
      </c>
      <c r="I1715" s="25"/>
      <c r="N1715"/>
      <c r="O1715"/>
    </row>
    <row r="1716" spans="1:15" ht="18" hidden="1" customHeight="1" outlineLevel="2" x14ac:dyDescent="0.25">
      <c r="A1716" s="25"/>
      <c r="B1716" s="25"/>
      <c r="C1716" s="25"/>
      <c r="D1716" s="25" t="s">
        <v>352</v>
      </c>
      <c r="E1716" s="25" t="s">
        <v>2411</v>
      </c>
      <c r="F1716" s="25" t="s">
        <v>2414</v>
      </c>
      <c r="G1716" s="25"/>
      <c r="H1716" s="25" t="s">
        <v>2142</v>
      </c>
      <c r="I1716" s="25"/>
      <c r="N1716"/>
      <c r="O1716"/>
    </row>
    <row r="1717" spans="1:15" ht="18" hidden="1" customHeight="1" outlineLevel="2" x14ac:dyDescent="0.25">
      <c r="A1717" s="25"/>
      <c r="B1717" s="25"/>
      <c r="C1717" s="25"/>
      <c r="D1717" s="25" t="s">
        <v>2417</v>
      </c>
      <c r="E1717" s="25" t="s">
        <v>2415</v>
      </c>
      <c r="F1717" s="25" t="s">
        <v>2416</v>
      </c>
      <c r="G1717" s="25" t="s">
        <v>2417</v>
      </c>
      <c r="H1717" s="25" t="s">
        <v>2142</v>
      </c>
      <c r="I1717" s="25"/>
      <c r="N1717"/>
      <c r="O1717"/>
    </row>
    <row r="1718" spans="1:15" ht="18" hidden="1" customHeight="1" outlineLevel="2" x14ac:dyDescent="0.25">
      <c r="A1718" s="25"/>
      <c r="B1718" s="25"/>
      <c r="C1718" s="25"/>
      <c r="D1718" s="25"/>
      <c r="E1718" s="25"/>
      <c r="F1718" s="25"/>
      <c r="G1718" s="25"/>
      <c r="H1718" s="25"/>
      <c r="I1718" s="25"/>
      <c r="N1718"/>
      <c r="O1718"/>
    </row>
    <row r="1719" spans="1:15" customFormat="1" ht="18" hidden="1" customHeight="1" outlineLevel="1" collapsed="1" x14ac:dyDescent="0.25">
      <c r="A1719" s="119" t="s">
        <v>122</v>
      </c>
      <c r="B1719" s="120"/>
      <c r="C1719" s="120"/>
      <c r="D1719" s="120"/>
      <c r="E1719" s="120"/>
      <c r="F1719" s="120"/>
      <c r="G1719" s="120"/>
      <c r="H1719" s="120"/>
      <c r="I1719" s="120"/>
      <c r="J1719" s="120"/>
      <c r="K1719" s="120"/>
      <c r="L1719" s="160"/>
    </row>
    <row r="1720" spans="1:15" ht="18" hidden="1" customHeight="1" outlineLevel="2" x14ac:dyDescent="0.25">
      <c r="A1720" s="25"/>
      <c r="B1720" s="25"/>
      <c r="C1720" s="25"/>
      <c r="D1720" s="25" t="s">
        <v>2420</v>
      </c>
      <c r="E1720" s="25" t="s">
        <v>2418</v>
      </c>
      <c r="F1720" s="25" t="s">
        <v>2419</v>
      </c>
      <c r="G1720" s="25" t="s">
        <v>2420</v>
      </c>
      <c r="H1720" s="25" t="s">
        <v>2421</v>
      </c>
      <c r="I1720" s="25" t="s">
        <v>2422</v>
      </c>
      <c r="J1720" s="25" t="s">
        <v>674</v>
      </c>
      <c r="N1720"/>
    </row>
    <row r="1721" spans="1:15" ht="18" hidden="1" customHeight="1" outlineLevel="2" x14ac:dyDescent="0.25">
      <c r="A1721" s="25"/>
      <c r="B1721" s="25"/>
      <c r="C1721" s="25"/>
      <c r="D1721" s="25" t="s">
        <v>352</v>
      </c>
      <c r="E1721" s="25" t="s">
        <v>2418</v>
      </c>
      <c r="F1721" s="25" t="s">
        <v>2423</v>
      </c>
      <c r="G1721" s="25" t="s">
        <v>2424</v>
      </c>
      <c r="H1721" s="25" t="s">
        <v>2142</v>
      </c>
      <c r="I1721" s="25" t="s">
        <v>2425</v>
      </c>
      <c r="J1721" s="25" t="s">
        <v>674</v>
      </c>
      <c r="N1721"/>
    </row>
    <row r="1722" spans="1:15" ht="18" hidden="1" customHeight="1" outlineLevel="2" x14ac:dyDescent="0.25">
      <c r="A1722" s="25"/>
      <c r="B1722" s="25"/>
      <c r="C1722" s="25"/>
      <c r="D1722" s="25" t="s">
        <v>352</v>
      </c>
      <c r="E1722" s="25" t="s">
        <v>2426</v>
      </c>
      <c r="F1722" s="25" t="s">
        <v>2427</v>
      </c>
      <c r="G1722" s="25" t="s">
        <v>2428</v>
      </c>
      <c r="H1722" s="25" t="s">
        <v>2142</v>
      </c>
      <c r="I1722" s="25" t="s">
        <v>2429</v>
      </c>
      <c r="J1722" s="25" t="s">
        <v>674</v>
      </c>
      <c r="N1722"/>
    </row>
    <row r="1723" spans="1:15" ht="18" hidden="1" customHeight="1" outlineLevel="2" x14ac:dyDescent="0.25">
      <c r="A1723" s="25"/>
      <c r="B1723" s="25"/>
      <c r="C1723" s="25"/>
      <c r="D1723" s="25" t="s">
        <v>2431</v>
      </c>
      <c r="E1723" s="25" t="s">
        <v>2430</v>
      </c>
      <c r="F1723" s="25" t="s">
        <v>2419</v>
      </c>
      <c r="G1723" s="25" t="s">
        <v>2431</v>
      </c>
      <c r="H1723" s="25" t="s">
        <v>2421</v>
      </c>
      <c r="I1723" s="25" t="s">
        <v>2432</v>
      </c>
      <c r="J1723" s="25" t="s">
        <v>674</v>
      </c>
      <c r="N1723"/>
    </row>
    <row r="1724" spans="1:15" ht="18" hidden="1" customHeight="1" outlineLevel="2" x14ac:dyDescent="0.25">
      <c r="A1724" s="25"/>
      <c r="B1724" s="25"/>
      <c r="C1724" s="25"/>
      <c r="D1724" s="25" t="s">
        <v>352</v>
      </c>
      <c r="E1724" s="25" t="s">
        <v>2430</v>
      </c>
      <c r="F1724" s="25" t="s">
        <v>2433</v>
      </c>
      <c r="G1724" s="25" t="s">
        <v>2434</v>
      </c>
      <c r="H1724" s="25" t="s">
        <v>2142</v>
      </c>
      <c r="I1724" s="25" t="s">
        <v>2435</v>
      </c>
      <c r="J1724" s="25" t="s">
        <v>674</v>
      </c>
      <c r="N1724"/>
    </row>
    <row r="1725" spans="1:15" ht="18" hidden="1" customHeight="1" outlineLevel="2" x14ac:dyDescent="0.25">
      <c r="A1725" s="25"/>
      <c r="B1725" s="25"/>
      <c r="C1725" s="25"/>
      <c r="D1725" s="25" t="s">
        <v>2437</v>
      </c>
      <c r="E1725" s="25" t="s">
        <v>2436</v>
      </c>
      <c r="F1725" s="25" t="s">
        <v>2419</v>
      </c>
      <c r="G1725" s="25" t="s">
        <v>2437</v>
      </c>
      <c r="H1725" s="25" t="s">
        <v>2421</v>
      </c>
      <c r="I1725" s="25" t="s">
        <v>2438</v>
      </c>
      <c r="J1725" s="25" t="s">
        <v>674</v>
      </c>
      <c r="N1725"/>
    </row>
    <row r="1726" spans="1:15" ht="18" hidden="1" customHeight="1" outlineLevel="2" x14ac:dyDescent="0.25">
      <c r="A1726" s="25"/>
      <c r="B1726" s="25"/>
      <c r="C1726" s="25"/>
      <c r="D1726" s="25" t="s">
        <v>352</v>
      </c>
      <c r="E1726" s="65" t="s">
        <v>3884</v>
      </c>
      <c r="F1726" s="25" t="s">
        <v>2439</v>
      </c>
      <c r="G1726" s="25" t="s">
        <v>2440</v>
      </c>
      <c r="H1726" s="25" t="s">
        <v>2142</v>
      </c>
      <c r="I1726" s="25" t="s">
        <v>2441</v>
      </c>
      <c r="J1726" s="25" t="s">
        <v>674</v>
      </c>
      <c r="N1726"/>
    </row>
    <row r="1727" spans="1:15" ht="18" hidden="1" customHeight="1" outlineLevel="2" x14ac:dyDescent="0.25">
      <c r="A1727" s="25"/>
      <c r="B1727" s="25"/>
      <c r="C1727" s="25"/>
      <c r="D1727" s="25" t="s">
        <v>3442</v>
      </c>
      <c r="E1727" s="25" t="s">
        <v>2442</v>
      </c>
      <c r="F1727" s="25" t="s">
        <v>2443</v>
      </c>
      <c r="G1727" s="25"/>
      <c r="H1727" s="25"/>
      <c r="I1727" s="25"/>
      <c r="J1727" s="25" t="s">
        <v>674</v>
      </c>
      <c r="N1727"/>
    </row>
    <row r="1728" spans="1:15" ht="18" hidden="1" customHeight="1" outlineLevel="2" x14ac:dyDescent="0.25">
      <c r="A1728" s="25"/>
      <c r="B1728" s="25"/>
      <c r="C1728" s="25"/>
      <c r="D1728" s="25"/>
      <c r="E1728" s="25"/>
      <c r="F1728" s="25"/>
      <c r="G1728" s="25"/>
      <c r="H1728" s="25"/>
      <c r="I1728" s="25"/>
      <c r="N1728"/>
    </row>
    <row r="1729" spans="1:15" customFormat="1" ht="18" hidden="1" customHeight="1" outlineLevel="1" collapsed="1" x14ac:dyDescent="0.25">
      <c r="A1729" s="119" t="s">
        <v>123</v>
      </c>
      <c r="B1729" s="120"/>
      <c r="C1729" s="120"/>
      <c r="D1729" s="120"/>
      <c r="E1729" s="120"/>
      <c r="F1729" s="120"/>
      <c r="G1729" s="120"/>
      <c r="H1729" s="120"/>
      <c r="I1729" s="120"/>
      <c r="J1729" s="120"/>
      <c r="K1729" s="120"/>
      <c r="L1729" s="160"/>
      <c r="O1729" s="9"/>
    </row>
    <row r="1730" spans="1:15" ht="18" hidden="1" customHeight="1" outlineLevel="2" x14ac:dyDescent="0.25">
      <c r="A1730" s="25"/>
      <c r="B1730" s="25"/>
      <c r="C1730" s="25"/>
      <c r="D1730" s="25" t="s">
        <v>352</v>
      </c>
      <c r="E1730" s="25" t="s">
        <v>3883</v>
      </c>
      <c r="F1730" s="25" t="s">
        <v>2444</v>
      </c>
      <c r="G1730" s="25"/>
      <c r="H1730" s="25" t="s">
        <v>1348</v>
      </c>
      <c r="I1730" s="25" t="s">
        <v>2445</v>
      </c>
      <c r="J1730" s="25" t="s">
        <v>674</v>
      </c>
      <c r="N1730"/>
    </row>
    <row r="1731" spans="1:15" ht="18" hidden="1" customHeight="1" outlineLevel="2" x14ac:dyDescent="0.25">
      <c r="A1731" s="25"/>
      <c r="B1731" s="25"/>
      <c r="C1731" s="25"/>
      <c r="D1731" s="25" t="s">
        <v>352</v>
      </c>
      <c r="E1731" s="25" t="s">
        <v>3883</v>
      </c>
      <c r="F1731" s="25" t="s">
        <v>2446</v>
      </c>
      <c r="G1731" s="25"/>
      <c r="H1731" s="25" t="s">
        <v>1348</v>
      </c>
      <c r="I1731" s="25" t="s">
        <v>2447</v>
      </c>
      <c r="J1731" s="25" t="s">
        <v>674</v>
      </c>
      <c r="N1731"/>
    </row>
    <row r="1732" spans="1:15" ht="18" hidden="1" customHeight="1" outlineLevel="2" x14ac:dyDescent="0.25">
      <c r="A1732" s="25"/>
      <c r="B1732" s="25"/>
      <c r="C1732" s="25"/>
      <c r="D1732" s="25" t="s">
        <v>352</v>
      </c>
      <c r="E1732" s="25" t="s">
        <v>3883</v>
      </c>
      <c r="F1732" s="25" t="s">
        <v>2448</v>
      </c>
      <c r="G1732" s="25"/>
      <c r="H1732" s="25"/>
      <c r="I1732" s="25" t="s">
        <v>3880</v>
      </c>
      <c r="J1732" s="25" t="s">
        <v>674</v>
      </c>
      <c r="N1732"/>
    </row>
    <row r="1733" spans="1:15" ht="18" hidden="1" customHeight="1" outlineLevel="2" x14ac:dyDescent="0.25">
      <c r="A1733" s="25"/>
      <c r="B1733" s="25"/>
      <c r="C1733" s="25"/>
      <c r="D1733" s="25" t="s">
        <v>352</v>
      </c>
      <c r="E1733" s="25" t="s">
        <v>3883</v>
      </c>
      <c r="F1733" s="25" t="s">
        <v>2449</v>
      </c>
      <c r="G1733" s="25"/>
      <c r="H1733" s="25" t="s">
        <v>1348</v>
      </c>
      <c r="I1733" s="25" t="s">
        <v>3881</v>
      </c>
      <c r="J1733" s="25" t="s">
        <v>674</v>
      </c>
      <c r="N1733"/>
    </row>
    <row r="1734" spans="1:15" ht="18" hidden="1" customHeight="1" outlineLevel="2" x14ac:dyDescent="0.25">
      <c r="A1734" s="25"/>
      <c r="B1734" s="25"/>
      <c r="C1734" s="25"/>
      <c r="D1734" s="25" t="s">
        <v>352</v>
      </c>
      <c r="E1734" s="25" t="s">
        <v>3883</v>
      </c>
      <c r="F1734" s="25" t="s">
        <v>2450</v>
      </c>
      <c r="G1734" s="25"/>
      <c r="H1734" s="25" t="s">
        <v>1348</v>
      </c>
      <c r="I1734" s="25" t="s">
        <v>3882</v>
      </c>
      <c r="J1734" s="25" t="s">
        <v>674</v>
      </c>
      <c r="N1734"/>
    </row>
    <row r="1735" spans="1:15" ht="18" hidden="1" customHeight="1" outlineLevel="2" x14ac:dyDescent="0.25">
      <c r="A1735" s="25"/>
      <c r="B1735" s="25"/>
      <c r="C1735" s="25"/>
      <c r="D1735" s="25" t="s">
        <v>3443</v>
      </c>
      <c r="E1735" s="25" t="s">
        <v>2451</v>
      </c>
      <c r="F1735" s="25" t="s">
        <v>2179</v>
      </c>
      <c r="G1735" s="25"/>
      <c r="H1735" s="25"/>
      <c r="I1735" s="25"/>
      <c r="J1735" s="25" t="s">
        <v>674</v>
      </c>
      <c r="N1735"/>
    </row>
    <row r="1736" spans="1:15" ht="18" hidden="1" customHeight="1" outlineLevel="2" x14ac:dyDescent="0.25">
      <c r="A1736" s="25"/>
      <c r="B1736" s="25"/>
      <c r="C1736" s="25"/>
      <c r="D1736" s="25" t="s">
        <v>3444</v>
      </c>
      <c r="E1736" s="25" t="s">
        <v>2451</v>
      </c>
      <c r="F1736" s="25" t="s">
        <v>2452</v>
      </c>
      <c r="G1736" s="25"/>
      <c r="H1736" s="25"/>
      <c r="I1736" s="25"/>
      <c r="J1736" s="25" t="s">
        <v>674</v>
      </c>
      <c r="N1736"/>
    </row>
    <row r="1737" spans="1:15" ht="18" hidden="1" customHeight="1" outlineLevel="2" x14ac:dyDescent="0.25">
      <c r="A1737" s="25"/>
      <c r="B1737" s="25"/>
      <c r="C1737" s="25"/>
      <c r="D1737" s="25" t="s">
        <v>3445</v>
      </c>
      <c r="E1737" s="25" t="s">
        <v>2453</v>
      </c>
      <c r="F1737" s="25" t="s">
        <v>2407</v>
      </c>
      <c r="G1737" s="25"/>
      <c r="H1737" s="25" t="s">
        <v>1348</v>
      </c>
      <c r="I1737" s="25" t="s">
        <v>2179</v>
      </c>
      <c r="J1737" s="25" t="s">
        <v>405</v>
      </c>
      <c r="N1737"/>
    </row>
    <row r="1738" spans="1:15" ht="18" hidden="1" customHeight="1" outlineLevel="2" x14ac:dyDescent="0.25">
      <c r="A1738" s="25"/>
      <c r="B1738" s="25"/>
      <c r="C1738" s="25"/>
      <c r="D1738" s="25"/>
      <c r="E1738" s="25"/>
      <c r="F1738" s="25"/>
      <c r="G1738" s="25"/>
      <c r="H1738" s="25"/>
      <c r="I1738" s="25"/>
      <c r="N1738"/>
    </row>
    <row r="1739" spans="1:15" customFormat="1" ht="18" hidden="1" customHeight="1" outlineLevel="1" collapsed="1" x14ac:dyDescent="0.25">
      <c r="A1739" s="119" t="s">
        <v>124</v>
      </c>
      <c r="B1739" s="120"/>
      <c r="C1739" s="120"/>
      <c r="D1739" s="120"/>
      <c r="E1739" s="120"/>
      <c r="F1739" s="120"/>
      <c r="G1739" s="120"/>
      <c r="H1739" s="120"/>
      <c r="I1739" s="120"/>
      <c r="J1739" s="120"/>
      <c r="K1739" s="120"/>
      <c r="L1739" s="160"/>
      <c r="N1739" s="9"/>
      <c r="O1739" s="9"/>
    </row>
    <row r="1740" spans="1:15" ht="18" hidden="1" customHeight="1" outlineLevel="2" x14ac:dyDescent="0.2">
      <c r="A1740" s="25"/>
      <c r="B1740" s="25"/>
      <c r="C1740" s="25"/>
      <c r="D1740" s="25" t="s">
        <v>3446</v>
      </c>
      <c r="E1740" s="25" t="s">
        <v>2454</v>
      </c>
      <c r="F1740" s="25" t="s">
        <v>2455</v>
      </c>
      <c r="G1740" s="25"/>
      <c r="H1740" s="25"/>
      <c r="I1740" s="25"/>
      <c r="J1740" s="25" t="s">
        <v>674</v>
      </c>
    </row>
    <row r="1741" spans="1:15" ht="18" hidden="1" customHeight="1" outlineLevel="2" x14ac:dyDescent="0.2">
      <c r="A1741" s="25"/>
      <c r="B1741" s="25"/>
      <c r="C1741" s="25"/>
      <c r="D1741" s="25" t="s">
        <v>3447</v>
      </c>
      <c r="E1741" s="25" t="s">
        <v>2454</v>
      </c>
      <c r="F1741" s="25" t="s">
        <v>2456</v>
      </c>
      <c r="G1741" s="25"/>
      <c r="H1741" s="25"/>
      <c r="I1741" s="25"/>
      <c r="J1741" s="25" t="s">
        <v>674</v>
      </c>
    </row>
    <row r="1742" spans="1:15" ht="18" hidden="1" customHeight="1" outlineLevel="2" x14ac:dyDescent="0.2">
      <c r="A1742" s="25"/>
      <c r="B1742" s="25"/>
      <c r="C1742" s="25"/>
      <c r="D1742" s="25" t="s">
        <v>3448</v>
      </c>
      <c r="E1742" s="25" t="s">
        <v>2454</v>
      </c>
      <c r="F1742" s="25" t="s">
        <v>2457</v>
      </c>
      <c r="G1742" s="25"/>
      <c r="H1742" s="25"/>
      <c r="I1742" s="25"/>
      <c r="J1742" s="25" t="s">
        <v>674</v>
      </c>
    </row>
    <row r="1743" spans="1:15" ht="18" hidden="1" customHeight="1" outlineLevel="2" x14ac:dyDescent="0.2">
      <c r="A1743" s="25"/>
      <c r="B1743" s="25"/>
      <c r="C1743" s="25"/>
      <c r="D1743" s="25" t="s">
        <v>3449</v>
      </c>
      <c r="E1743" s="25" t="s">
        <v>2454</v>
      </c>
      <c r="F1743" s="25" t="s">
        <v>2458</v>
      </c>
      <c r="G1743" s="25"/>
      <c r="H1743" s="25"/>
      <c r="I1743" s="25"/>
      <c r="J1743" s="25" t="s">
        <v>674</v>
      </c>
    </row>
    <row r="1744" spans="1:15" ht="18" hidden="1" customHeight="1" outlineLevel="2" x14ac:dyDescent="0.2">
      <c r="A1744" s="25"/>
      <c r="B1744" s="25"/>
      <c r="C1744" s="25"/>
      <c r="D1744" s="25"/>
      <c r="E1744" s="25"/>
      <c r="F1744" s="25"/>
      <c r="G1744" s="25"/>
      <c r="H1744" s="25"/>
      <c r="I1744" s="25"/>
    </row>
    <row r="1745" spans="1:15" customFormat="1" ht="18" hidden="1" customHeight="1" outlineLevel="1" collapsed="1" x14ac:dyDescent="0.25">
      <c r="A1745" s="119" t="s">
        <v>127</v>
      </c>
      <c r="B1745" s="120"/>
      <c r="C1745" s="120"/>
      <c r="D1745" s="120"/>
      <c r="E1745" s="120"/>
      <c r="F1745" s="120"/>
      <c r="G1745" s="120"/>
      <c r="H1745" s="120"/>
      <c r="I1745" s="120"/>
      <c r="J1745" s="120"/>
      <c r="K1745" s="120"/>
      <c r="L1745" s="160"/>
      <c r="N1745" s="9"/>
      <c r="O1745" s="9"/>
    </row>
    <row r="1746" spans="1:15" ht="18" hidden="1" customHeight="1" outlineLevel="2" x14ac:dyDescent="0.2">
      <c r="A1746" s="25"/>
      <c r="B1746" s="25"/>
      <c r="C1746" s="25"/>
      <c r="D1746" s="25" t="s">
        <v>3450</v>
      </c>
      <c r="E1746" s="25" t="s">
        <v>2511</v>
      </c>
      <c r="F1746" s="25" t="s">
        <v>2512</v>
      </c>
      <c r="G1746" s="25"/>
      <c r="H1746" s="25" t="s">
        <v>2142</v>
      </c>
      <c r="I1746" s="25" t="s">
        <v>3886</v>
      </c>
      <c r="J1746" s="25" t="s">
        <v>674</v>
      </c>
    </row>
    <row r="1747" spans="1:15" ht="18" hidden="1" customHeight="1" outlineLevel="2" x14ac:dyDescent="0.2">
      <c r="A1747" s="25"/>
      <c r="B1747" s="25"/>
      <c r="C1747" s="25"/>
      <c r="D1747" s="25" t="s">
        <v>3451</v>
      </c>
      <c r="E1747" s="25" t="s">
        <v>2511</v>
      </c>
      <c r="F1747" s="25" t="s">
        <v>2513</v>
      </c>
      <c r="G1747" s="25"/>
      <c r="H1747" s="25" t="s">
        <v>2142</v>
      </c>
      <c r="I1747" s="25" t="s">
        <v>3885</v>
      </c>
      <c r="J1747" s="25" t="s">
        <v>674</v>
      </c>
    </row>
    <row r="1748" spans="1:15" ht="18" hidden="1" customHeight="1" outlineLevel="2" x14ac:dyDescent="0.2">
      <c r="A1748" s="25"/>
      <c r="B1748" s="25"/>
      <c r="C1748" s="25"/>
      <c r="D1748" s="25" t="s">
        <v>547</v>
      </c>
      <c r="E1748" s="25" t="s">
        <v>2511</v>
      </c>
      <c r="F1748" s="25" t="s">
        <v>2514</v>
      </c>
      <c r="G1748" s="25" t="s">
        <v>2515</v>
      </c>
      <c r="H1748" s="25" t="s">
        <v>2460</v>
      </c>
      <c r="I1748" s="25" t="s">
        <v>2516</v>
      </c>
      <c r="J1748" s="25" t="s">
        <v>674</v>
      </c>
    </row>
    <row r="1749" spans="1:15" ht="18" hidden="1" customHeight="1" outlineLevel="2" x14ac:dyDescent="0.25">
      <c r="A1749" s="25"/>
      <c r="B1749" s="25"/>
      <c r="C1749" s="25"/>
      <c r="D1749" s="25"/>
      <c r="E1749" s="25"/>
      <c r="F1749" s="25"/>
      <c r="G1749" s="25"/>
      <c r="H1749" s="25"/>
      <c r="I1749" s="25"/>
      <c r="M1749"/>
      <c r="N1749"/>
      <c r="O1749"/>
    </row>
    <row r="1750" spans="1:15" customFormat="1" ht="18" hidden="1" customHeight="1" outlineLevel="1" collapsed="1" x14ac:dyDescent="0.25">
      <c r="A1750" s="119" t="s">
        <v>128</v>
      </c>
      <c r="B1750" s="120"/>
      <c r="C1750" s="120"/>
      <c r="D1750" s="120"/>
      <c r="E1750" s="120"/>
      <c r="F1750" s="120"/>
      <c r="G1750" s="120"/>
      <c r="H1750" s="120"/>
      <c r="I1750" s="120"/>
      <c r="J1750" s="120"/>
      <c r="K1750" s="120"/>
      <c r="L1750" s="160"/>
    </row>
    <row r="1751" spans="1:15" ht="18" hidden="1" customHeight="1" outlineLevel="3" x14ac:dyDescent="0.25">
      <c r="A1751" s="25"/>
      <c r="B1751" s="25"/>
      <c r="C1751" s="25"/>
      <c r="D1751" s="25" t="s">
        <v>2519</v>
      </c>
      <c r="E1751" s="25" t="s">
        <v>2517</v>
      </c>
      <c r="F1751" s="25" t="s">
        <v>2518</v>
      </c>
      <c r="G1751" s="25" t="s">
        <v>2519</v>
      </c>
      <c r="H1751" s="25" t="s">
        <v>2142</v>
      </c>
      <c r="I1751" s="76" t="s">
        <v>3888</v>
      </c>
      <c r="J1751" s="25" t="s">
        <v>547</v>
      </c>
      <c r="M1751"/>
      <c r="N1751"/>
      <c r="O1751"/>
    </row>
    <row r="1752" spans="1:15" ht="18" hidden="1" customHeight="1" outlineLevel="3" x14ac:dyDescent="0.25">
      <c r="A1752" s="25"/>
      <c r="B1752" s="25"/>
      <c r="C1752" s="25"/>
      <c r="D1752" s="25" t="s">
        <v>2520</v>
      </c>
      <c r="E1752" s="25" t="s">
        <v>2517</v>
      </c>
      <c r="F1752" s="25" t="s">
        <v>2518</v>
      </c>
      <c r="G1752" s="25" t="s">
        <v>2520</v>
      </c>
      <c r="H1752" s="25" t="s">
        <v>2142</v>
      </c>
      <c r="I1752" s="76" t="s">
        <v>3889</v>
      </c>
      <c r="J1752" s="25" t="s">
        <v>547</v>
      </c>
      <c r="M1752"/>
      <c r="N1752"/>
      <c r="O1752"/>
    </row>
    <row r="1753" spans="1:15" ht="18" hidden="1" customHeight="1" outlineLevel="3" x14ac:dyDescent="0.25">
      <c r="A1753" s="25"/>
      <c r="B1753" s="25"/>
      <c r="C1753" s="25"/>
      <c r="D1753" s="25" t="s">
        <v>2522</v>
      </c>
      <c r="E1753" s="25" t="s">
        <v>2517</v>
      </c>
      <c r="F1753" s="25" t="s">
        <v>2521</v>
      </c>
      <c r="G1753" s="25" t="s">
        <v>2522</v>
      </c>
      <c r="H1753" s="25" t="s">
        <v>2142</v>
      </c>
      <c r="I1753" s="76" t="s">
        <v>3890</v>
      </c>
      <c r="J1753" s="25" t="s">
        <v>547</v>
      </c>
      <c r="M1753"/>
      <c r="N1753"/>
      <c r="O1753"/>
    </row>
    <row r="1754" spans="1:15" ht="18" hidden="1" customHeight="1" outlineLevel="3" x14ac:dyDescent="0.25">
      <c r="A1754" s="25"/>
      <c r="B1754" s="25"/>
      <c r="C1754" s="25"/>
      <c r="D1754" s="25" t="s">
        <v>2525</v>
      </c>
      <c r="E1754" s="25" t="s">
        <v>2523</v>
      </c>
      <c r="F1754" s="25" t="s">
        <v>2524</v>
      </c>
      <c r="G1754" s="25" t="s">
        <v>2525</v>
      </c>
      <c r="H1754" s="25" t="s">
        <v>2142</v>
      </c>
      <c r="I1754" s="25" t="s">
        <v>56</v>
      </c>
      <c r="J1754" s="25" t="s">
        <v>547</v>
      </c>
      <c r="M1754"/>
      <c r="N1754"/>
      <c r="O1754"/>
    </row>
    <row r="1755" spans="1:15" ht="18" hidden="1" customHeight="1" outlineLevel="3" x14ac:dyDescent="0.25">
      <c r="A1755" s="25"/>
      <c r="B1755" s="25"/>
      <c r="C1755" s="25"/>
      <c r="D1755" s="25" t="s">
        <v>3392</v>
      </c>
      <c r="E1755" s="25" t="s">
        <v>110</v>
      </c>
      <c r="F1755" s="25" t="s">
        <v>2179</v>
      </c>
      <c r="G1755" s="25"/>
      <c r="H1755" s="25"/>
      <c r="I1755" s="25" t="s">
        <v>2180</v>
      </c>
      <c r="M1755"/>
      <c r="N1755"/>
      <c r="O1755"/>
    </row>
    <row r="1756" spans="1:15" ht="18" hidden="1" customHeight="1" outlineLevel="3" x14ac:dyDescent="0.25">
      <c r="A1756" s="25"/>
      <c r="B1756" s="25"/>
      <c r="C1756" s="25"/>
      <c r="D1756" s="25" t="s">
        <v>352</v>
      </c>
      <c r="E1756" s="25" t="s">
        <v>2517</v>
      </c>
      <c r="F1756" s="25" t="s">
        <v>2526</v>
      </c>
      <c r="G1756" s="25" t="s">
        <v>2527</v>
      </c>
      <c r="H1756" s="25" t="s">
        <v>2528</v>
      </c>
      <c r="I1756" s="25" t="s">
        <v>3891</v>
      </c>
      <c r="J1756" s="25" t="s">
        <v>547</v>
      </c>
      <c r="M1756"/>
      <c r="N1756"/>
      <c r="O1756"/>
    </row>
    <row r="1757" spans="1:15" ht="18" hidden="1" customHeight="1" outlineLevel="3" x14ac:dyDescent="0.25">
      <c r="A1757" s="25"/>
      <c r="B1757" s="25"/>
      <c r="C1757" s="25"/>
      <c r="D1757" s="25" t="s">
        <v>352</v>
      </c>
      <c r="E1757" s="25" t="s">
        <v>2517</v>
      </c>
      <c r="F1757" s="25" t="s">
        <v>2529</v>
      </c>
      <c r="G1757" s="25" t="s">
        <v>2530</v>
      </c>
      <c r="H1757" s="25" t="s">
        <v>2528</v>
      </c>
      <c r="I1757" s="76" t="s">
        <v>3892</v>
      </c>
      <c r="J1757" s="25" t="s">
        <v>547</v>
      </c>
      <c r="M1757"/>
      <c r="N1757"/>
      <c r="O1757"/>
    </row>
    <row r="1758" spans="1:15" ht="18" hidden="1" customHeight="1" outlineLevel="3" x14ac:dyDescent="0.25">
      <c r="A1758" s="25"/>
      <c r="B1758" s="25"/>
      <c r="C1758" s="25"/>
      <c r="D1758" s="25"/>
      <c r="E1758" s="25"/>
      <c r="F1758" s="25"/>
      <c r="G1758" s="25"/>
      <c r="H1758" s="25"/>
      <c r="I1758" s="25"/>
      <c r="M1758"/>
      <c r="N1758"/>
      <c r="O1758"/>
    </row>
    <row r="1759" spans="1:15" ht="18" hidden="1" customHeight="1" outlineLevel="1" collapsed="1" x14ac:dyDescent="0.2">
      <c r="A1759" s="119" t="s">
        <v>3727</v>
      </c>
      <c r="B1759" s="120"/>
      <c r="C1759" s="120"/>
      <c r="D1759" s="120" t="s">
        <v>3893</v>
      </c>
      <c r="E1759" s="120"/>
      <c r="F1759" s="120"/>
      <c r="G1759" s="120"/>
      <c r="H1759" s="120"/>
      <c r="I1759" s="120"/>
      <c r="J1759" s="120"/>
      <c r="K1759" s="120"/>
      <c r="L1759" s="160"/>
    </row>
    <row r="1760" spans="1:15" ht="18" hidden="1" customHeight="1" outlineLevel="2" x14ac:dyDescent="0.2">
      <c r="A1760" s="25"/>
      <c r="B1760" s="25"/>
      <c r="C1760" s="25"/>
      <c r="D1760" s="25" t="s">
        <v>3460</v>
      </c>
      <c r="E1760" s="59" t="s">
        <v>2571</v>
      </c>
      <c r="F1760" s="25" t="s">
        <v>2572</v>
      </c>
      <c r="G1760" s="25"/>
      <c r="H1760" s="25"/>
      <c r="I1760" s="25" t="s">
        <v>2573</v>
      </c>
      <c r="K1760" s="25">
        <v>3</v>
      </c>
      <c r="L1760" s="25">
        <v>4</v>
      </c>
    </row>
    <row r="1761" spans="1:12" ht="18" hidden="1" customHeight="1" outlineLevel="2" x14ac:dyDescent="0.2">
      <c r="A1761" s="25"/>
      <c r="B1761" s="25"/>
      <c r="C1761" s="25"/>
      <c r="D1761" s="25" t="s">
        <v>3461</v>
      </c>
      <c r="E1761" s="59" t="s">
        <v>2571</v>
      </c>
      <c r="F1761" s="25" t="s">
        <v>2574</v>
      </c>
      <c r="G1761" s="25"/>
      <c r="H1761" s="25"/>
      <c r="I1761" s="25" t="s">
        <v>2573</v>
      </c>
      <c r="K1761" s="25">
        <v>3</v>
      </c>
      <c r="L1761" s="25">
        <v>4</v>
      </c>
    </row>
    <row r="1762" spans="1:12" ht="18" hidden="1" customHeight="1" outlineLevel="2" x14ac:dyDescent="0.2">
      <c r="A1762" s="25"/>
      <c r="B1762" s="25"/>
      <c r="C1762" s="25"/>
      <c r="D1762" s="25" t="s">
        <v>3462</v>
      </c>
      <c r="E1762" s="59" t="s">
        <v>2571</v>
      </c>
      <c r="F1762" s="25" t="s">
        <v>2575</v>
      </c>
      <c r="G1762" s="25"/>
      <c r="H1762" s="25"/>
      <c r="I1762" s="25" t="s">
        <v>2573</v>
      </c>
      <c r="K1762" s="25">
        <v>3</v>
      </c>
      <c r="L1762" s="25">
        <v>4</v>
      </c>
    </row>
    <row r="1763" spans="1:12" ht="18" hidden="1" customHeight="1" outlineLevel="2" x14ac:dyDescent="0.2">
      <c r="A1763" s="25"/>
      <c r="B1763" s="25"/>
      <c r="C1763" s="25"/>
      <c r="D1763" s="25" t="s">
        <v>3463</v>
      </c>
      <c r="E1763" s="25" t="s">
        <v>2571</v>
      </c>
      <c r="F1763" s="25" t="s">
        <v>2576</v>
      </c>
      <c r="G1763" s="25"/>
      <c r="H1763" s="25"/>
      <c r="I1763" s="25" t="s">
        <v>2573</v>
      </c>
    </row>
    <row r="1764" spans="1:12" ht="18" hidden="1" customHeight="1" outlineLevel="2" x14ac:dyDescent="0.2">
      <c r="A1764" s="25"/>
      <c r="B1764" s="25"/>
      <c r="C1764" s="25"/>
      <c r="D1764" s="25" t="s">
        <v>3464</v>
      </c>
      <c r="E1764" s="25" t="s">
        <v>2571</v>
      </c>
      <c r="F1764" s="25" t="s">
        <v>2577</v>
      </c>
      <c r="G1764" s="25"/>
      <c r="H1764" s="25"/>
      <c r="I1764" s="25" t="s">
        <v>2573</v>
      </c>
    </row>
    <row r="1765" spans="1:12" ht="18" hidden="1" customHeight="1" outlineLevel="2" x14ac:dyDescent="0.2">
      <c r="A1765" s="25"/>
      <c r="B1765" s="25"/>
      <c r="C1765" s="25"/>
      <c r="D1765" s="25" t="s">
        <v>3465</v>
      </c>
      <c r="E1765" s="25" t="s">
        <v>2571</v>
      </c>
      <c r="F1765" s="25" t="s">
        <v>2578</v>
      </c>
      <c r="G1765" s="25"/>
      <c r="H1765" s="25"/>
      <c r="I1765" s="25" t="s">
        <v>2573</v>
      </c>
    </row>
    <row r="1766" spans="1:12" ht="18" hidden="1" customHeight="1" outlineLevel="2" x14ac:dyDescent="0.2">
      <c r="A1766" s="25"/>
      <c r="B1766" s="25"/>
      <c r="C1766" s="25"/>
      <c r="D1766" s="25"/>
      <c r="E1766" s="25"/>
      <c r="F1766" s="25"/>
      <c r="G1766" s="25"/>
      <c r="H1766" s="25"/>
      <c r="I1766" s="25"/>
    </row>
    <row r="1767" spans="1:12" ht="18" hidden="1" customHeight="1" outlineLevel="2" x14ac:dyDescent="0.2">
      <c r="A1767" s="25"/>
      <c r="B1767" s="25"/>
      <c r="C1767" s="25"/>
      <c r="D1767" s="25" t="s">
        <v>352</v>
      </c>
      <c r="E1767" s="25" t="s">
        <v>3887</v>
      </c>
      <c r="F1767" s="25"/>
      <c r="G1767" s="25" t="s">
        <v>2459</v>
      </c>
      <c r="H1767" s="25" t="s">
        <v>2460</v>
      </c>
      <c r="I1767" s="25"/>
    </row>
    <row r="1768" spans="1:12" ht="18" hidden="1" customHeight="1" outlineLevel="2" x14ac:dyDescent="0.2">
      <c r="A1768" s="25"/>
      <c r="B1768" s="25"/>
      <c r="C1768" s="25"/>
      <c r="D1768" s="25" t="s">
        <v>352</v>
      </c>
      <c r="E1768" s="25" t="s">
        <v>2461</v>
      </c>
      <c r="F1768" s="25"/>
      <c r="G1768" s="25" t="s">
        <v>2462</v>
      </c>
      <c r="H1768" s="25" t="s">
        <v>2460</v>
      </c>
      <c r="I1768" s="25" t="s">
        <v>2463</v>
      </c>
    </row>
    <row r="1769" spans="1:12" ht="18" hidden="1" customHeight="1" outlineLevel="2" x14ac:dyDescent="0.2">
      <c r="A1769" s="25"/>
      <c r="B1769" s="25"/>
      <c r="C1769" s="25"/>
      <c r="D1769" s="25" t="s">
        <v>352</v>
      </c>
      <c r="E1769" s="25" t="s">
        <v>3887</v>
      </c>
      <c r="F1769" s="25" t="s">
        <v>2464</v>
      </c>
      <c r="G1769" s="25" t="s">
        <v>2465</v>
      </c>
      <c r="H1769" s="25" t="s">
        <v>2466</v>
      </c>
      <c r="I1769" s="25"/>
      <c r="J1769" s="25" t="s">
        <v>674</v>
      </c>
    </row>
    <row r="1770" spans="1:12" ht="18" hidden="1" customHeight="1" outlineLevel="2" x14ac:dyDescent="0.2">
      <c r="A1770" s="25"/>
      <c r="B1770" s="25"/>
      <c r="C1770" s="25"/>
      <c r="D1770" s="25" t="s">
        <v>352</v>
      </c>
      <c r="E1770" s="25" t="s">
        <v>2461</v>
      </c>
      <c r="F1770" s="25"/>
      <c r="G1770" s="25" t="s">
        <v>2467</v>
      </c>
      <c r="H1770" s="25" t="s">
        <v>2466</v>
      </c>
      <c r="I1770" s="25" t="s">
        <v>2463</v>
      </c>
    </row>
    <row r="1771" spans="1:12" ht="18" hidden="1" customHeight="1" outlineLevel="2" x14ac:dyDescent="0.2">
      <c r="A1771" s="25"/>
      <c r="B1771" s="25"/>
      <c r="C1771" s="25"/>
      <c r="D1771" s="25" t="s">
        <v>352</v>
      </c>
      <c r="E1771" s="25" t="s">
        <v>2468</v>
      </c>
      <c r="F1771" s="25" t="s">
        <v>2469</v>
      </c>
      <c r="G1771" s="25"/>
      <c r="H1771" s="25" t="s">
        <v>2470</v>
      </c>
      <c r="I1771" s="25" t="s">
        <v>2471</v>
      </c>
    </row>
    <row r="1772" spans="1:12" ht="18" hidden="1" customHeight="1" outlineLevel="2" x14ac:dyDescent="0.2">
      <c r="A1772" s="25"/>
      <c r="B1772" s="25"/>
      <c r="C1772" s="25"/>
      <c r="D1772" s="25"/>
      <c r="E1772" s="25"/>
      <c r="F1772" s="25"/>
      <c r="G1772" s="25"/>
      <c r="H1772" s="25"/>
      <c r="I1772" s="25"/>
    </row>
    <row r="1773" spans="1:12" ht="18" customHeight="1" collapsed="1" x14ac:dyDescent="0.2">
      <c r="A1773" s="117" t="s">
        <v>3913</v>
      </c>
      <c r="B1773" s="118"/>
      <c r="C1773" s="118"/>
      <c r="D1773" s="118" t="s">
        <v>3472</v>
      </c>
      <c r="E1773" s="118"/>
      <c r="F1773" s="118"/>
      <c r="G1773" s="118"/>
      <c r="H1773" s="118"/>
      <c r="I1773" s="118"/>
      <c r="J1773" s="118"/>
      <c r="K1773" s="118"/>
      <c r="L1773" s="177"/>
    </row>
    <row r="1774" spans="1:12" ht="18" hidden="1" customHeight="1" outlineLevel="1" collapsed="1" x14ac:dyDescent="0.2">
      <c r="A1774" s="119" t="s">
        <v>162</v>
      </c>
      <c r="B1774" s="120"/>
      <c r="C1774" s="120"/>
      <c r="D1774" s="120"/>
      <c r="E1774" s="120"/>
      <c r="F1774" s="120"/>
      <c r="G1774" s="120"/>
      <c r="H1774" s="120"/>
      <c r="I1774" s="120"/>
      <c r="J1774" s="120"/>
      <c r="K1774" s="120"/>
      <c r="L1774" s="160"/>
    </row>
    <row r="1775" spans="1:12" ht="18" hidden="1" customHeight="1" outlineLevel="2" x14ac:dyDescent="0.2">
      <c r="A1775" s="25"/>
      <c r="B1775" s="25"/>
      <c r="C1775" s="25"/>
      <c r="D1775" s="25" t="s">
        <v>352</v>
      </c>
      <c r="E1775" s="25" t="s">
        <v>3915</v>
      </c>
      <c r="F1775" s="25" t="s">
        <v>2633</v>
      </c>
      <c r="G1775" s="25"/>
      <c r="H1775" s="25"/>
      <c r="I1775" s="25" t="s">
        <v>3914</v>
      </c>
      <c r="J1775" s="25" t="s">
        <v>3080</v>
      </c>
    </row>
    <row r="1776" spans="1:12" ht="18" hidden="1" customHeight="1" outlineLevel="2" x14ac:dyDescent="0.2">
      <c r="A1776" s="25"/>
      <c r="B1776" s="25"/>
      <c r="C1776" s="25"/>
      <c r="D1776" s="25" t="s">
        <v>352</v>
      </c>
      <c r="E1776" s="25" t="s">
        <v>3915</v>
      </c>
      <c r="F1776" s="25" t="s">
        <v>2634</v>
      </c>
      <c r="G1776" s="25"/>
      <c r="H1776" s="25"/>
      <c r="I1776" s="25" t="s">
        <v>3914</v>
      </c>
      <c r="J1776" s="25" t="s">
        <v>3080</v>
      </c>
    </row>
    <row r="1777" spans="1:12" ht="18" hidden="1" customHeight="1" outlineLevel="2" x14ac:dyDescent="0.2">
      <c r="A1777" s="25"/>
      <c r="B1777" s="25"/>
      <c r="C1777" s="25"/>
      <c r="D1777" s="25" t="s">
        <v>352</v>
      </c>
      <c r="E1777" s="25" t="s">
        <v>3915</v>
      </c>
      <c r="F1777" s="25" t="s">
        <v>2635</v>
      </c>
      <c r="G1777" s="25"/>
      <c r="H1777" s="25"/>
      <c r="I1777" s="25" t="s">
        <v>3914</v>
      </c>
      <c r="J1777" s="25" t="s">
        <v>3080</v>
      </c>
    </row>
    <row r="1778" spans="1:12" ht="18" hidden="1" customHeight="1" outlineLevel="2" x14ac:dyDescent="0.2">
      <c r="A1778" s="25"/>
      <c r="B1778" s="25"/>
      <c r="C1778" s="25"/>
      <c r="D1778" s="25" t="s">
        <v>352</v>
      </c>
      <c r="E1778" s="25" t="s">
        <v>3915</v>
      </c>
      <c r="F1778" s="25" t="s">
        <v>2636</v>
      </c>
      <c r="G1778" s="25"/>
      <c r="H1778" s="25"/>
      <c r="I1778" s="25" t="s">
        <v>3914</v>
      </c>
      <c r="J1778" s="25" t="s">
        <v>3080</v>
      </c>
    </row>
    <row r="1779" spans="1:12" ht="18" hidden="1" customHeight="1" outlineLevel="2" x14ac:dyDescent="0.2">
      <c r="A1779" s="25"/>
      <c r="B1779" s="25"/>
      <c r="C1779" s="25"/>
      <c r="D1779" s="25" t="s">
        <v>352</v>
      </c>
      <c r="E1779" s="25" t="s">
        <v>3915</v>
      </c>
      <c r="F1779" s="25" t="s">
        <v>2637</v>
      </c>
      <c r="G1779" s="25"/>
      <c r="H1779" s="25"/>
      <c r="I1779" s="25" t="s">
        <v>3914</v>
      </c>
      <c r="J1779" s="25" t="s">
        <v>3080</v>
      </c>
    </row>
    <row r="1780" spans="1:12" ht="18" hidden="1" customHeight="1" outlineLevel="2" x14ac:dyDescent="0.2">
      <c r="A1780" s="25"/>
      <c r="B1780" s="25"/>
      <c r="C1780" s="25"/>
      <c r="D1780" s="25" t="s">
        <v>352</v>
      </c>
      <c r="E1780" s="25" t="s">
        <v>3915</v>
      </c>
      <c r="F1780" s="25" t="s">
        <v>2638</v>
      </c>
      <c r="G1780" s="25"/>
      <c r="H1780" s="25"/>
      <c r="I1780" s="25" t="s">
        <v>3914</v>
      </c>
      <c r="J1780" s="25" t="s">
        <v>3080</v>
      </c>
    </row>
    <row r="1781" spans="1:12" ht="18" hidden="1" customHeight="1" outlineLevel="2" x14ac:dyDescent="0.2">
      <c r="A1781" s="25"/>
      <c r="B1781" s="25"/>
      <c r="C1781" s="25"/>
      <c r="D1781" s="25" t="s">
        <v>352</v>
      </c>
      <c r="E1781" s="25" t="s">
        <v>3915</v>
      </c>
      <c r="F1781" s="25" t="s">
        <v>2639</v>
      </c>
      <c r="G1781" s="25"/>
      <c r="H1781" s="25"/>
      <c r="I1781" s="25" t="s">
        <v>3914</v>
      </c>
      <c r="J1781" s="25" t="s">
        <v>3080</v>
      </c>
    </row>
    <row r="1782" spans="1:12" ht="18" hidden="1" customHeight="1" outlineLevel="2" x14ac:dyDescent="0.2">
      <c r="A1782" s="25"/>
      <c r="B1782" s="25"/>
      <c r="C1782" s="25"/>
      <c r="D1782" s="25" t="s">
        <v>352</v>
      </c>
      <c r="E1782" s="25" t="s">
        <v>3915</v>
      </c>
      <c r="F1782" s="25" t="s">
        <v>2640</v>
      </c>
      <c r="G1782" s="25"/>
      <c r="H1782" s="25"/>
      <c r="I1782" s="25" t="s">
        <v>3914</v>
      </c>
      <c r="J1782" s="25" t="s">
        <v>3080</v>
      </c>
    </row>
    <row r="1783" spans="1:12" ht="18" hidden="1" customHeight="1" outlineLevel="2" x14ac:dyDescent="0.2">
      <c r="A1783" s="25"/>
      <c r="B1783" s="25"/>
      <c r="C1783" s="25"/>
      <c r="D1783" s="25"/>
      <c r="E1783" s="25"/>
      <c r="F1783" s="25"/>
      <c r="G1783" s="25"/>
      <c r="H1783" s="25"/>
      <c r="I1783" s="25"/>
    </row>
    <row r="1784" spans="1:12" ht="18" hidden="1" customHeight="1" outlineLevel="1" collapsed="1" x14ac:dyDescent="0.2">
      <c r="A1784" s="119" t="s">
        <v>143</v>
      </c>
      <c r="B1784" s="120"/>
      <c r="C1784" s="120"/>
      <c r="D1784" s="120"/>
      <c r="E1784" s="120"/>
      <c r="F1784" s="120"/>
      <c r="G1784" s="120"/>
      <c r="H1784" s="120"/>
      <c r="I1784" s="120"/>
      <c r="J1784" s="120"/>
      <c r="K1784" s="120"/>
      <c r="L1784" s="160"/>
    </row>
    <row r="1785" spans="1:12" ht="18" hidden="1" customHeight="1" outlineLevel="2" x14ac:dyDescent="0.2">
      <c r="A1785" s="25"/>
      <c r="B1785" s="25"/>
      <c r="C1785" s="25"/>
      <c r="D1785" s="25" t="s">
        <v>352</v>
      </c>
      <c r="E1785" s="25" t="s">
        <v>165</v>
      </c>
      <c r="F1785" s="25" t="s">
        <v>2642</v>
      </c>
      <c r="G1785" s="25"/>
      <c r="H1785" s="25"/>
      <c r="I1785" s="25" t="s">
        <v>3914</v>
      </c>
    </row>
    <row r="1786" spans="1:12" ht="18" hidden="1" customHeight="1" outlineLevel="2" x14ac:dyDescent="0.2">
      <c r="A1786" s="25"/>
      <c r="B1786" s="25"/>
      <c r="C1786" s="25"/>
      <c r="D1786" s="25" t="s">
        <v>352</v>
      </c>
      <c r="E1786" s="25" t="s">
        <v>165</v>
      </c>
      <c r="F1786" s="25" t="s">
        <v>2643</v>
      </c>
      <c r="G1786" s="25"/>
      <c r="H1786" s="25"/>
      <c r="I1786" s="25" t="s">
        <v>3914</v>
      </c>
    </row>
    <row r="1787" spans="1:12" ht="18" hidden="1" customHeight="1" outlineLevel="2" x14ac:dyDescent="0.2">
      <c r="A1787" s="25"/>
      <c r="B1787" s="25"/>
      <c r="C1787" s="25"/>
      <c r="D1787" s="25" t="s">
        <v>352</v>
      </c>
      <c r="E1787" s="25" t="s">
        <v>165</v>
      </c>
      <c r="F1787" s="25" t="s">
        <v>2644</v>
      </c>
      <c r="G1787" s="25"/>
      <c r="H1787" s="25"/>
      <c r="I1787" s="25" t="s">
        <v>3914</v>
      </c>
    </row>
    <row r="1788" spans="1:12" ht="18" hidden="1" customHeight="1" outlineLevel="2" x14ac:dyDescent="0.2">
      <c r="A1788" s="25"/>
      <c r="B1788" s="25"/>
      <c r="C1788" s="25"/>
      <c r="D1788" s="25" t="s">
        <v>352</v>
      </c>
      <c r="E1788" s="25" t="s">
        <v>165</v>
      </c>
      <c r="F1788" s="25" t="s">
        <v>2645</v>
      </c>
      <c r="G1788" s="25"/>
      <c r="H1788" s="25"/>
      <c r="I1788" s="25" t="s">
        <v>3914</v>
      </c>
    </row>
    <row r="1789" spans="1:12" ht="18" hidden="1" customHeight="1" outlineLevel="2" x14ac:dyDescent="0.2">
      <c r="A1789" s="25"/>
      <c r="B1789" s="25"/>
      <c r="C1789" s="25"/>
      <c r="D1789" s="25" t="s">
        <v>352</v>
      </c>
      <c r="E1789" s="25" t="s">
        <v>165</v>
      </c>
      <c r="F1789" s="25" t="s">
        <v>2646</v>
      </c>
      <c r="G1789" s="25"/>
      <c r="H1789" s="25"/>
      <c r="I1789" s="25" t="s">
        <v>3914</v>
      </c>
    </row>
    <row r="1790" spans="1:12" ht="18" hidden="1" customHeight="1" outlineLevel="2" x14ac:dyDescent="0.2">
      <c r="A1790" s="25"/>
      <c r="B1790" s="25"/>
      <c r="C1790" s="25"/>
      <c r="D1790" s="25" t="s">
        <v>352</v>
      </c>
      <c r="E1790" s="25" t="s">
        <v>165</v>
      </c>
      <c r="F1790" s="25" t="s">
        <v>2647</v>
      </c>
      <c r="G1790" s="25"/>
      <c r="H1790" s="25"/>
      <c r="I1790" s="25" t="s">
        <v>3914</v>
      </c>
    </row>
    <row r="1791" spans="1:12" ht="18" hidden="1" customHeight="1" outlineLevel="2" x14ac:dyDescent="0.2">
      <c r="A1791" s="25"/>
      <c r="B1791" s="25"/>
      <c r="C1791" s="25"/>
      <c r="D1791" s="25" t="s">
        <v>352</v>
      </c>
      <c r="E1791" s="25" t="s">
        <v>165</v>
      </c>
      <c r="F1791" s="25" t="s">
        <v>2648</v>
      </c>
      <c r="G1791" s="25"/>
      <c r="H1791" s="25"/>
      <c r="I1791" s="25" t="s">
        <v>3914</v>
      </c>
    </row>
    <row r="1792" spans="1:12" ht="18" hidden="1" customHeight="1" outlineLevel="2" x14ac:dyDescent="0.2">
      <c r="A1792" s="25"/>
      <c r="B1792" s="25"/>
      <c r="C1792" s="25"/>
      <c r="D1792" s="25" t="s">
        <v>352</v>
      </c>
      <c r="E1792" s="25" t="s">
        <v>165</v>
      </c>
      <c r="F1792" s="25" t="s">
        <v>2649</v>
      </c>
      <c r="G1792" s="25"/>
      <c r="H1792" s="25"/>
      <c r="I1792" s="25" t="s">
        <v>3914</v>
      </c>
    </row>
    <row r="1793" spans="1:12" ht="18" hidden="1" customHeight="1" outlineLevel="2" x14ac:dyDescent="0.2">
      <c r="A1793" s="25"/>
      <c r="B1793" s="25"/>
      <c r="C1793" s="25"/>
      <c r="D1793" s="25"/>
      <c r="E1793" s="25"/>
      <c r="F1793" s="25"/>
      <c r="G1793" s="25"/>
      <c r="H1793" s="25"/>
      <c r="I1793" s="25"/>
    </row>
    <row r="1794" spans="1:12" ht="18" hidden="1" customHeight="1" outlineLevel="2" x14ac:dyDescent="0.2">
      <c r="A1794" s="25"/>
      <c r="B1794" s="25"/>
      <c r="C1794" s="25"/>
      <c r="D1794" s="25" t="s">
        <v>352</v>
      </c>
      <c r="E1794" s="25" t="s">
        <v>164</v>
      </c>
      <c r="F1794" s="25" t="s">
        <v>2642</v>
      </c>
      <c r="G1794" s="25"/>
      <c r="H1794" s="25"/>
      <c r="I1794" s="25" t="s">
        <v>3914</v>
      </c>
    </row>
    <row r="1795" spans="1:12" ht="18" hidden="1" customHeight="1" outlineLevel="2" x14ac:dyDescent="0.2">
      <c r="A1795" s="25"/>
      <c r="B1795" s="25"/>
      <c r="C1795" s="25"/>
      <c r="D1795" s="25" t="s">
        <v>352</v>
      </c>
      <c r="E1795" s="25" t="s">
        <v>164</v>
      </c>
      <c r="F1795" s="25" t="s">
        <v>2643</v>
      </c>
      <c r="G1795" s="25"/>
      <c r="H1795" s="25"/>
      <c r="I1795" s="25" t="s">
        <v>3914</v>
      </c>
    </row>
    <row r="1796" spans="1:12" ht="18" hidden="1" customHeight="1" outlineLevel="2" x14ac:dyDescent="0.2">
      <c r="A1796" s="25"/>
      <c r="B1796" s="25"/>
      <c r="C1796" s="25"/>
      <c r="D1796" s="25" t="s">
        <v>352</v>
      </c>
      <c r="E1796" s="25" t="s">
        <v>164</v>
      </c>
      <c r="F1796" s="25" t="s">
        <v>2644</v>
      </c>
      <c r="G1796" s="25"/>
      <c r="H1796" s="25"/>
      <c r="I1796" s="25" t="s">
        <v>3914</v>
      </c>
    </row>
    <row r="1797" spans="1:12" ht="18" hidden="1" customHeight="1" outlineLevel="2" x14ac:dyDescent="0.2">
      <c r="A1797" s="25"/>
      <c r="B1797" s="25"/>
      <c r="C1797" s="25"/>
      <c r="D1797" s="25" t="s">
        <v>352</v>
      </c>
      <c r="E1797" s="25" t="s">
        <v>164</v>
      </c>
      <c r="F1797" s="25" t="s">
        <v>2645</v>
      </c>
      <c r="G1797" s="25"/>
      <c r="H1797" s="25"/>
      <c r="I1797" s="25" t="s">
        <v>3914</v>
      </c>
    </row>
    <row r="1798" spans="1:12" ht="18" hidden="1" customHeight="1" outlineLevel="2" x14ac:dyDescent="0.2">
      <c r="A1798" s="25"/>
      <c r="B1798" s="25"/>
      <c r="C1798" s="25"/>
      <c r="D1798" s="25" t="s">
        <v>352</v>
      </c>
      <c r="E1798" s="25" t="s">
        <v>164</v>
      </c>
      <c r="F1798" s="25" t="s">
        <v>2646</v>
      </c>
      <c r="G1798" s="25"/>
      <c r="H1798" s="25"/>
      <c r="I1798" s="25" t="s">
        <v>3914</v>
      </c>
    </row>
    <row r="1799" spans="1:12" ht="18" hidden="1" customHeight="1" outlineLevel="2" x14ac:dyDescent="0.2">
      <c r="A1799" s="25"/>
      <c r="B1799" s="25"/>
      <c r="C1799" s="25"/>
      <c r="D1799" s="25" t="s">
        <v>352</v>
      </c>
      <c r="E1799" s="25" t="s">
        <v>164</v>
      </c>
      <c r="F1799" s="25" t="s">
        <v>2647</v>
      </c>
      <c r="G1799" s="25"/>
      <c r="H1799" s="25"/>
      <c r="I1799" s="25" t="s">
        <v>3914</v>
      </c>
    </row>
    <row r="1800" spans="1:12" ht="18" hidden="1" customHeight="1" outlineLevel="2" x14ac:dyDescent="0.2">
      <c r="A1800" s="25"/>
      <c r="B1800" s="25"/>
      <c r="C1800" s="25"/>
      <c r="D1800" s="25" t="s">
        <v>352</v>
      </c>
      <c r="E1800" s="25" t="s">
        <v>164</v>
      </c>
      <c r="F1800" s="25" t="s">
        <v>2648</v>
      </c>
      <c r="G1800" s="25"/>
      <c r="H1800" s="25"/>
      <c r="I1800" s="25" t="s">
        <v>3914</v>
      </c>
    </row>
    <row r="1801" spans="1:12" ht="18" hidden="1" customHeight="1" outlineLevel="2" x14ac:dyDescent="0.2">
      <c r="A1801" s="25"/>
      <c r="B1801" s="25"/>
      <c r="C1801" s="25"/>
      <c r="D1801" s="25" t="s">
        <v>352</v>
      </c>
      <c r="E1801" s="25" t="s">
        <v>164</v>
      </c>
      <c r="F1801" s="25" t="s">
        <v>2649</v>
      </c>
      <c r="G1801" s="25"/>
      <c r="H1801" s="25"/>
      <c r="I1801" s="25" t="s">
        <v>3914</v>
      </c>
    </row>
    <row r="1802" spans="1:12" ht="18" hidden="1" customHeight="1" outlineLevel="2" x14ac:dyDescent="0.2">
      <c r="A1802" s="25"/>
      <c r="B1802" s="25"/>
      <c r="C1802" s="25"/>
      <c r="D1802" s="25"/>
      <c r="E1802" s="25"/>
      <c r="F1802" s="25"/>
      <c r="G1802" s="25"/>
      <c r="H1802" s="25"/>
      <c r="I1802" s="25"/>
    </row>
    <row r="1803" spans="1:12" ht="18" hidden="1" customHeight="1" outlineLevel="1" collapsed="1" x14ac:dyDescent="0.2">
      <c r="A1803" s="119" t="s">
        <v>144</v>
      </c>
      <c r="B1803" s="120"/>
      <c r="C1803" s="120"/>
      <c r="D1803" s="120"/>
      <c r="E1803" s="120"/>
      <c r="F1803" s="120"/>
      <c r="G1803" s="120"/>
      <c r="H1803" s="120"/>
      <c r="I1803" s="120"/>
      <c r="J1803" s="120"/>
      <c r="K1803" s="120"/>
      <c r="L1803" s="160"/>
    </row>
    <row r="1804" spans="1:12" ht="18" hidden="1" customHeight="1" outlineLevel="2" x14ac:dyDescent="0.2">
      <c r="A1804" s="25"/>
      <c r="B1804" s="25"/>
      <c r="C1804" s="25"/>
      <c r="D1804" s="25" t="s">
        <v>352</v>
      </c>
      <c r="E1804" s="25" t="s">
        <v>166</v>
      </c>
      <c r="F1804" s="25" t="s">
        <v>2642</v>
      </c>
      <c r="G1804" s="25"/>
      <c r="H1804" s="25"/>
      <c r="I1804" s="25" t="s">
        <v>3914</v>
      </c>
    </row>
    <row r="1805" spans="1:12" ht="18" hidden="1" customHeight="1" outlineLevel="2" x14ac:dyDescent="0.2">
      <c r="A1805" s="25"/>
      <c r="B1805" s="25"/>
      <c r="C1805" s="25"/>
      <c r="D1805" s="25" t="s">
        <v>352</v>
      </c>
      <c r="E1805" s="25" t="s">
        <v>166</v>
      </c>
      <c r="F1805" s="25" t="s">
        <v>2643</v>
      </c>
      <c r="G1805" s="25"/>
      <c r="H1805" s="25"/>
      <c r="I1805" s="25" t="s">
        <v>3914</v>
      </c>
    </row>
    <row r="1806" spans="1:12" ht="18" hidden="1" customHeight="1" outlineLevel="2" x14ac:dyDescent="0.2">
      <c r="A1806" s="25"/>
      <c r="B1806" s="25"/>
      <c r="C1806" s="25"/>
      <c r="D1806" s="25" t="s">
        <v>352</v>
      </c>
      <c r="E1806" s="25" t="s">
        <v>166</v>
      </c>
      <c r="F1806" s="25" t="s">
        <v>2644</v>
      </c>
      <c r="G1806" s="25"/>
      <c r="H1806" s="25"/>
      <c r="I1806" s="25" t="s">
        <v>3914</v>
      </c>
    </row>
    <row r="1807" spans="1:12" ht="18" hidden="1" customHeight="1" outlineLevel="2" x14ac:dyDescent="0.2">
      <c r="A1807" s="25"/>
      <c r="B1807" s="25"/>
      <c r="C1807" s="25"/>
      <c r="D1807" s="25" t="s">
        <v>352</v>
      </c>
      <c r="E1807" s="25" t="s">
        <v>166</v>
      </c>
      <c r="F1807" s="25" t="s">
        <v>2645</v>
      </c>
      <c r="G1807" s="25"/>
      <c r="H1807" s="25"/>
      <c r="I1807" s="25" t="s">
        <v>3914</v>
      </c>
    </row>
    <row r="1808" spans="1:12" ht="18" hidden="1" customHeight="1" outlineLevel="2" x14ac:dyDescent="0.2">
      <c r="A1808" s="25"/>
      <c r="B1808" s="25"/>
      <c r="C1808" s="25"/>
      <c r="D1808" s="25" t="s">
        <v>352</v>
      </c>
      <c r="E1808" s="25" t="s">
        <v>166</v>
      </c>
      <c r="F1808" s="25" t="s">
        <v>2646</v>
      </c>
      <c r="G1808" s="25"/>
      <c r="H1808" s="25"/>
      <c r="I1808" s="25" t="s">
        <v>3914</v>
      </c>
    </row>
    <row r="1809" spans="1:12" ht="18" hidden="1" customHeight="1" outlineLevel="2" x14ac:dyDescent="0.2">
      <c r="A1809" s="25"/>
      <c r="B1809" s="25"/>
      <c r="C1809" s="25"/>
      <c r="D1809" s="25" t="s">
        <v>352</v>
      </c>
      <c r="E1809" s="25" t="s">
        <v>166</v>
      </c>
      <c r="F1809" s="25" t="s">
        <v>2647</v>
      </c>
      <c r="G1809" s="25"/>
      <c r="H1809" s="25"/>
      <c r="I1809" s="25" t="s">
        <v>3914</v>
      </c>
    </row>
    <row r="1810" spans="1:12" ht="18" hidden="1" customHeight="1" outlineLevel="2" x14ac:dyDescent="0.2">
      <c r="A1810" s="25"/>
      <c r="B1810" s="25"/>
      <c r="C1810" s="25"/>
      <c r="D1810" s="25" t="s">
        <v>352</v>
      </c>
      <c r="E1810" s="25" t="s">
        <v>166</v>
      </c>
      <c r="F1810" s="25" t="s">
        <v>2648</v>
      </c>
      <c r="G1810" s="25"/>
      <c r="H1810" s="25"/>
      <c r="I1810" s="25" t="s">
        <v>3914</v>
      </c>
    </row>
    <row r="1811" spans="1:12" ht="18" hidden="1" customHeight="1" outlineLevel="2" x14ac:dyDescent="0.2">
      <c r="A1811" s="25"/>
      <c r="B1811" s="25"/>
      <c r="C1811" s="25"/>
      <c r="D1811" s="25" t="s">
        <v>352</v>
      </c>
      <c r="E1811" s="25" t="s">
        <v>166</v>
      </c>
      <c r="F1811" s="25" t="s">
        <v>2649</v>
      </c>
      <c r="G1811" s="25"/>
      <c r="H1811" s="25"/>
      <c r="I1811" s="25" t="s">
        <v>3914</v>
      </c>
    </row>
    <row r="1812" spans="1:12" ht="18" hidden="1" customHeight="1" outlineLevel="2" x14ac:dyDescent="0.2">
      <c r="A1812" s="25"/>
      <c r="B1812" s="25"/>
      <c r="C1812" s="25"/>
      <c r="D1812" s="25"/>
      <c r="E1812" s="25"/>
      <c r="F1812" s="25"/>
      <c r="G1812" s="25"/>
      <c r="H1812" s="25"/>
      <c r="I1812" s="25"/>
    </row>
    <row r="1813" spans="1:12" ht="18" hidden="1" customHeight="1" outlineLevel="2" x14ac:dyDescent="0.2">
      <c r="A1813" s="25"/>
      <c r="B1813" s="25"/>
      <c r="C1813" s="25"/>
      <c r="D1813" s="25" t="s">
        <v>352</v>
      </c>
      <c r="E1813" s="25" t="s">
        <v>163</v>
      </c>
      <c r="F1813" s="25" t="s">
        <v>2642</v>
      </c>
      <c r="G1813" s="25"/>
      <c r="H1813" s="25"/>
      <c r="I1813" s="25" t="s">
        <v>3914</v>
      </c>
    </row>
    <row r="1814" spans="1:12" ht="18" hidden="1" customHeight="1" outlineLevel="2" x14ac:dyDescent="0.2">
      <c r="A1814" s="25"/>
      <c r="B1814" s="25"/>
      <c r="C1814" s="25"/>
      <c r="D1814" s="25" t="s">
        <v>352</v>
      </c>
      <c r="E1814" s="25" t="s">
        <v>163</v>
      </c>
      <c r="F1814" s="25" t="s">
        <v>2643</v>
      </c>
      <c r="G1814" s="25"/>
      <c r="H1814" s="25"/>
      <c r="I1814" s="25" t="s">
        <v>3914</v>
      </c>
    </row>
    <row r="1815" spans="1:12" ht="18" hidden="1" customHeight="1" outlineLevel="2" x14ac:dyDescent="0.2">
      <c r="A1815" s="25"/>
      <c r="B1815" s="25"/>
      <c r="C1815" s="25"/>
      <c r="D1815" s="25" t="s">
        <v>352</v>
      </c>
      <c r="E1815" s="25" t="s">
        <v>163</v>
      </c>
      <c r="F1815" s="25" t="s">
        <v>2644</v>
      </c>
      <c r="G1815" s="25"/>
      <c r="H1815" s="25"/>
      <c r="I1815" s="25" t="s">
        <v>3914</v>
      </c>
    </row>
    <row r="1816" spans="1:12" ht="18" hidden="1" customHeight="1" outlineLevel="2" x14ac:dyDescent="0.2">
      <c r="A1816" s="25"/>
      <c r="B1816" s="25"/>
      <c r="C1816" s="25"/>
      <c r="D1816" s="25" t="s">
        <v>352</v>
      </c>
      <c r="E1816" s="25" t="s">
        <v>163</v>
      </c>
      <c r="F1816" s="25" t="s">
        <v>2645</v>
      </c>
      <c r="G1816" s="25"/>
      <c r="H1816" s="25"/>
      <c r="I1816" s="25" t="s">
        <v>3914</v>
      </c>
    </row>
    <row r="1817" spans="1:12" ht="18" hidden="1" customHeight="1" outlineLevel="2" x14ac:dyDescent="0.2">
      <c r="A1817" s="25"/>
      <c r="B1817" s="25"/>
      <c r="C1817" s="25"/>
      <c r="D1817" s="25" t="s">
        <v>352</v>
      </c>
      <c r="E1817" s="25" t="s">
        <v>163</v>
      </c>
      <c r="F1817" s="25" t="s">
        <v>2646</v>
      </c>
      <c r="G1817" s="25"/>
      <c r="H1817" s="25"/>
      <c r="I1817" s="25" t="s">
        <v>3914</v>
      </c>
    </row>
    <row r="1818" spans="1:12" ht="18" hidden="1" customHeight="1" outlineLevel="2" x14ac:dyDescent="0.2">
      <c r="A1818" s="25"/>
      <c r="B1818" s="25"/>
      <c r="C1818" s="25"/>
      <c r="D1818" s="25" t="s">
        <v>352</v>
      </c>
      <c r="E1818" s="25" t="s">
        <v>163</v>
      </c>
      <c r="F1818" s="25" t="s">
        <v>2647</v>
      </c>
      <c r="G1818" s="25"/>
      <c r="H1818" s="25"/>
      <c r="I1818" s="25" t="s">
        <v>3914</v>
      </c>
    </row>
    <row r="1819" spans="1:12" ht="18" hidden="1" customHeight="1" outlineLevel="2" x14ac:dyDescent="0.2">
      <c r="A1819" s="25"/>
      <c r="B1819" s="25"/>
      <c r="C1819" s="25"/>
      <c r="D1819" s="25" t="s">
        <v>352</v>
      </c>
      <c r="E1819" s="25" t="s">
        <v>163</v>
      </c>
      <c r="F1819" s="25" t="s">
        <v>2648</v>
      </c>
      <c r="G1819" s="25"/>
      <c r="H1819" s="25"/>
      <c r="I1819" s="25" t="s">
        <v>3914</v>
      </c>
    </row>
    <row r="1820" spans="1:12" ht="18" hidden="1" customHeight="1" outlineLevel="2" x14ac:dyDescent="0.2">
      <c r="A1820" s="25"/>
      <c r="B1820" s="25"/>
      <c r="C1820" s="25"/>
      <c r="D1820" s="25" t="s">
        <v>352</v>
      </c>
      <c r="E1820" s="25" t="s">
        <v>163</v>
      </c>
      <c r="F1820" s="25" t="s">
        <v>2649</v>
      </c>
      <c r="G1820" s="25"/>
      <c r="H1820" s="25"/>
      <c r="I1820" s="25" t="s">
        <v>3914</v>
      </c>
    </row>
    <row r="1821" spans="1:12" ht="18" hidden="1" customHeight="1" outlineLevel="2" x14ac:dyDescent="0.2">
      <c r="A1821" s="25"/>
      <c r="B1821" s="25"/>
      <c r="C1821" s="25"/>
      <c r="D1821" s="25"/>
      <c r="E1821" s="25"/>
      <c r="F1821" s="25"/>
      <c r="G1821" s="25"/>
      <c r="H1821" s="25"/>
      <c r="I1821" s="25"/>
    </row>
    <row r="1822" spans="1:12" ht="18" hidden="1" customHeight="1" outlineLevel="1" collapsed="1" x14ac:dyDescent="0.2">
      <c r="A1822" s="119" t="s">
        <v>167</v>
      </c>
      <c r="B1822" s="120"/>
      <c r="C1822" s="120"/>
      <c r="D1822" s="120"/>
      <c r="E1822" s="120"/>
      <c r="F1822" s="120"/>
      <c r="G1822" s="120"/>
      <c r="H1822" s="120"/>
      <c r="I1822" s="120"/>
      <c r="J1822" s="120"/>
      <c r="K1822" s="120"/>
      <c r="L1822" s="160"/>
    </row>
    <row r="1823" spans="1:12" ht="18" hidden="1" customHeight="1" outlineLevel="2" x14ac:dyDescent="0.2">
      <c r="A1823" s="25"/>
      <c r="B1823" s="25"/>
      <c r="C1823" s="25"/>
      <c r="D1823" s="25" t="s">
        <v>352</v>
      </c>
      <c r="E1823" s="25" t="s">
        <v>2721</v>
      </c>
      <c r="F1823" s="25" t="s">
        <v>2642</v>
      </c>
      <c r="G1823" s="25"/>
      <c r="H1823" s="25"/>
      <c r="I1823" s="25" t="s">
        <v>3914</v>
      </c>
    </row>
    <row r="1824" spans="1:12" ht="18" hidden="1" customHeight="1" outlineLevel="2" x14ac:dyDescent="0.2">
      <c r="A1824" s="25"/>
      <c r="B1824" s="25"/>
      <c r="C1824" s="25"/>
      <c r="D1824" s="25" t="s">
        <v>352</v>
      </c>
      <c r="E1824" s="25" t="s">
        <v>2721</v>
      </c>
      <c r="F1824" s="25" t="s">
        <v>2643</v>
      </c>
      <c r="G1824" s="25"/>
      <c r="H1824" s="25"/>
      <c r="I1824" s="25" t="s">
        <v>3914</v>
      </c>
    </row>
    <row r="1825" spans="1:12" ht="18" hidden="1" customHeight="1" outlineLevel="2" x14ac:dyDescent="0.2">
      <c r="A1825" s="25"/>
      <c r="B1825" s="25"/>
      <c r="C1825" s="25"/>
      <c r="D1825" s="25" t="s">
        <v>352</v>
      </c>
      <c r="E1825" s="25" t="s">
        <v>2721</v>
      </c>
      <c r="F1825" s="25" t="s">
        <v>2644</v>
      </c>
      <c r="G1825" s="25"/>
      <c r="H1825" s="25"/>
      <c r="I1825" s="25" t="s">
        <v>3914</v>
      </c>
    </row>
    <row r="1826" spans="1:12" ht="18" hidden="1" customHeight="1" outlineLevel="2" x14ac:dyDescent="0.2">
      <c r="A1826" s="25"/>
      <c r="B1826" s="25"/>
      <c r="C1826" s="25"/>
      <c r="D1826" s="25" t="s">
        <v>352</v>
      </c>
      <c r="E1826" s="25" t="s">
        <v>2721</v>
      </c>
      <c r="F1826" s="25" t="s">
        <v>2645</v>
      </c>
      <c r="G1826" s="25"/>
      <c r="H1826" s="25"/>
      <c r="I1826" s="25" t="s">
        <v>3914</v>
      </c>
    </row>
    <row r="1827" spans="1:12" ht="18" hidden="1" customHeight="1" outlineLevel="2" x14ac:dyDescent="0.2">
      <c r="A1827" s="25"/>
      <c r="B1827" s="25"/>
      <c r="C1827" s="25"/>
      <c r="D1827" s="25" t="s">
        <v>352</v>
      </c>
      <c r="E1827" s="25" t="s">
        <v>2721</v>
      </c>
      <c r="F1827" s="25" t="s">
        <v>2646</v>
      </c>
      <c r="G1827" s="25"/>
      <c r="H1827" s="25"/>
      <c r="I1827" s="25" t="s">
        <v>3914</v>
      </c>
    </row>
    <row r="1828" spans="1:12" ht="18" hidden="1" customHeight="1" outlineLevel="2" x14ac:dyDescent="0.2">
      <c r="A1828" s="25"/>
      <c r="B1828" s="25"/>
      <c r="C1828" s="25"/>
      <c r="D1828" s="25" t="s">
        <v>352</v>
      </c>
      <c r="E1828" s="25" t="s">
        <v>2721</v>
      </c>
      <c r="F1828" s="25" t="s">
        <v>2647</v>
      </c>
      <c r="G1828" s="25"/>
      <c r="H1828" s="25"/>
      <c r="I1828" s="25" t="s">
        <v>3914</v>
      </c>
    </row>
    <row r="1829" spans="1:12" ht="18" hidden="1" customHeight="1" outlineLevel="2" x14ac:dyDescent="0.2">
      <c r="A1829" s="25"/>
      <c r="B1829" s="25"/>
      <c r="C1829" s="25"/>
      <c r="D1829" s="25" t="s">
        <v>352</v>
      </c>
      <c r="E1829" s="25" t="s">
        <v>2721</v>
      </c>
      <c r="F1829" s="25" t="s">
        <v>2648</v>
      </c>
      <c r="G1829" s="25"/>
      <c r="H1829" s="25"/>
      <c r="I1829" s="25" t="s">
        <v>3914</v>
      </c>
    </row>
    <row r="1830" spans="1:12" ht="18" hidden="1" customHeight="1" outlineLevel="2" x14ac:dyDescent="0.2">
      <c r="A1830" s="25"/>
      <c r="B1830" s="25"/>
      <c r="C1830" s="25"/>
      <c r="D1830" s="25" t="s">
        <v>352</v>
      </c>
      <c r="E1830" s="25" t="s">
        <v>2721</v>
      </c>
      <c r="F1830" s="25" t="s">
        <v>2649</v>
      </c>
      <c r="G1830" s="25"/>
      <c r="H1830" s="25"/>
      <c r="I1830" s="25" t="s">
        <v>3914</v>
      </c>
    </row>
    <row r="1831" spans="1:12" ht="18" hidden="1" customHeight="1" outlineLevel="2" x14ac:dyDescent="0.2">
      <c r="A1831" s="25"/>
      <c r="B1831" s="25"/>
      <c r="C1831" s="25"/>
      <c r="D1831" s="25"/>
      <c r="E1831" s="25"/>
      <c r="F1831" s="25"/>
      <c r="G1831" s="25"/>
      <c r="H1831" s="25"/>
      <c r="I1831" s="25"/>
    </row>
    <row r="1832" spans="1:12" ht="18" hidden="1" customHeight="1" outlineLevel="1" collapsed="1" x14ac:dyDescent="0.2">
      <c r="A1832" s="119" t="s">
        <v>168</v>
      </c>
      <c r="B1832" s="120"/>
      <c r="C1832" s="120"/>
      <c r="D1832" s="120"/>
      <c r="E1832" s="120"/>
      <c r="F1832" s="120"/>
      <c r="G1832" s="120"/>
      <c r="H1832" s="120"/>
      <c r="I1832" s="120"/>
      <c r="J1832" s="120"/>
      <c r="K1832" s="120"/>
      <c r="L1832" s="160"/>
    </row>
    <row r="1833" spans="1:12" ht="18" hidden="1" customHeight="1" outlineLevel="2" x14ac:dyDescent="0.2">
      <c r="A1833" s="25"/>
      <c r="B1833" s="25"/>
      <c r="C1833" s="25"/>
      <c r="D1833" s="25" t="s">
        <v>352</v>
      </c>
      <c r="E1833" s="25" t="s">
        <v>2641</v>
      </c>
      <c r="F1833" s="25" t="s">
        <v>2642</v>
      </c>
      <c r="G1833" s="25"/>
      <c r="H1833" s="25"/>
      <c r="I1833" s="25" t="s">
        <v>3914</v>
      </c>
    </row>
    <row r="1834" spans="1:12" ht="18" hidden="1" customHeight="1" outlineLevel="2" x14ac:dyDescent="0.2">
      <c r="A1834" s="25"/>
      <c r="B1834" s="25"/>
      <c r="C1834" s="25"/>
      <c r="D1834" s="25" t="s">
        <v>352</v>
      </c>
      <c r="E1834" s="25" t="s">
        <v>2641</v>
      </c>
      <c r="F1834" s="25" t="s">
        <v>2643</v>
      </c>
      <c r="G1834" s="25"/>
      <c r="H1834" s="25"/>
      <c r="I1834" s="25" t="s">
        <v>3914</v>
      </c>
    </row>
    <row r="1835" spans="1:12" ht="18" hidden="1" customHeight="1" outlineLevel="2" x14ac:dyDescent="0.2">
      <c r="A1835" s="25"/>
      <c r="B1835" s="25"/>
      <c r="C1835" s="25"/>
      <c r="D1835" s="25" t="s">
        <v>352</v>
      </c>
      <c r="E1835" s="25" t="s">
        <v>2641</v>
      </c>
      <c r="F1835" s="25" t="s">
        <v>2644</v>
      </c>
      <c r="G1835" s="25"/>
      <c r="H1835" s="25"/>
      <c r="I1835" s="25" t="s">
        <v>3914</v>
      </c>
    </row>
    <row r="1836" spans="1:12" ht="18" hidden="1" customHeight="1" outlineLevel="2" x14ac:dyDescent="0.2">
      <c r="A1836" s="25"/>
      <c r="B1836" s="25"/>
      <c r="C1836" s="25"/>
      <c r="D1836" s="25" t="s">
        <v>352</v>
      </c>
      <c r="E1836" s="25" t="s">
        <v>2641</v>
      </c>
      <c r="F1836" s="25" t="s">
        <v>2645</v>
      </c>
      <c r="G1836" s="25"/>
      <c r="H1836" s="25"/>
      <c r="I1836" s="25" t="s">
        <v>3914</v>
      </c>
    </row>
    <row r="1837" spans="1:12" ht="18" hidden="1" customHeight="1" outlineLevel="2" x14ac:dyDescent="0.2">
      <c r="A1837" s="25"/>
      <c r="B1837" s="25"/>
      <c r="C1837" s="25"/>
      <c r="D1837" s="25" t="s">
        <v>352</v>
      </c>
      <c r="E1837" s="25" t="s">
        <v>2641</v>
      </c>
      <c r="F1837" s="25" t="s">
        <v>2646</v>
      </c>
      <c r="G1837" s="25"/>
      <c r="H1837" s="25"/>
      <c r="I1837" s="25" t="s">
        <v>3914</v>
      </c>
    </row>
    <row r="1838" spans="1:12" ht="18" hidden="1" customHeight="1" outlineLevel="2" x14ac:dyDescent="0.2">
      <c r="A1838" s="25"/>
      <c r="B1838" s="25"/>
      <c r="C1838" s="25"/>
      <c r="D1838" s="25" t="s">
        <v>352</v>
      </c>
      <c r="E1838" s="25" t="s">
        <v>2641</v>
      </c>
      <c r="F1838" s="25" t="s">
        <v>2647</v>
      </c>
      <c r="G1838" s="25"/>
      <c r="H1838" s="25"/>
      <c r="I1838" s="25" t="s">
        <v>3914</v>
      </c>
    </row>
    <row r="1839" spans="1:12" ht="18" hidden="1" customHeight="1" outlineLevel="2" x14ac:dyDescent="0.2">
      <c r="A1839" s="25"/>
      <c r="B1839" s="25"/>
      <c r="C1839" s="25"/>
      <c r="D1839" s="25" t="s">
        <v>352</v>
      </c>
      <c r="E1839" s="25" t="s">
        <v>2641</v>
      </c>
      <c r="F1839" s="25" t="s">
        <v>2648</v>
      </c>
      <c r="G1839" s="25"/>
      <c r="H1839" s="25"/>
      <c r="I1839" s="25" t="s">
        <v>3914</v>
      </c>
    </row>
    <row r="1840" spans="1:12" ht="18" hidden="1" customHeight="1" outlineLevel="2" x14ac:dyDescent="0.2">
      <c r="A1840" s="25"/>
      <c r="B1840" s="25"/>
      <c r="C1840" s="25"/>
      <c r="D1840" s="25" t="s">
        <v>352</v>
      </c>
      <c r="E1840" s="25" t="s">
        <v>2641</v>
      </c>
      <c r="F1840" s="25" t="s">
        <v>2649</v>
      </c>
      <c r="G1840" s="25"/>
      <c r="H1840" s="25"/>
      <c r="I1840" s="25" t="s">
        <v>3914</v>
      </c>
    </row>
    <row r="1841" spans="1:12" ht="18" hidden="1" customHeight="1" outlineLevel="2" x14ac:dyDescent="0.2">
      <c r="A1841" s="25"/>
      <c r="B1841" s="25"/>
      <c r="C1841" s="25"/>
      <c r="D1841" s="25"/>
      <c r="E1841" s="25"/>
      <c r="F1841" s="25"/>
      <c r="G1841" s="25"/>
      <c r="H1841" s="25"/>
      <c r="I1841" s="25" t="s">
        <v>3914</v>
      </c>
    </row>
    <row r="1842" spans="1:12" ht="18" hidden="1" customHeight="1" outlineLevel="2" x14ac:dyDescent="0.2">
      <c r="A1842" s="25"/>
      <c r="B1842" s="25"/>
      <c r="C1842" s="25"/>
      <c r="D1842" s="25" t="s">
        <v>352</v>
      </c>
      <c r="E1842" s="65" t="s">
        <v>2650</v>
      </c>
      <c r="F1842" s="25" t="s">
        <v>2642</v>
      </c>
      <c r="G1842" s="25"/>
      <c r="H1842" s="25"/>
      <c r="I1842" s="25" t="s">
        <v>3914</v>
      </c>
    </row>
    <row r="1843" spans="1:12" ht="18" hidden="1" customHeight="1" outlineLevel="2" x14ac:dyDescent="0.2">
      <c r="A1843" s="25"/>
      <c r="B1843" s="25"/>
      <c r="C1843" s="25"/>
      <c r="D1843" s="25" t="s">
        <v>352</v>
      </c>
      <c r="E1843" s="65" t="s">
        <v>2650</v>
      </c>
      <c r="F1843" s="25" t="s">
        <v>2643</v>
      </c>
      <c r="G1843" s="25"/>
      <c r="H1843" s="25"/>
      <c r="I1843" s="25" t="s">
        <v>3914</v>
      </c>
    </row>
    <row r="1844" spans="1:12" ht="18" hidden="1" customHeight="1" outlineLevel="2" x14ac:dyDescent="0.2">
      <c r="A1844" s="25"/>
      <c r="B1844" s="25"/>
      <c r="C1844" s="25"/>
      <c r="D1844" s="25" t="s">
        <v>352</v>
      </c>
      <c r="E1844" s="65" t="s">
        <v>2650</v>
      </c>
      <c r="F1844" s="25" t="s">
        <v>2644</v>
      </c>
      <c r="G1844" s="25"/>
      <c r="H1844" s="25"/>
      <c r="I1844" s="25" t="s">
        <v>3914</v>
      </c>
    </row>
    <row r="1845" spans="1:12" ht="18" hidden="1" customHeight="1" outlineLevel="2" x14ac:dyDescent="0.2">
      <c r="A1845" s="25"/>
      <c r="B1845" s="25"/>
      <c r="C1845" s="25"/>
      <c r="D1845" s="25" t="s">
        <v>352</v>
      </c>
      <c r="E1845" s="65" t="s">
        <v>2650</v>
      </c>
      <c r="F1845" s="25" t="s">
        <v>2645</v>
      </c>
      <c r="G1845" s="25"/>
      <c r="H1845" s="25"/>
      <c r="I1845" s="25" t="s">
        <v>3914</v>
      </c>
    </row>
    <row r="1846" spans="1:12" ht="18" hidden="1" customHeight="1" outlineLevel="2" x14ac:dyDescent="0.2">
      <c r="A1846" s="25"/>
      <c r="B1846" s="25"/>
      <c r="C1846" s="25"/>
      <c r="D1846" s="25" t="s">
        <v>352</v>
      </c>
      <c r="E1846" s="65" t="s">
        <v>2650</v>
      </c>
      <c r="F1846" s="25" t="s">
        <v>2646</v>
      </c>
      <c r="G1846" s="25"/>
      <c r="H1846" s="25"/>
      <c r="I1846" s="25" t="s">
        <v>3914</v>
      </c>
    </row>
    <row r="1847" spans="1:12" ht="18" hidden="1" customHeight="1" outlineLevel="2" x14ac:dyDescent="0.2">
      <c r="A1847" s="25"/>
      <c r="B1847" s="25"/>
      <c r="C1847" s="25"/>
      <c r="D1847" s="25" t="s">
        <v>352</v>
      </c>
      <c r="E1847" s="65" t="s">
        <v>2650</v>
      </c>
      <c r="F1847" s="25" t="s">
        <v>2647</v>
      </c>
      <c r="G1847" s="25"/>
      <c r="H1847" s="25"/>
      <c r="I1847" s="25" t="s">
        <v>3914</v>
      </c>
    </row>
    <row r="1848" spans="1:12" ht="18" hidden="1" customHeight="1" outlineLevel="2" x14ac:dyDescent="0.2">
      <c r="A1848" s="25"/>
      <c r="B1848" s="25"/>
      <c r="C1848" s="25"/>
      <c r="D1848" s="25" t="s">
        <v>352</v>
      </c>
      <c r="E1848" s="65" t="s">
        <v>2650</v>
      </c>
      <c r="F1848" s="25" t="s">
        <v>2648</v>
      </c>
      <c r="G1848" s="25"/>
      <c r="H1848" s="25"/>
      <c r="I1848" s="25" t="s">
        <v>3914</v>
      </c>
    </row>
    <row r="1849" spans="1:12" ht="18" hidden="1" customHeight="1" outlineLevel="2" x14ac:dyDescent="0.2">
      <c r="A1849" s="25"/>
      <c r="B1849" s="25"/>
      <c r="C1849" s="25"/>
      <c r="D1849" s="25" t="s">
        <v>352</v>
      </c>
      <c r="E1849" s="65" t="s">
        <v>2650</v>
      </c>
      <c r="F1849" s="25" t="s">
        <v>2649</v>
      </c>
      <c r="G1849" s="25"/>
      <c r="H1849" s="25"/>
      <c r="I1849" s="25" t="s">
        <v>3914</v>
      </c>
    </row>
    <row r="1850" spans="1:12" ht="18" hidden="1" customHeight="1" outlineLevel="2" x14ac:dyDescent="0.2">
      <c r="A1850" s="25"/>
      <c r="B1850" s="25"/>
      <c r="C1850" s="25"/>
      <c r="D1850" s="25"/>
      <c r="E1850" s="25"/>
      <c r="F1850" s="25"/>
      <c r="G1850" s="25"/>
      <c r="H1850" s="25"/>
      <c r="I1850" s="25"/>
    </row>
    <row r="1851" spans="1:12" ht="18" hidden="1" customHeight="1" outlineLevel="1" collapsed="1" x14ac:dyDescent="0.2">
      <c r="A1851" s="119" t="s">
        <v>3925</v>
      </c>
      <c r="B1851" s="120"/>
      <c r="C1851" s="120"/>
      <c r="D1851" s="120"/>
      <c r="E1851" s="120"/>
      <c r="F1851" s="120"/>
      <c r="G1851" s="120"/>
      <c r="H1851" s="120"/>
      <c r="I1851" s="120"/>
      <c r="J1851" s="120"/>
      <c r="K1851" s="120"/>
      <c r="L1851" s="160"/>
    </row>
    <row r="1852" spans="1:12" ht="18" hidden="1" customHeight="1" outlineLevel="2" x14ac:dyDescent="0.2">
      <c r="A1852" s="25"/>
      <c r="B1852" s="25"/>
      <c r="C1852" s="25"/>
      <c r="D1852" s="25" t="s">
        <v>352</v>
      </c>
      <c r="E1852" s="25" t="s">
        <v>2651</v>
      </c>
      <c r="F1852" s="25" t="s">
        <v>2642</v>
      </c>
      <c r="G1852" s="25"/>
      <c r="H1852" s="25"/>
      <c r="I1852" s="25" t="s">
        <v>3914</v>
      </c>
    </row>
    <row r="1853" spans="1:12" ht="18" hidden="1" customHeight="1" outlineLevel="2" x14ac:dyDescent="0.2">
      <c r="A1853" s="25"/>
      <c r="B1853" s="25"/>
      <c r="C1853" s="25"/>
      <c r="D1853" s="25" t="s">
        <v>352</v>
      </c>
      <c r="E1853" s="25" t="s">
        <v>2651</v>
      </c>
      <c r="F1853" s="25" t="s">
        <v>2643</v>
      </c>
      <c r="G1853" s="25"/>
      <c r="H1853" s="25"/>
      <c r="I1853" s="25" t="s">
        <v>3914</v>
      </c>
    </row>
    <row r="1854" spans="1:12" ht="18" hidden="1" customHeight="1" outlineLevel="2" x14ac:dyDescent="0.2">
      <c r="A1854" s="25"/>
      <c r="B1854" s="25"/>
      <c r="C1854" s="25"/>
      <c r="D1854" s="25" t="s">
        <v>352</v>
      </c>
      <c r="E1854" s="25" t="s">
        <v>2651</v>
      </c>
      <c r="F1854" s="25" t="s">
        <v>2644</v>
      </c>
      <c r="G1854" s="25"/>
      <c r="H1854" s="25"/>
      <c r="I1854" s="25" t="s">
        <v>3914</v>
      </c>
    </row>
    <row r="1855" spans="1:12" ht="18" hidden="1" customHeight="1" outlineLevel="2" x14ac:dyDescent="0.2">
      <c r="A1855" s="25"/>
      <c r="B1855" s="25"/>
      <c r="C1855" s="25"/>
      <c r="D1855" s="25" t="s">
        <v>352</v>
      </c>
      <c r="E1855" s="25" t="s">
        <v>2651</v>
      </c>
      <c r="F1855" s="25" t="s">
        <v>2645</v>
      </c>
      <c r="G1855" s="25"/>
      <c r="H1855" s="25"/>
      <c r="I1855" s="25" t="s">
        <v>3914</v>
      </c>
    </row>
    <row r="1856" spans="1:12" ht="18" hidden="1" customHeight="1" outlineLevel="2" x14ac:dyDescent="0.2">
      <c r="A1856" s="25"/>
      <c r="B1856" s="25"/>
      <c r="C1856" s="25"/>
      <c r="D1856" s="25" t="s">
        <v>352</v>
      </c>
      <c r="E1856" s="25" t="s">
        <v>2651</v>
      </c>
      <c r="F1856" s="25" t="s">
        <v>2646</v>
      </c>
      <c r="G1856" s="25"/>
      <c r="H1856" s="25"/>
      <c r="I1856" s="25" t="s">
        <v>3914</v>
      </c>
    </row>
    <row r="1857" spans="1:9" ht="18" hidden="1" customHeight="1" outlineLevel="2" x14ac:dyDescent="0.2">
      <c r="A1857" s="25"/>
      <c r="B1857" s="25"/>
      <c r="C1857" s="25"/>
      <c r="D1857" s="25" t="s">
        <v>352</v>
      </c>
      <c r="E1857" s="25" t="s">
        <v>2651</v>
      </c>
      <c r="F1857" s="25" t="s">
        <v>2647</v>
      </c>
      <c r="G1857" s="25"/>
      <c r="H1857" s="25"/>
      <c r="I1857" s="25" t="s">
        <v>3914</v>
      </c>
    </row>
    <row r="1858" spans="1:9" ht="18" hidden="1" customHeight="1" outlineLevel="2" x14ac:dyDescent="0.2">
      <c r="A1858" s="25"/>
      <c r="B1858" s="25"/>
      <c r="C1858" s="25"/>
      <c r="D1858" s="25" t="s">
        <v>352</v>
      </c>
      <c r="E1858" s="25" t="s">
        <v>2651</v>
      </c>
      <c r="F1858" s="25" t="s">
        <v>2648</v>
      </c>
      <c r="G1858" s="25"/>
      <c r="H1858" s="25"/>
      <c r="I1858" s="25" t="s">
        <v>3914</v>
      </c>
    </row>
    <row r="1859" spans="1:9" ht="18" hidden="1" customHeight="1" outlineLevel="2" x14ac:dyDescent="0.2">
      <c r="A1859" s="25"/>
      <c r="B1859" s="25"/>
      <c r="C1859" s="25"/>
      <c r="D1859" s="25" t="s">
        <v>352</v>
      </c>
      <c r="E1859" s="25" t="s">
        <v>2651</v>
      </c>
      <c r="F1859" s="25" t="s">
        <v>2649</v>
      </c>
      <c r="G1859" s="25"/>
      <c r="H1859" s="25"/>
      <c r="I1859" s="25" t="s">
        <v>3914</v>
      </c>
    </row>
    <row r="1860" spans="1:9" ht="18" hidden="1" customHeight="1" outlineLevel="2" x14ac:dyDescent="0.2">
      <c r="A1860" s="25"/>
      <c r="B1860" s="25"/>
      <c r="C1860" s="25"/>
      <c r="D1860" s="25"/>
      <c r="E1860" s="25"/>
      <c r="F1860" s="25"/>
      <c r="G1860" s="25"/>
      <c r="H1860" s="25"/>
      <c r="I1860" s="25"/>
    </row>
    <row r="1861" spans="1:9" ht="18" hidden="1" customHeight="1" outlineLevel="2" x14ac:dyDescent="0.2">
      <c r="A1861" s="25"/>
      <c r="B1861" s="25"/>
      <c r="C1861" s="25"/>
      <c r="D1861" s="25" t="s">
        <v>352</v>
      </c>
      <c r="E1861" s="25" t="s">
        <v>2652</v>
      </c>
      <c r="F1861" s="25" t="s">
        <v>2653</v>
      </c>
      <c r="G1861" s="25"/>
      <c r="H1861" s="25"/>
      <c r="I1861" s="25" t="s">
        <v>3914</v>
      </c>
    </row>
    <row r="1862" spans="1:9" ht="18" hidden="1" customHeight="1" outlineLevel="2" x14ac:dyDescent="0.2">
      <c r="A1862" s="25"/>
      <c r="B1862" s="25"/>
      <c r="C1862" s="25"/>
      <c r="D1862" s="25" t="s">
        <v>352</v>
      </c>
      <c r="E1862" s="25" t="s">
        <v>2652</v>
      </c>
      <c r="F1862" s="25" t="s">
        <v>2654</v>
      </c>
      <c r="G1862" s="25"/>
      <c r="H1862" s="25"/>
      <c r="I1862" s="25" t="s">
        <v>3914</v>
      </c>
    </row>
    <row r="1863" spans="1:9" ht="18" hidden="1" customHeight="1" outlineLevel="2" x14ac:dyDescent="0.2">
      <c r="A1863" s="25"/>
      <c r="B1863" s="25"/>
      <c r="C1863" s="25"/>
      <c r="D1863" s="25" t="s">
        <v>352</v>
      </c>
      <c r="E1863" s="25" t="s">
        <v>2652</v>
      </c>
      <c r="F1863" s="25" t="s">
        <v>2655</v>
      </c>
      <c r="G1863" s="25"/>
      <c r="H1863" s="25"/>
      <c r="I1863" s="25" t="s">
        <v>3914</v>
      </c>
    </row>
    <row r="1864" spans="1:9" ht="18" hidden="1" customHeight="1" outlineLevel="2" x14ac:dyDescent="0.2">
      <c r="A1864" s="25"/>
      <c r="B1864" s="25"/>
      <c r="C1864" s="25"/>
      <c r="D1864" s="25" t="s">
        <v>352</v>
      </c>
      <c r="E1864" s="25" t="s">
        <v>2652</v>
      </c>
      <c r="F1864" s="25" t="s">
        <v>2656</v>
      </c>
      <c r="G1864" s="25"/>
      <c r="H1864" s="25"/>
      <c r="I1864" s="25" t="s">
        <v>3914</v>
      </c>
    </row>
    <row r="1865" spans="1:9" ht="18" hidden="1" customHeight="1" outlineLevel="2" x14ac:dyDescent="0.2">
      <c r="A1865" s="25"/>
      <c r="B1865" s="25"/>
      <c r="C1865" s="25"/>
      <c r="D1865" s="25" t="s">
        <v>352</v>
      </c>
      <c r="E1865" s="25" t="s">
        <v>2652</v>
      </c>
      <c r="F1865" s="25" t="s">
        <v>2657</v>
      </c>
      <c r="G1865" s="25"/>
      <c r="H1865" s="25"/>
      <c r="I1865" s="25" t="s">
        <v>3914</v>
      </c>
    </row>
    <row r="1866" spans="1:9" ht="18" hidden="1" customHeight="1" outlineLevel="2" x14ac:dyDescent="0.2">
      <c r="A1866" s="25"/>
      <c r="B1866" s="25"/>
      <c r="C1866" s="25"/>
      <c r="D1866" s="25" t="s">
        <v>352</v>
      </c>
      <c r="E1866" s="25" t="s">
        <v>2652</v>
      </c>
      <c r="F1866" s="25" t="s">
        <v>2658</v>
      </c>
      <c r="G1866" s="25"/>
      <c r="H1866" s="25"/>
      <c r="I1866" s="25" t="s">
        <v>3914</v>
      </c>
    </row>
    <row r="1867" spans="1:9" ht="18" hidden="1" customHeight="1" outlineLevel="2" x14ac:dyDescent="0.2">
      <c r="A1867" s="25"/>
      <c r="B1867" s="25"/>
      <c r="C1867" s="25"/>
      <c r="D1867" s="25" t="s">
        <v>352</v>
      </c>
      <c r="E1867" s="25" t="s">
        <v>2652</v>
      </c>
      <c r="F1867" s="25" t="s">
        <v>2659</v>
      </c>
      <c r="G1867" s="25"/>
      <c r="H1867" s="25"/>
      <c r="I1867" s="25" t="s">
        <v>3914</v>
      </c>
    </row>
    <row r="1868" spans="1:9" ht="18" hidden="1" customHeight="1" outlineLevel="2" x14ac:dyDescent="0.2">
      <c r="A1868" s="25"/>
      <c r="B1868" s="25"/>
      <c r="C1868" s="25"/>
      <c r="D1868" s="25" t="s">
        <v>352</v>
      </c>
      <c r="E1868" s="25" t="s">
        <v>2652</v>
      </c>
      <c r="F1868" s="25" t="s">
        <v>2660</v>
      </c>
      <c r="G1868" s="25"/>
      <c r="H1868" s="25"/>
      <c r="I1868" s="25" t="s">
        <v>3914</v>
      </c>
    </row>
    <row r="1869" spans="1:9" ht="18" hidden="1" customHeight="1" outlineLevel="2" x14ac:dyDescent="0.2">
      <c r="A1869" s="25"/>
      <c r="B1869" s="25"/>
      <c r="C1869" s="25"/>
      <c r="D1869" s="25" t="s">
        <v>352</v>
      </c>
      <c r="E1869" s="25" t="s">
        <v>2652</v>
      </c>
      <c r="F1869" s="25" t="s">
        <v>2661</v>
      </c>
      <c r="G1869" s="25"/>
      <c r="H1869" s="25"/>
      <c r="I1869" s="25" t="s">
        <v>3914</v>
      </c>
    </row>
    <row r="1870" spans="1:9" ht="18" hidden="1" customHeight="1" outlineLevel="2" x14ac:dyDescent="0.2">
      <c r="A1870" s="25"/>
      <c r="B1870" s="25"/>
      <c r="C1870" s="25"/>
      <c r="D1870" s="25" t="s">
        <v>352</v>
      </c>
      <c r="E1870" s="25" t="s">
        <v>2652</v>
      </c>
      <c r="F1870" s="25" t="s">
        <v>2662</v>
      </c>
      <c r="G1870" s="25"/>
      <c r="H1870" s="25"/>
      <c r="I1870" s="25" t="s">
        <v>3914</v>
      </c>
    </row>
    <row r="1871" spans="1:9" ht="18" hidden="1" customHeight="1" outlineLevel="2" x14ac:dyDescent="0.2">
      <c r="A1871" s="25"/>
      <c r="B1871" s="25"/>
      <c r="C1871" s="25"/>
      <c r="D1871" s="25" t="s">
        <v>352</v>
      </c>
      <c r="E1871" s="25" t="s">
        <v>2652</v>
      </c>
      <c r="F1871" s="25" t="s">
        <v>2663</v>
      </c>
      <c r="G1871" s="25"/>
      <c r="H1871" s="25"/>
      <c r="I1871" s="25" t="s">
        <v>3914</v>
      </c>
    </row>
    <row r="1872" spans="1:9" ht="18" hidden="1" customHeight="1" outlineLevel="2" x14ac:dyDescent="0.2">
      <c r="A1872" s="25"/>
      <c r="B1872" s="25"/>
      <c r="C1872" s="25"/>
      <c r="D1872" s="25" t="s">
        <v>352</v>
      </c>
      <c r="E1872" s="25" t="s">
        <v>2652</v>
      </c>
      <c r="F1872" s="25" t="s">
        <v>2664</v>
      </c>
      <c r="G1872" s="25"/>
      <c r="H1872" s="25"/>
      <c r="I1872" s="25" t="s">
        <v>3914</v>
      </c>
    </row>
    <row r="1873" spans="1:9" ht="18" hidden="1" customHeight="1" outlineLevel="2" x14ac:dyDescent="0.2">
      <c r="A1873" s="25"/>
      <c r="B1873" s="25"/>
      <c r="C1873" s="25"/>
      <c r="D1873" s="25" t="s">
        <v>352</v>
      </c>
      <c r="E1873" s="25" t="s">
        <v>2652</v>
      </c>
      <c r="F1873" s="25" t="s">
        <v>2665</v>
      </c>
      <c r="G1873" s="25"/>
      <c r="H1873" s="25"/>
      <c r="I1873" s="25" t="s">
        <v>3914</v>
      </c>
    </row>
    <row r="1874" spans="1:9" ht="18" hidden="1" customHeight="1" outlineLevel="2" x14ac:dyDescent="0.2">
      <c r="A1874" s="25"/>
      <c r="B1874" s="25"/>
      <c r="C1874" s="25"/>
      <c r="D1874" s="25" t="s">
        <v>352</v>
      </c>
      <c r="E1874" s="25" t="s">
        <v>2652</v>
      </c>
      <c r="F1874" s="25" t="s">
        <v>2666</v>
      </c>
      <c r="G1874" s="25"/>
      <c r="H1874" s="25"/>
      <c r="I1874" s="25" t="s">
        <v>3914</v>
      </c>
    </row>
    <row r="1875" spans="1:9" ht="18" hidden="1" customHeight="1" outlineLevel="2" x14ac:dyDescent="0.2">
      <c r="A1875" s="25"/>
      <c r="B1875" s="25"/>
      <c r="C1875" s="25"/>
      <c r="D1875" s="25" t="s">
        <v>352</v>
      </c>
      <c r="E1875" s="25" t="s">
        <v>2652</v>
      </c>
      <c r="F1875" s="25" t="s">
        <v>2667</v>
      </c>
      <c r="G1875" s="25"/>
      <c r="H1875" s="25"/>
      <c r="I1875" s="25" t="s">
        <v>3914</v>
      </c>
    </row>
    <row r="1876" spans="1:9" ht="18" hidden="1" customHeight="1" outlineLevel="2" x14ac:dyDescent="0.2">
      <c r="A1876" s="25"/>
      <c r="B1876" s="25"/>
      <c r="C1876" s="25"/>
      <c r="D1876" s="25" t="s">
        <v>352</v>
      </c>
      <c r="E1876" s="25" t="s">
        <v>2652</v>
      </c>
      <c r="F1876" s="25" t="s">
        <v>2668</v>
      </c>
      <c r="G1876" s="25"/>
      <c r="H1876" s="25"/>
      <c r="I1876" s="25" t="s">
        <v>3914</v>
      </c>
    </row>
    <row r="1877" spans="1:9" ht="18" hidden="1" customHeight="1" outlineLevel="2" x14ac:dyDescent="0.2">
      <c r="A1877" s="25"/>
      <c r="B1877" s="25"/>
      <c r="C1877" s="25"/>
      <c r="D1877" s="25" t="s">
        <v>352</v>
      </c>
      <c r="E1877" s="25" t="s">
        <v>2652</v>
      </c>
      <c r="F1877" s="25" t="s">
        <v>2669</v>
      </c>
      <c r="G1877" s="25"/>
      <c r="H1877" s="25"/>
      <c r="I1877" s="25" t="s">
        <v>3914</v>
      </c>
    </row>
    <row r="1878" spans="1:9" ht="18" hidden="1" customHeight="1" outlineLevel="2" x14ac:dyDescent="0.2">
      <c r="A1878" s="25"/>
      <c r="B1878" s="25"/>
      <c r="C1878" s="25"/>
      <c r="D1878" s="25" t="s">
        <v>352</v>
      </c>
      <c r="E1878" s="25" t="s">
        <v>2652</v>
      </c>
      <c r="F1878" s="25" t="s">
        <v>2670</v>
      </c>
      <c r="G1878" s="25"/>
      <c r="H1878" s="25"/>
      <c r="I1878" s="25" t="s">
        <v>3914</v>
      </c>
    </row>
    <row r="1879" spans="1:9" ht="18" hidden="1" customHeight="1" outlineLevel="2" x14ac:dyDescent="0.2">
      <c r="A1879" s="25"/>
      <c r="B1879" s="25"/>
      <c r="C1879" s="25"/>
      <c r="D1879" s="25"/>
      <c r="E1879" s="25"/>
      <c r="F1879" s="25"/>
      <c r="G1879" s="25"/>
      <c r="H1879" s="25"/>
      <c r="I1879" s="25"/>
    </row>
    <row r="1880" spans="1:9" ht="18" hidden="1" customHeight="1" outlineLevel="2" x14ac:dyDescent="0.2">
      <c r="A1880" s="25"/>
      <c r="B1880" s="25"/>
      <c r="C1880" s="25"/>
      <c r="D1880" s="25" t="s">
        <v>352</v>
      </c>
      <c r="E1880" s="25" t="s">
        <v>3924</v>
      </c>
      <c r="F1880" s="25" t="s">
        <v>2671</v>
      </c>
      <c r="G1880" s="25"/>
      <c r="H1880" s="25"/>
      <c r="I1880" s="25" t="s">
        <v>3923</v>
      </c>
    </row>
    <row r="1881" spans="1:9" ht="18" hidden="1" customHeight="1" outlineLevel="2" x14ac:dyDescent="0.2">
      <c r="A1881" s="25"/>
      <c r="B1881" s="25"/>
      <c r="C1881" s="25"/>
      <c r="D1881" s="25" t="s">
        <v>352</v>
      </c>
      <c r="E1881" s="25" t="s">
        <v>3924</v>
      </c>
      <c r="F1881" s="25" t="s">
        <v>2672</v>
      </c>
      <c r="G1881" s="25"/>
      <c r="H1881" s="25"/>
      <c r="I1881" s="25" t="s">
        <v>3923</v>
      </c>
    </row>
    <row r="1882" spans="1:9" ht="18" hidden="1" customHeight="1" outlineLevel="2" x14ac:dyDescent="0.2">
      <c r="A1882" s="25"/>
      <c r="B1882" s="25"/>
      <c r="C1882" s="25"/>
      <c r="D1882" s="25" t="s">
        <v>352</v>
      </c>
      <c r="E1882" s="25" t="s">
        <v>3924</v>
      </c>
      <c r="F1882" s="25" t="s">
        <v>2673</v>
      </c>
      <c r="G1882" s="25"/>
      <c r="H1882" s="25"/>
      <c r="I1882" s="25" t="s">
        <v>3923</v>
      </c>
    </row>
    <row r="1883" spans="1:9" ht="18" hidden="1" customHeight="1" outlineLevel="2" x14ac:dyDescent="0.2">
      <c r="A1883" s="25"/>
      <c r="B1883" s="25"/>
      <c r="C1883" s="25"/>
      <c r="D1883" s="25" t="s">
        <v>352</v>
      </c>
      <c r="E1883" s="25" t="s">
        <v>3924</v>
      </c>
      <c r="F1883" s="25" t="s">
        <v>2674</v>
      </c>
      <c r="G1883" s="25"/>
      <c r="H1883" s="25"/>
      <c r="I1883" s="25" t="s">
        <v>3923</v>
      </c>
    </row>
    <row r="1884" spans="1:9" ht="18" hidden="1" customHeight="1" outlineLevel="2" x14ac:dyDescent="0.2">
      <c r="A1884" s="25"/>
      <c r="B1884" s="25"/>
      <c r="C1884" s="25"/>
      <c r="D1884" s="25" t="s">
        <v>352</v>
      </c>
      <c r="E1884" s="25" t="s">
        <v>3924</v>
      </c>
      <c r="F1884" s="25" t="s">
        <v>2675</v>
      </c>
      <c r="G1884" s="25"/>
      <c r="H1884" s="25"/>
      <c r="I1884" s="25" t="s">
        <v>3923</v>
      </c>
    </row>
    <row r="1885" spans="1:9" ht="18" hidden="1" customHeight="1" outlineLevel="2" x14ac:dyDescent="0.2">
      <c r="A1885" s="25"/>
      <c r="B1885" s="25"/>
      <c r="C1885" s="25"/>
      <c r="D1885" s="25" t="s">
        <v>352</v>
      </c>
      <c r="E1885" s="25" t="s">
        <v>3924</v>
      </c>
      <c r="F1885" s="25" t="s">
        <v>2676</v>
      </c>
      <c r="G1885" s="25"/>
      <c r="H1885" s="25"/>
      <c r="I1885" s="25" t="s">
        <v>3923</v>
      </c>
    </row>
    <row r="1886" spans="1:9" ht="18" hidden="1" customHeight="1" outlineLevel="2" x14ac:dyDescent="0.2">
      <c r="A1886" s="25"/>
      <c r="B1886" s="25"/>
      <c r="C1886" s="25"/>
      <c r="D1886" s="25" t="s">
        <v>352</v>
      </c>
      <c r="E1886" s="25" t="s">
        <v>3924</v>
      </c>
      <c r="F1886" s="25" t="s">
        <v>2677</v>
      </c>
      <c r="G1886" s="25"/>
      <c r="H1886" s="25"/>
      <c r="I1886" s="25" t="s">
        <v>3923</v>
      </c>
    </row>
    <row r="1887" spans="1:9" ht="18" hidden="1" customHeight="1" outlineLevel="2" x14ac:dyDescent="0.2">
      <c r="A1887" s="25"/>
      <c r="B1887" s="25"/>
      <c r="C1887" s="25"/>
      <c r="D1887" s="25" t="s">
        <v>352</v>
      </c>
      <c r="E1887" s="25" t="s">
        <v>3924</v>
      </c>
      <c r="F1887" s="25" t="s">
        <v>2678</v>
      </c>
      <c r="G1887" s="25"/>
      <c r="H1887" s="25"/>
      <c r="I1887" s="25" t="s">
        <v>3923</v>
      </c>
    </row>
    <row r="1888" spans="1:9" ht="18" hidden="1" customHeight="1" outlineLevel="2" x14ac:dyDescent="0.2">
      <c r="A1888" s="25"/>
      <c r="B1888" s="25"/>
      <c r="C1888" s="25"/>
      <c r="D1888" s="25" t="s">
        <v>352</v>
      </c>
      <c r="E1888" s="25" t="s">
        <v>3924</v>
      </c>
      <c r="F1888" s="25" t="s">
        <v>2679</v>
      </c>
      <c r="G1888" s="25"/>
      <c r="H1888" s="25"/>
      <c r="I1888" s="25" t="s">
        <v>3923</v>
      </c>
    </row>
    <row r="1889" spans="1:12" ht="18" hidden="1" customHeight="1" outlineLevel="2" x14ac:dyDescent="0.2">
      <c r="A1889" s="25"/>
      <c r="B1889" s="25"/>
      <c r="C1889" s="25"/>
      <c r="D1889" s="25" t="s">
        <v>352</v>
      </c>
      <c r="E1889" s="25" t="s">
        <v>3924</v>
      </c>
      <c r="F1889" s="25" t="s">
        <v>2680</v>
      </c>
      <c r="G1889" s="25"/>
      <c r="H1889" s="25"/>
      <c r="I1889" s="25" t="s">
        <v>3923</v>
      </c>
    </row>
    <row r="1890" spans="1:12" ht="18" hidden="1" customHeight="1" outlineLevel="2" x14ac:dyDescent="0.2">
      <c r="A1890" s="25"/>
      <c r="B1890" s="25"/>
      <c r="C1890" s="25"/>
      <c r="D1890" s="25" t="s">
        <v>352</v>
      </c>
      <c r="E1890" s="25" t="s">
        <v>3924</v>
      </c>
      <c r="F1890" s="25" t="s">
        <v>2681</v>
      </c>
      <c r="G1890" s="25"/>
      <c r="H1890" s="25"/>
      <c r="I1890" s="25" t="s">
        <v>3923</v>
      </c>
    </row>
    <row r="1891" spans="1:12" ht="18" hidden="1" customHeight="1" outlineLevel="2" x14ac:dyDescent="0.2">
      <c r="A1891" s="25"/>
      <c r="B1891" s="25"/>
      <c r="C1891" s="25"/>
      <c r="D1891" s="25" t="s">
        <v>352</v>
      </c>
      <c r="E1891" s="25" t="s">
        <v>3924</v>
      </c>
      <c r="F1891" s="25" t="s">
        <v>2682</v>
      </c>
      <c r="G1891" s="25"/>
      <c r="H1891" s="25"/>
      <c r="I1891" s="25" t="s">
        <v>3923</v>
      </c>
    </row>
    <row r="1892" spans="1:12" ht="18" hidden="1" customHeight="1" outlineLevel="2" x14ac:dyDescent="0.2">
      <c r="A1892" s="25"/>
      <c r="B1892" s="25"/>
      <c r="C1892" s="25"/>
      <c r="D1892" s="25" t="s">
        <v>352</v>
      </c>
      <c r="E1892" s="25" t="s">
        <v>3924</v>
      </c>
      <c r="F1892" s="25" t="s">
        <v>2683</v>
      </c>
      <c r="G1892" s="25"/>
      <c r="H1892" s="25"/>
      <c r="I1892" s="25" t="s">
        <v>3923</v>
      </c>
    </row>
    <row r="1893" spans="1:12" ht="18" hidden="1" customHeight="1" outlineLevel="2" x14ac:dyDescent="0.2">
      <c r="A1893" s="25"/>
      <c r="B1893" s="25"/>
      <c r="C1893" s="25"/>
      <c r="D1893" s="25"/>
      <c r="E1893" s="25"/>
      <c r="F1893" s="25"/>
      <c r="G1893" s="25"/>
      <c r="H1893" s="25"/>
      <c r="I1893" s="25"/>
    </row>
    <row r="1894" spans="1:12" ht="18" hidden="1" customHeight="1" outlineLevel="1" collapsed="1" x14ac:dyDescent="0.2">
      <c r="A1894" s="119" t="s">
        <v>3926</v>
      </c>
      <c r="B1894" s="120"/>
      <c r="C1894" s="120"/>
      <c r="D1894" s="120"/>
      <c r="E1894" s="120"/>
      <c r="F1894" s="120"/>
      <c r="G1894" s="120"/>
      <c r="H1894" s="120"/>
      <c r="I1894" s="120"/>
      <c r="J1894" s="120"/>
      <c r="K1894" s="120"/>
      <c r="L1894" s="160"/>
    </row>
    <row r="1895" spans="1:12" ht="18" hidden="1" customHeight="1" outlineLevel="2" x14ac:dyDescent="0.2">
      <c r="A1895" s="25"/>
      <c r="B1895" s="25"/>
      <c r="C1895" s="25"/>
      <c r="D1895" s="25" t="s">
        <v>352</v>
      </c>
      <c r="E1895" s="25" t="s">
        <v>2684</v>
      </c>
      <c r="F1895" s="25" t="s">
        <v>2685</v>
      </c>
      <c r="G1895" s="25"/>
      <c r="H1895" s="25"/>
      <c r="I1895" s="25" t="s">
        <v>3914</v>
      </c>
    </row>
    <row r="1896" spans="1:12" ht="18" hidden="1" customHeight="1" outlineLevel="2" x14ac:dyDescent="0.2">
      <c r="A1896" s="25"/>
      <c r="B1896" s="25"/>
      <c r="C1896" s="25"/>
      <c r="D1896" s="25" t="s">
        <v>352</v>
      </c>
      <c r="E1896" s="25" t="s">
        <v>2684</v>
      </c>
      <c r="F1896" s="25" t="s">
        <v>2686</v>
      </c>
      <c r="G1896" s="25"/>
      <c r="H1896" s="25"/>
      <c r="I1896" s="25" t="s">
        <v>3914</v>
      </c>
    </row>
    <row r="1897" spans="1:12" ht="18" hidden="1" customHeight="1" outlineLevel="2" x14ac:dyDescent="0.2">
      <c r="A1897" s="25"/>
      <c r="B1897" s="25"/>
      <c r="C1897" s="25"/>
      <c r="D1897" s="25" t="s">
        <v>352</v>
      </c>
      <c r="E1897" s="25" t="s">
        <v>2684</v>
      </c>
      <c r="F1897" s="25" t="s">
        <v>2687</v>
      </c>
      <c r="G1897" s="25"/>
      <c r="H1897" s="25"/>
      <c r="I1897" s="25" t="s">
        <v>3914</v>
      </c>
    </row>
    <row r="1898" spans="1:12" ht="18" hidden="1" customHeight="1" outlineLevel="2" x14ac:dyDescent="0.2">
      <c r="A1898" s="25"/>
      <c r="B1898" s="25"/>
      <c r="C1898" s="25"/>
      <c r="D1898" s="25" t="s">
        <v>352</v>
      </c>
      <c r="E1898" s="25" t="s">
        <v>2684</v>
      </c>
      <c r="F1898" s="25" t="s">
        <v>2688</v>
      </c>
      <c r="G1898" s="25"/>
      <c r="H1898" s="25"/>
      <c r="I1898" s="25" t="s">
        <v>3914</v>
      </c>
    </row>
    <row r="1899" spans="1:12" ht="18" hidden="1" customHeight="1" outlineLevel="2" x14ac:dyDescent="0.2">
      <c r="A1899" s="25"/>
      <c r="B1899" s="25"/>
      <c r="C1899" s="25"/>
      <c r="D1899" s="25" t="s">
        <v>352</v>
      </c>
      <c r="E1899" s="25" t="s">
        <v>2684</v>
      </c>
      <c r="F1899" s="25" t="s">
        <v>2689</v>
      </c>
      <c r="G1899" s="25"/>
      <c r="H1899" s="25"/>
      <c r="I1899" s="25" t="s">
        <v>3914</v>
      </c>
    </row>
    <row r="1900" spans="1:12" ht="18" hidden="1" customHeight="1" outlineLevel="2" x14ac:dyDescent="0.2">
      <c r="A1900" s="25"/>
      <c r="B1900" s="25"/>
      <c r="C1900" s="25"/>
      <c r="D1900" s="25" t="s">
        <v>352</v>
      </c>
      <c r="E1900" s="25" t="s">
        <v>2684</v>
      </c>
      <c r="F1900" s="25" t="s">
        <v>2690</v>
      </c>
      <c r="G1900" s="25"/>
      <c r="H1900" s="25"/>
      <c r="I1900" s="25" t="s">
        <v>3914</v>
      </c>
    </row>
    <row r="1901" spans="1:12" ht="18" hidden="1" customHeight="1" outlineLevel="2" x14ac:dyDescent="0.2">
      <c r="A1901" s="25"/>
      <c r="B1901" s="25"/>
      <c r="C1901" s="25"/>
      <c r="D1901" s="25" t="s">
        <v>352</v>
      </c>
      <c r="E1901" s="25" t="s">
        <v>2684</v>
      </c>
      <c r="F1901" s="25" t="s">
        <v>2691</v>
      </c>
      <c r="G1901" s="25"/>
      <c r="H1901" s="25"/>
      <c r="I1901" s="25" t="s">
        <v>3914</v>
      </c>
    </row>
    <row r="1902" spans="1:12" ht="18" hidden="1" customHeight="1" outlineLevel="2" x14ac:dyDescent="0.2">
      <c r="A1902" s="25"/>
      <c r="B1902" s="25"/>
      <c r="C1902" s="25"/>
      <c r="D1902" s="25" t="s">
        <v>352</v>
      </c>
      <c r="E1902" s="25" t="s">
        <v>2684</v>
      </c>
      <c r="F1902" s="25" t="s">
        <v>2692</v>
      </c>
      <c r="G1902" s="25"/>
      <c r="H1902" s="25"/>
      <c r="I1902" s="25" t="s">
        <v>3914</v>
      </c>
    </row>
    <row r="1903" spans="1:12" ht="18" hidden="1" customHeight="1" outlineLevel="2" x14ac:dyDescent="0.2">
      <c r="A1903" s="25"/>
      <c r="B1903" s="25"/>
      <c r="C1903" s="25"/>
      <c r="D1903" s="25" t="s">
        <v>352</v>
      </c>
      <c r="E1903" s="25" t="s">
        <v>2684</v>
      </c>
      <c r="F1903" s="25" t="s">
        <v>2693</v>
      </c>
      <c r="G1903" s="25"/>
      <c r="H1903" s="25"/>
      <c r="I1903" s="25" t="s">
        <v>3914</v>
      </c>
    </row>
    <row r="1904" spans="1:12" ht="18" hidden="1" customHeight="1" outlineLevel="2" x14ac:dyDescent="0.2">
      <c r="A1904" s="25"/>
      <c r="B1904" s="25"/>
      <c r="C1904" s="25"/>
      <c r="D1904" s="25" t="s">
        <v>352</v>
      </c>
      <c r="E1904" s="25" t="s">
        <v>2684</v>
      </c>
      <c r="F1904" s="25" t="s">
        <v>2694</v>
      </c>
      <c r="G1904" s="25"/>
      <c r="H1904" s="25"/>
      <c r="I1904" s="25" t="s">
        <v>3914</v>
      </c>
    </row>
    <row r="1905" spans="1:12" ht="18" hidden="1" customHeight="1" outlineLevel="2" x14ac:dyDescent="0.2">
      <c r="A1905" s="25"/>
      <c r="B1905" s="25"/>
      <c r="C1905" s="25"/>
      <c r="D1905" s="25" t="s">
        <v>352</v>
      </c>
      <c r="E1905" s="25" t="s">
        <v>2684</v>
      </c>
      <c r="F1905" s="25" t="s">
        <v>2695</v>
      </c>
      <c r="G1905" s="25"/>
      <c r="H1905" s="25"/>
      <c r="I1905" s="25" t="s">
        <v>3914</v>
      </c>
    </row>
    <row r="1906" spans="1:12" ht="18" hidden="1" customHeight="1" outlineLevel="2" x14ac:dyDescent="0.2">
      <c r="A1906" s="25"/>
      <c r="B1906" s="25"/>
      <c r="C1906" s="25"/>
      <c r="D1906" s="25" t="s">
        <v>352</v>
      </c>
      <c r="E1906" s="25" t="s">
        <v>2684</v>
      </c>
      <c r="F1906" s="25" t="s">
        <v>2696</v>
      </c>
      <c r="G1906" s="25"/>
      <c r="H1906" s="25"/>
      <c r="I1906" s="25" t="s">
        <v>3914</v>
      </c>
    </row>
    <row r="1907" spans="1:12" ht="18" hidden="1" customHeight="1" outlineLevel="2" x14ac:dyDescent="0.2">
      <c r="A1907" s="25"/>
      <c r="B1907" s="25"/>
      <c r="C1907" s="25"/>
      <c r="D1907" s="25" t="s">
        <v>352</v>
      </c>
      <c r="E1907" s="25" t="s">
        <v>2684</v>
      </c>
      <c r="F1907" s="25" t="s">
        <v>2697</v>
      </c>
      <c r="G1907" s="25"/>
      <c r="H1907" s="25"/>
      <c r="I1907" s="25" t="s">
        <v>3914</v>
      </c>
    </row>
    <row r="1908" spans="1:12" ht="18" hidden="1" customHeight="1" outlineLevel="2" x14ac:dyDescent="0.2">
      <c r="A1908" s="25"/>
      <c r="B1908" s="25"/>
      <c r="C1908" s="25"/>
      <c r="D1908" s="25" t="s">
        <v>352</v>
      </c>
      <c r="E1908" s="25" t="s">
        <v>2684</v>
      </c>
      <c r="F1908" s="25" t="s">
        <v>2698</v>
      </c>
      <c r="G1908" s="25"/>
      <c r="H1908" s="25"/>
      <c r="I1908" s="25" t="s">
        <v>3914</v>
      </c>
    </row>
    <row r="1909" spans="1:12" ht="18" hidden="1" customHeight="1" outlineLevel="2" x14ac:dyDescent="0.2">
      <c r="A1909" s="25"/>
      <c r="B1909" s="25"/>
      <c r="C1909" s="25"/>
      <c r="D1909" s="25" t="s">
        <v>352</v>
      </c>
      <c r="E1909" s="25" t="s">
        <v>2684</v>
      </c>
      <c r="F1909" s="25" t="s">
        <v>2699</v>
      </c>
      <c r="G1909" s="25"/>
      <c r="H1909" s="25"/>
      <c r="I1909" s="25" t="s">
        <v>3914</v>
      </c>
    </row>
    <row r="1910" spans="1:12" ht="18" hidden="1" customHeight="1" outlineLevel="2" x14ac:dyDescent="0.2">
      <c r="A1910" s="25"/>
      <c r="B1910" s="25"/>
      <c r="C1910" s="25"/>
      <c r="D1910" s="25" t="s">
        <v>352</v>
      </c>
      <c r="E1910" s="25" t="s">
        <v>2684</v>
      </c>
      <c r="F1910" s="25" t="s">
        <v>2700</v>
      </c>
      <c r="G1910" s="25"/>
      <c r="H1910" s="25"/>
      <c r="I1910" s="25" t="s">
        <v>3914</v>
      </c>
    </row>
    <row r="1911" spans="1:12" ht="18" hidden="1" customHeight="1" outlineLevel="2" x14ac:dyDescent="0.2">
      <c r="A1911" s="25"/>
      <c r="B1911" s="25"/>
      <c r="C1911" s="25"/>
      <c r="D1911" s="25"/>
      <c r="E1911" s="25"/>
      <c r="F1911" s="25"/>
      <c r="G1911" s="25"/>
      <c r="H1911" s="25"/>
      <c r="I1911" s="25"/>
    </row>
    <row r="1912" spans="1:12" ht="18" hidden="1" customHeight="1" outlineLevel="1" collapsed="1" x14ac:dyDescent="0.2">
      <c r="A1912" s="119" t="s">
        <v>140</v>
      </c>
      <c r="B1912" s="120"/>
      <c r="C1912" s="120"/>
      <c r="D1912" s="120"/>
      <c r="E1912" s="120"/>
      <c r="F1912" s="120"/>
      <c r="G1912" s="120"/>
      <c r="H1912" s="120"/>
      <c r="I1912" s="120"/>
      <c r="J1912" s="120"/>
      <c r="K1912" s="120"/>
      <c r="L1912" s="160"/>
    </row>
    <row r="1913" spans="1:12" ht="18" hidden="1" customHeight="1" outlineLevel="2" x14ac:dyDescent="0.2">
      <c r="A1913" s="25"/>
      <c r="B1913" s="25"/>
      <c r="C1913" s="25"/>
      <c r="D1913" s="25" t="s">
        <v>352</v>
      </c>
      <c r="E1913" s="25" t="s">
        <v>2701</v>
      </c>
      <c r="F1913" s="25" t="s">
        <v>2702</v>
      </c>
      <c r="G1913" s="25"/>
      <c r="H1913" s="25"/>
      <c r="I1913" s="25" t="s">
        <v>3914</v>
      </c>
    </row>
    <row r="1914" spans="1:12" ht="18" hidden="1" customHeight="1" outlineLevel="2" x14ac:dyDescent="0.2">
      <c r="A1914" s="25"/>
      <c r="B1914" s="25"/>
      <c r="C1914" s="25"/>
      <c r="D1914" s="25" t="s">
        <v>352</v>
      </c>
      <c r="E1914" s="25" t="s">
        <v>2701</v>
      </c>
      <c r="F1914" s="25" t="s">
        <v>2703</v>
      </c>
      <c r="G1914" s="25"/>
      <c r="H1914" s="25"/>
      <c r="I1914" s="25" t="s">
        <v>3914</v>
      </c>
    </row>
    <row r="1915" spans="1:12" ht="18" hidden="1" customHeight="1" outlineLevel="2" x14ac:dyDescent="0.2">
      <c r="A1915" s="25"/>
      <c r="B1915" s="25"/>
      <c r="C1915" s="25"/>
      <c r="D1915" s="25" t="s">
        <v>352</v>
      </c>
      <c r="E1915" s="25" t="s">
        <v>2701</v>
      </c>
      <c r="F1915" s="25" t="s">
        <v>2704</v>
      </c>
      <c r="G1915" s="25"/>
      <c r="H1915" s="25"/>
      <c r="I1915" s="25" t="s">
        <v>3914</v>
      </c>
    </row>
    <row r="1916" spans="1:12" ht="18" hidden="1" customHeight="1" outlineLevel="2" x14ac:dyDescent="0.2">
      <c r="A1916" s="25"/>
      <c r="B1916" s="25"/>
      <c r="C1916" s="25"/>
      <c r="D1916" s="25" t="s">
        <v>352</v>
      </c>
      <c r="E1916" s="25" t="s">
        <v>2701</v>
      </c>
      <c r="F1916" s="25" t="s">
        <v>2705</v>
      </c>
      <c r="G1916" s="25"/>
      <c r="H1916" s="25"/>
      <c r="I1916" s="25" t="s">
        <v>3914</v>
      </c>
    </row>
    <row r="1917" spans="1:12" ht="18" hidden="1" customHeight="1" outlineLevel="2" x14ac:dyDescent="0.2">
      <c r="A1917" s="25"/>
      <c r="B1917" s="25"/>
      <c r="C1917" s="25"/>
      <c r="D1917" s="25" t="s">
        <v>352</v>
      </c>
      <c r="E1917" s="25" t="s">
        <v>2701</v>
      </c>
      <c r="F1917" s="25" t="s">
        <v>2706</v>
      </c>
      <c r="G1917" s="25"/>
      <c r="H1917" s="25"/>
      <c r="I1917" s="25" t="s">
        <v>3914</v>
      </c>
    </row>
    <row r="1918" spans="1:12" ht="18" hidden="1" customHeight="1" outlineLevel="2" x14ac:dyDescent="0.2">
      <c r="A1918" s="25"/>
      <c r="B1918" s="25"/>
      <c r="C1918" s="25"/>
      <c r="D1918" s="25" t="s">
        <v>352</v>
      </c>
      <c r="E1918" s="25" t="s">
        <v>2701</v>
      </c>
      <c r="F1918" s="25" t="s">
        <v>2707</v>
      </c>
      <c r="G1918" s="25"/>
      <c r="H1918" s="25"/>
      <c r="I1918" s="25" t="s">
        <v>3914</v>
      </c>
    </row>
    <row r="1919" spans="1:12" ht="18" hidden="1" customHeight="1" outlineLevel="2" x14ac:dyDescent="0.2">
      <c r="A1919" s="25"/>
      <c r="B1919" s="25"/>
      <c r="C1919" s="25"/>
      <c r="D1919" s="25" t="s">
        <v>352</v>
      </c>
      <c r="E1919" s="25" t="s">
        <v>2701</v>
      </c>
      <c r="F1919" s="25" t="s">
        <v>2708</v>
      </c>
      <c r="G1919" s="25"/>
      <c r="H1919" s="25"/>
      <c r="I1919" s="25" t="s">
        <v>3914</v>
      </c>
    </row>
    <row r="1920" spans="1:12" ht="18" hidden="1" customHeight="1" outlineLevel="2" x14ac:dyDescent="0.2">
      <c r="A1920" s="25"/>
      <c r="B1920" s="25"/>
      <c r="C1920" s="25"/>
      <c r="D1920" s="25" t="s">
        <v>352</v>
      </c>
      <c r="E1920" s="25" t="s">
        <v>2701</v>
      </c>
      <c r="F1920" s="25" t="s">
        <v>2709</v>
      </c>
      <c r="G1920" s="25"/>
      <c r="H1920" s="25"/>
      <c r="I1920" s="25" t="s">
        <v>3914</v>
      </c>
    </row>
    <row r="1921" spans="1:9" ht="18" hidden="1" customHeight="1" outlineLevel="2" x14ac:dyDescent="0.2">
      <c r="A1921" s="25"/>
      <c r="B1921" s="25"/>
      <c r="C1921" s="25"/>
      <c r="D1921" s="25" t="s">
        <v>352</v>
      </c>
      <c r="E1921" s="25" t="s">
        <v>2701</v>
      </c>
      <c r="F1921" s="25" t="s">
        <v>2710</v>
      </c>
      <c r="G1921" s="25"/>
      <c r="H1921" s="25"/>
      <c r="I1921" s="25" t="s">
        <v>3914</v>
      </c>
    </row>
    <row r="1922" spans="1:9" ht="18" hidden="1" customHeight="1" outlineLevel="2" x14ac:dyDescent="0.2">
      <c r="A1922" s="25"/>
      <c r="B1922" s="25"/>
      <c r="C1922" s="25"/>
      <c r="D1922" s="25" t="s">
        <v>352</v>
      </c>
      <c r="E1922" s="25" t="s">
        <v>2701</v>
      </c>
      <c r="F1922" s="25" t="s">
        <v>2711</v>
      </c>
      <c r="G1922" s="25"/>
      <c r="H1922" s="25"/>
      <c r="I1922" s="25" t="s">
        <v>3914</v>
      </c>
    </row>
    <row r="1923" spans="1:9" ht="18" hidden="1" customHeight="1" outlineLevel="2" x14ac:dyDescent="0.2">
      <c r="A1923" s="25"/>
      <c r="B1923" s="25"/>
      <c r="C1923" s="25"/>
      <c r="D1923" s="25" t="s">
        <v>352</v>
      </c>
      <c r="E1923" s="25" t="s">
        <v>2701</v>
      </c>
      <c r="F1923" s="25" t="s">
        <v>2712</v>
      </c>
      <c r="G1923" s="25"/>
      <c r="H1923" s="25"/>
      <c r="I1923" s="25" t="s">
        <v>3914</v>
      </c>
    </row>
    <row r="1924" spans="1:9" ht="18" hidden="1" customHeight="1" outlineLevel="2" x14ac:dyDescent="0.2">
      <c r="A1924" s="25"/>
      <c r="B1924" s="25"/>
      <c r="C1924" s="25"/>
      <c r="D1924" s="25"/>
      <c r="E1924" s="25"/>
      <c r="F1924" s="25"/>
      <c r="G1924" s="25"/>
      <c r="H1924" s="25"/>
      <c r="I1924" s="25"/>
    </row>
    <row r="1925" spans="1:9" ht="18" hidden="1" customHeight="1" outlineLevel="2" x14ac:dyDescent="0.2">
      <c r="A1925" s="25"/>
      <c r="B1925" s="25"/>
      <c r="C1925" s="25"/>
      <c r="D1925" s="25" t="s">
        <v>352</v>
      </c>
      <c r="E1925" s="25" t="s">
        <v>2713</v>
      </c>
      <c r="F1925" s="25" t="s">
        <v>2703</v>
      </c>
      <c r="G1925" s="25"/>
      <c r="H1925" s="25"/>
      <c r="I1925" s="25" t="s">
        <v>3914</v>
      </c>
    </row>
    <row r="1926" spans="1:9" ht="18" hidden="1" customHeight="1" outlineLevel="2" x14ac:dyDescent="0.2">
      <c r="A1926" s="25"/>
      <c r="B1926" s="25"/>
      <c r="C1926" s="25"/>
      <c r="D1926" s="25" t="s">
        <v>352</v>
      </c>
      <c r="E1926" s="25" t="s">
        <v>2713</v>
      </c>
      <c r="F1926" s="25" t="s">
        <v>2704</v>
      </c>
      <c r="G1926" s="25"/>
      <c r="H1926" s="25"/>
      <c r="I1926" s="25" t="s">
        <v>3914</v>
      </c>
    </row>
    <row r="1927" spans="1:9" ht="18" hidden="1" customHeight="1" outlineLevel="2" x14ac:dyDescent="0.2">
      <c r="A1927" s="25"/>
      <c r="B1927" s="25"/>
      <c r="C1927" s="25"/>
      <c r="D1927" s="25" t="s">
        <v>352</v>
      </c>
      <c r="E1927" s="25" t="s">
        <v>2713</v>
      </c>
      <c r="F1927" s="25" t="s">
        <v>2705</v>
      </c>
      <c r="G1927" s="25"/>
      <c r="H1927" s="25"/>
      <c r="I1927" s="25" t="s">
        <v>3914</v>
      </c>
    </row>
    <row r="1928" spans="1:9" ht="18" hidden="1" customHeight="1" outlineLevel="2" x14ac:dyDescent="0.2">
      <c r="A1928" s="25"/>
      <c r="B1928" s="25"/>
      <c r="C1928" s="25"/>
      <c r="D1928" s="25" t="s">
        <v>352</v>
      </c>
      <c r="E1928" s="25" t="s">
        <v>2713</v>
      </c>
      <c r="F1928" s="25" t="s">
        <v>2707</v>
      </c>
      <c r="G1928" s="25"/>
      <c r="H1928" s="25"/>
      <c r="I1928" s="25" t="s">
        <v>3914</v>
      </c>
    </row>
    <row r="1929" spans="1:9" ht="18" hidden="1" customHeight="1" outlineLevel="2" x14ac:dyDescent="0.2">
      <c r="A1929" s="25"/>
      <c r="B1929" s="25"/>
      <c r="C1929" s="25"/>
      <c r="D1929" s="25" t="s">
        <v>352</v>
      </c>
      <c r="E1929" s="25" t="s">
        <v>2713</v>
      </c>
      <c r="F1929" s="25" t="s">
        <v>2714</v>
      </c>
      <c r="G1929" s="25"/>
      <c r="H1929" s="25"/>
      <c r="I1929" s="25" t="s">
        <v>3914</v>
      </c>
    </row>
    <row r="1930" spans="1:9" ht="18" hidden="1" customHeight="1" outlineLevel="2" x14ac:dyDescent="0.2">
      <c r="A1930" s="25"/>
      <c r="B1930" s="25"/>
      <c r="C1930" s="25"/>
      <c r="D1930" s="25" t="s">
        <v>352</v>
      </c>
      <c r="E1930" s="25" t="s">
        <v>2713</v>
      </c>
      <c r="F1930" s="25" t="s">
        <v>2708</v>
      </c>
      <c r="G1930" s="25"/>
      <c r="H1930" s="25"/>
      <c r="I1930" s="25" t="s">
        <v>3914</v>
      </c>
    </row>
    <row r="1931" spans="1:9" ht="18" hidden="1" customHeight="1" outlineLevel="2" x14ac:dyDescent="0.2">
      <c r="A1931" s="25"/>
      <c r="B1931" s="25"/>
      <c r="C1931" s="25"/>
      <c r="D1931" s="25"/>
      <c r="E1931" s="25"/>
      <c r="F1931" s="25"/>
      <c r="G1931" s="25"/>
      <c r="H1931" s="25"/>
      <c r="I1931" s="25"/>
    </row>
    <row r="1932" spans="1:9" ht="18" hidden="1" customHeight="1" outlineLevel="2" x14ac:dyDescent="0.2">
      <c r="A1932" s="25"/>
      <c r="B1932" s="25"/>
      <c r="C1932" s="25"/>
      <c r="D1932" s="25" t="s">
        <v>352</v>
      </c>
      <c r="E1932" s="25" t="s">
        <v>3917</v>
      </c>
      <c r="F1932" s="25" t="s">
        <v>2715</v>
      </c>
      <c r="G1932" s="25"/>
      <c r="H1932" s="25"/>
      <c r="I1932" s="25" t="s">
        <v>3918</v>
      </c>
    </row>
    <row r="1933" spans="1:9" ht="18" hidden="1" customHeight="1" outlineLevel="2" x14ac:dyDescent="0.2">
      <c r="A1933" s="25"/>
      <c r="B1933" s="25"/>
      <c r="C1933" s="25"/>
      <c r="D1933" s="25" t="s">
        <v>352</v>
      </c>
      <c r="E1933" s="25" t="s">
        <v>3917</v>
      </c>
      <c r="F1933" s="25" t="s">
        <v>2716</v>
      </c>
      <c r="G1933" s="25"/>
      <c r="H1933" s="25"/>
      <c r="I1933" s="25" t="s">
        <v>3918</v>
      </c>
    </row>
    <row r="1934" spans="1:9" ht="18" hidden="1" customHeight="1" outlineLevel="2" x14ac:dyDescent="0.2">
      <c r="A1934" s="25"/>
      <c r="B1934" s="25"/>
      <c r="C1934" s="25"/>
      <c r="D1934" s="25" t="s">
        <v>352</v>
      </c>
      <c r="E1934" s="25" t="s">
        <v>3917</v>
      </c>
      <c r="F1934" s="25" t="s">
        <v>2717</v>
      </c>
      <c r="G1934" s="25"/>
      <c r="H1934" s="25"/>
      <c r="I1934" s="25" t="s">
        <v>3918</v>
      </c>
    </row>
    <row r="1935" spans="1:9" ht="18" hidden="1" customHeight="1" outlineLevel="2" x14ac:dyDescent="0.2">
      <c r="A1935" s="25"/>
      <c r="B1935" s="25"/>
      <c r="C1935" s="25"/>
      <c r="D1935" s="25" t="s">
        <v>352</v>
      </c>
      <c r="E1935" s="25" t="s">
        <v>3917</v>
      </c>
      <c r="F1935" s="25" t="s">
        <v>2718</v>
      </c>
      <c r="G1935" s="25"/>
      <c r="H1935" s="25"/>
      <c r="I1935" s="25" t="s">
        <v>3918</v>
      </c>
    </row>
    <row r="1936" spans="1:9" ht="18" hidden="1" customHeight="1" outlineLevel="2" x14ac:dyDescent="0.2">
      <c r="A1936" s="25"/>
      <c r="B1936" s="25"/>
      <c r="C1936" s="25"/>
      <c r="D1936" s="25" t="s">
        <v>352</v>
      </c>
      <c r="E1936" s="25" t="s">
        <v>3917</v>
      </c>
      <c r="F1936" s="25" t="s">
        <v>2719</v>
      </c>
      <c r="G1936" s="25"/>
      <c r="H1936" s="25"/>
      <c r="I1936" s="25" t="s">
        <v>3918</v>
      </c>
    </row>
    <row r="1937" spans="1:9" ht="18" hidden="1" customHeight="1" outlineLevel="2" x14ac:dyDescent="0.2">
      <c r="A1937" s="25"/>
      <c r="B1937" s="25"/>
      <c r="C1937" s="25"/>
      <c r="D1937" s="25"/>
      <c r="E1937" s="25"/>
      <c r="F1937" s="25"/>
      <c r="G1937" s="25"/>
      <c r="H1937" s="25"/>
      <c r="I1937" s="25"/>
    </row>
    <row r="1938" spans="1:9" ht="18" hidden="1" customHeight="1" outlineLevel="2" x14ac:dyDescent="0.2">
      <c r="A1938" s="25"/>
      <c r="B1938" s="25"/>
      <c r="C1938" s="25"/>
      <c r="D1938" s="25" t="s">
        <v>352</v>
      </c>
      <c r="E1938" s="25" t="s">
        <v>3920</v>
      </c>
      <c r="F1938" s="25" t="s">
        <v>2720</v>
      </c>
      <c r="G1938" s="25"/>
      <c r="H1938" s="25"/>
      <c r="I1938" s="25" t="s">
        <v>3919</v>
      </c>
    </row>
    <row r="1939" spans="1:9" ht="18" hidden="1" customHeight="1" outlineLevel="2" x14ac:dyDescent="0.2">
      <c r="A1939" s="25"/>
      <c r="B1939" s="25"/>
      <c r="C1939" s="25"/>
      <c r="D1939" s="25"/>
      <c r="E1939" s="25"/>
      <c r="F1939" s="25"/>
      <c r="G1939" s="25"/>
      <c r="H1939" s="25"/>
      <c r="I1939" s="25"/>
    </row>
    <row r="1940" spans="1:9" ht="18" hidden="1" customHeight="1" outlineLevel="2" x14ac:dyDescent="0.2">
      <c r="A1940" s="25"/>
      <c r="B1940" s="25"/>
      <c r="C1940" s="25"/>
      <c r="D1940" s="25" t="s">
        <v>352</v>
      </c>
      <c r="E1940" s="25" t="s">
        <v>3916</v>
      </c>
      <c r="F1940" s="25" t="s">
        <v>2703</v>
      </c>
      <c r="G1940" s="25"/>
      <c r="H1940" s="25"/>
      <c r="I1940" s="25" t="s">
        <v>3921</v>
      </c>
    </row>
    <row r="1941" spans="1:9" ht="18" hidden="1" customHeight="1" outlineLevel="2" x14ac:dyDescent="0.2">
      <c r="A1941" s="25"/>
      <c r="B1941" s="25"/>
      <c r="C1941" s="25"/>
      <c r="D1941" s="25" t="s">
        <v>352</v>
      </c>
      <c r="E1941" s="25" t="s">
        <v>3916</v>
      </c>
      <c r="F1941" s="25" t="s">
        <v>2722</v>
      </c>
      <c r="G1941" s="25"/>
      <c r="H1941" s="25"/>
      <c r="I1941" s="25" t="s">
        <v>3921</v>
      </c>
    </row>
    <row r="1942" spans="1:9" ht="18" hidden="1" customHeight="1" outlineLevel="2" x14ac:dyDescent="0.2">
      <c r="A1942" s="25"/>
      <c r="B1942" s="25"/>
      <c r="C1942" s="25"/>
      <c r="D1942" s="25" t="s">
        <v>352</v>
      </c>
      <c r="E1942" s="25" t="s">
        <v>3916</v>
      </c>
      <c r="F1942" s="25" t="s">
        <v>2707</v>
      </c>
      <c r="G1942" s="25"/>
      <c r="H1942" s="25"/>
      <c r="I1942" s="25" t="s">
        <v>3921</v>
      </c>
    </row>
    <row r="1943" spans="1:9" ht="18" hidden="1" customHeight="1" outlineLevel="2" x14ac:dyDescent="0.2">
      <c r="A1943" s="25"/>
      <c r="B1943" s="25"/>
      <c r="C1943" s="25"/>
      <c r="D1943" s="25" t="s">
        <v>352</v>
      </c>
      <c r="E1943" s="25" t="s">
        <v>3916</v>
      </c>
      <c r="F1943" s="25" t="s">
        <v>2708</v>
      </c>
      <c r="G1943" s="25"/>
      <c r="H1943" s="25"/>
      <c r="I1943" s="25" t="s">
        <v>3921</v>
      </c>
    </row>
    <row r="1944" spans="1:9" ht="18" hidden="1" customHeight="1" outlineLevel="2" x14ac:dyDescent="0.2">
      <c r="A1944" s="25"/>
      <c r="B1944" s="25"/>
      <c r="C1944" s="25"/>
      <c r="D1944" s="25" t="s">
        <v>352</v>
      </c>
      <c r="E1944" s="25" t="s">
        <v>3916</v>
      </c>
      <c r="F1944" s="25" t="s">
        <v>2723</v>
      </c>
      <c r="G1944" s="25"/>
      <c r="H1944" s="25"/>
      <c r="I1944" s="25" t="s">
        <v>3921</v>
      </c>
    </row>
    <row r="1945" spans="1:9" ht="18" hidden="1" customHeight="1" outlineLevel="2" x14ac:dyDescent="0.2">
      <c r="A1945" s="25"/>
      <c r="B1945" s="25"/>
      <c r="C1945" s="25"/>
      <c r="D1945" s="25" t="s">
        <v>352</v>
      </c>
      <c r="E1945" s="25" t="s">
        <v>3916</v>
      </c>
      <c r="F1945" s="25" t="s">
        <v>2724</v>
      </c>
      <c r="G1945" s="25"/>
      <c r="H1945" s="25"/>
      <c r="I1945" s="25" t="s">
        <v>3921</v>
      </c>
    </row>
    <row r="1946" spans="1:9" ht="18" hidden="1" customHeight="1" outlineLevel="2" x14ac:dyDescent="0.2">
      <c r="A1946" s="25"/>
      <c r="B1946" s="25"/>
      <c r="C1946" s="25"/>
      <c r="D1946" s="25" t="s">
        <v>352</v>
      </c>
      <c r="E1946" s="25" t="s">
        <v>3916</v>
      </c>
      <c r="F1946" s="25" t="s">
        <v>2725</v>
      </c>
      <c r="G1946" s="25"/>
      <c r="H1946" s="25"/>
      <c r="I1946" s="25" t="s">
        <v>3921</v>
      </c>
    </row>
    <row r="1947" spans="1:9" ht="18" hidden="1" customHeight="1" outlineLevel="2" x14ac:dyDescent="0.2">
      <c r="A1947" s="25"/>
      <c r="B1947" s="25"/>
      <c r="C1947" s="25"/>
      <c r="D1947" s="25"/>
      <c r="E1947" s="25"/>
      <c r="F1947" s="25"/>
      <c r="G1947" s="25"/>
      <c r="H1947" s="25"/>
      <c r="I1947" s="25"/>
    </row>
    <row r="1948" spans="1:9" ht="18" hidden="1" customHeight="1" outlineLevel="2" x14ac:dyDescent="0.2">
      <c r="A1948" s="25"/>
      <c r="B1948" s="25"/>
      <c r="C1948" s="25"/>
      <c r="D1948" s="25" t="s">
        <v>352</v>
      </c>
      <c r="E1948" s="25" t="s">
        <v>3916</v>
      </c>
      <c r="F1948" s="25" t="s">
        <v>2703</v>
      </c>
      <c r="G1948" s="25"/>
      <c r="H1948" s="25"/>
      <c r="I1948" s="25" t="s">
        <v>3922</v>
      </c>
    </row>
    <row r="1949" spans="1:9" ht="18" hidden="1" customHeight="1" outlineLevel="2" x14ac:dyDescent="0.2">
      <c r="A1949" s="25"/>
      <c r="B1949" s="25"/>
      <c r="C1949" s="25"/>
      <c r="D1949" s="25" t="s">
        <v>352</v>
      </c>
      <c r="E1949" s="25" t="s">
        <v>3916</v>
      </c>
      <c r="F1949" s="25" t="s">
        <v>2722</v>
      </c>
      <c r="G1949" s="25"/>
      <c r="H1949" s="25"/>
      <c r="I1949" s="25" t="s">
        <v>3922</v>
      </c>
    </row>
    <row r="1950" spans="1:9" ht="18" hidden="1" customHeight="1" outlineLevel="2" x14ac:dyDescent="0.2">
      <c r="A1950" s="25"/>
      <c r="B1950" s="25"/>
      <c r="C1950" s="25"/>
      <c r="D1950" s="25" t="s">
        <v>352</v>
      </c>
      <c r="E1950" s="25" t="s">
        <v>3916</v>
      </c>
      <c r="F1950" s="25" t="s">
        <v>2707</v>
      </c>
      <c r="G1950" s="25"/>
      <c r="H1950" s="25"/>
      <c r="I1950" s="25" t="s">
        <v>3922</v>
      </c>
    </row>
    <row r="1951" spans="1:9" ht="18" hidden="1" customHeight="1" outlineLevel="2" x14ac:dyDescent="0.2">
      <c r="A1951" s="25"/>
      <c r="B1951" s="25"/>
      <c r="C1951" s="25"/>
      <c r="D1951" s="25" t="s">
        <v>352</v>
      </c>
      <c r="E1951" s="25" t="s">
        <v>3916</v>
      </c>
      <c r="F1951" s="25" t="s">
        <v>2708</v>
      </c>
      <c r="G1951" s="25"/>
      <c r="H1951" s="25"/>
      <c r="I1951" s="25" t="s">
        <v>3922</v>
      </c>
    </row>
    <row r="1952" spans="1:9" ht="18" hidden="1" customHeight="1" outlineLevel="2" x14ac:dyDescent="0.2">
      <c r="A1952" s="25"/>
      <c r="B1952" s="25"/>
      <c r="C1952" s="25"/>
      <c r="D1952" s="25" t="s">
        <v>352</v>
      </c>
      <c r="E1952" s="25" t="s">
        <v>3916</v>
      </c>
      <c r="F1952" s="25" t="s">
        <v>2723</v>
      </c>
      <c r="G1952" s="25"/>
      <c r="H1952" s="25"/>
      <c r="I1952" s="25" t="s">
        <v>3922</v>
      </c>
    </row>
    <row r="1953" spans="1:39" ht="18" hidden="1" customHeight="1" outlineLevel="2" x14ac:dyDescent="0.2">
      <c r="A1953" s="25"/>
      <c r="B1953" s="25"/>
      <c r="C1953" s="25"/>
      <c r="D1953" s="25" t="s">
        <v>352</v>
      </c>
      <c r="E1953" s="25" t="s">
        <v>3916</v>
      </c>
      <c r="F1953" s="25" t="s">
        <v>2724</v>
      </c>
      <c r="G1953" s="25"/>
      <c r="H1953" s="25"/>
      <c r="I1953" s="25" t="s">
        <v>3922</v>
      </c>
    </row>
    <row r="1954" spans="1:39" ht="18" hidden="1" customHeight="1" outlineLevel="2" x14ac:dyDescent="0.2">
      <c r="A1954" s="25"/>
      <c r="B1954" s="25"/>
      <c r="C1954" s="25"/>
      <c r="D1954" s="25" t="s">
        <v>352</v>
      </c>
      <c r="E1954" s="25" t="s">
        <v>3916</v>
      </c>
      <c r="F1954" s="25" t="s">
        <v>2725</v>
      </c>
      <c r="G1954" s="25"/>
      <c r="H1954" s="25"/>
      <c r="I1954" s="25" t="s">
        <v>3922</v>
      </c>
    </row>
    <row r="1955" spans="1:39" ht="18" hidden="1" customHeight="1" outlineLevel="2" x14ac:dyDescent="0.2">
      <c r="A1955" s="25"/>
      <c r="B1955" s="25"/>
      <c r="C1955" s="25"/>
      <c r="D1955" s="25"/>
      <c r="E1955" s="25"/>
      <c r="F1955" s="25"/>
      <c r="G1955" s="25"/>
      <c r="H1955" s="25"/>
      <c r="I1955" s="25"/>
    </row>
    <row r="1956" spans="1:39" ht="18" customHeight="1" collapsed="1" x14ac:dyDescent="0.2">
      <c r="A1956" s="125" t="s">
        <v>4008</v>
      </c>
      <c r="B1956" s="126"/>
      <c r="C1956" s="126"/>
      <c r="D1956" s="126"/>
      <c r="E1956" s="126"/>
      <c r="F1956" s="126"/>
      <c r="G1956" s="126"/>
      <c r="H1956" s="126"/>
      <c r="I1956" s="126"/>
      <c r="J1956" s="126"/>
      <c r="K1956" s="126"/>
      <c r="L1956" s="178"/>
      <c r="AK1956" s="10" t="s">
        <v>4038</v>
      </c>
      <c r="AL1956" s="10" t="s">
        <v>4019</v>
      </c>
      <c r="AM1956" s="10" t="s">
        <v>4018</v>
      </c>
    </row>
    <row r="1957" spans="1:39" ht="18" hidden="1" customHeight="1" outlineLevel="1" collapsed="1" x14ac:dyDescent="0.2">
      <c r="A1957" s="119" t="s">
        <v>3927</v>
      </c>
      <c r="B1957" s="120"/>
      <c r="C1957" s="120"/>
      <c r="D1957" s="120"/>
      <c r="E1957" s="120"/>
      <c r="F1957" s="120"/>
      <c r="G1957" s="120"/>
      <c r="H1957" s="120"/>
      <c r="I1957" s="120"/>
      <c r="J1957" s="120"/>
      <c r="K1957" s="120"/>
      <c r="L1957" s="160"/>
    </row>
    <row r="1958" spans="1:39" ht="18" hidden="1" customHeight="1" outlineLevel="2" x14ac:dyDescent="0.2">
      <c r="A1958" s="25"/>
      <c r="B1958" s="25"/>
      <c r="C1958" s="25"/>
      <c r="D1958" s="25"/>
      <c r="E1958" s="25" t="s">
        <v>3928</v>
      </c>
      <c r="F1958" s="25" t="s">
        <v>4060</v>
      </c>
      <c r="G1958" s="25"/>
      <c r="H1958" s="25"/>
      <c r="I1958" s="25"/>
      <c r="J1958" s="25" t="s">
        <v>2065</v>
      </c>
      <c r="AK1958" s="10">
        <v>523218</v>
      </c>
      <c r="AL1958" s="10">
        <v>45353</v>
      </c>
      <c r="AM1958" s="1">
        <v>904497</v>
      </c>
    </row>
    <row r="1959" spans="1:39" ht="18" hidden="1" customHeight="1" outlineLevel="2" x14ac:dyDescent="0.2">
      <c r="A1959" s="25"/>
      <c r="B1959" s="25"/>
      <c r="C1959" s="25"/>
      <c r="D1959" s="25"/>
      <c r="E1959" s="25" t="s">
        <v>3928</v>
      </c>
      <c r="F1959" s="25" t="s">
        <v>4021</v>
      </c>
      <c r="G1959" s="25"/>
      <c r="H1959" s="25"/>
      <c r="I1959" s="25"/>
      <c r="J1959" s="25" t="s">
        <v>2065</v>
      </c>
      <c r="AK1959" s="10">
        <v>523774</v>
      </c>
      <c r="AL1959" s="10">
        <v>45379</v>
      </c>
      <c r="AM1959" s="1">
        <v>904328</v>
      </c>
    </row>
    <row r="1960" spans="1:39" ht="18" hidden="1" customHeight="1" outlineLevel="2" x14ac:dyDescent="0.2">
      <c r="A1960" s="25"/>
      <c r="B1960" s="25"/>
      <c r="C1960" s="25"/>
      <c r="D1960" s="25"/>
      <c r="E1960" s="25" t="s">
        <v>3928</v>
      </c>
      <c r="F1960" s="25" t="s">
        <v>4020</v>
      </c>
      <c r="G1960" s="25"/>
      <c r="H1960" s="25"/>
      <c r="I1960" s="25"/>
      <c r="J1960" s="25" t="s">
        <v>2065</v>
      </c>
      <c r="AK1960" s="10">
        <v>523775</v>
      </c>
      <c r="AL1960" s="10">
        <v>45387</v>
      </c>
      <c r="AM1960" s="1">
        <v>904264</v>
      </c>
    </row>
    <row r="1961" spans="1:39" ht="18" hidden="1" customHeight="1" outlineLevel="2" x14ac:dyDescent="0.2">
      <c r="A1961" s="25"/>
      <c r="B1961" s="25"/>
      <c r="C1961" s="25"/>
      <c r="D1961" s="25"/>
      <c r="E1961" s="25" t="s">
        <v>3928</v>
      </c>
      <c r="F1961" s="25" t="s">
        <v>4022</v>
      </c>
      <c r="G1961" s="25"/>
      <c r="H1961" s="25"/>
      <c r="I1961" s="25"/>
      <c r="J1961" s="25" t="s">
        <v>2065</v>
      </c>
      <c r="AK1961" s="10">
        <v>523776</v>
      </c>
      <c r="AL1961" s="10">
        <v>45395</v>
      </c>
      <c r="AM1961" s="10">
        <v>904284</v>
      </c>
    </row>
    <row r="1962" spans="1:39" ht="18" hidden="1" customHeight="1" outlineLevel="2" x14ac:dyDescent="0.2">
      <c r="A1962" s="25"/>
      <c r="B1962" s="25"/>
      <c r="C1962" s="25"/>
      <c r="D1962" s="25"/>
      <c r="E1962" s="25" t="s">
        <v>3928</v>
      </c>
      <c r="F1962" s="25" t="s">
        <v>4055</v>
      </c>
      <c r="G1962" s="25"/>
      <c r="H1962" s="25"/>
      <c r="I1962" s="25"/>
      <c r="J1962" s="25" t="s">
        <v>2065</v>
      </c>
      <c r="AK1962" s="10">
        <v>523777</v>
      </c>
      <c r="AL1962" s="10">
        <v>45402</v>
      </c>
      <c r="AM1962" s="10">
        <v>904271</v>
      </c>
    </row>
    <row r="1963" spans="1:39" ht="18" hidden="1" customHeight="1" outlineLevel="2" x14ac:dyDescent="0.2">
      <c r="A1963" s="25"/>
      <c r="B1963" s="25"/>
      <c r="C1963" s="25"/>
      <c r="D1963" s="25"/>
      <c r="E1963" s="25" t="s">
        <v>3928</v>
      </c>
      <c r="F1963" s="25" t="s">
        <v>4056</v>
      </c>
      <c r="G1963" s="25"/>
      <c r="H1963" s="25"/>
      <c r="I1963" s="25"/>
      <c r="J1963" s="25" t="s">
        <v>2065</v>
      </c>
      <c r="AK1963" s="10">
        <v>523778</v>
      </c>
      <c r="AL1963" s="10">
        <v>45410</v>
      </c>
      <c r="AM1963" s="10">
        <v>904265</v>
      </c>
    </row>
    <row r="1964" spans="1:39" ht="18" hidden="1" customHeight="1" outlineLevel="2" x14ac:dyDescent="0.2">
      <c r="A1964" s="25"/>
      <c r="B1964" s="25"/>
      <c r="C1964" s="25"/>
      <c r="D1964" s="25"/>
      <c r="E1964" s="25" t="s">
        <v>3928</v>
      </c>
      <c r="F1964" s="25" t="s">
        <v>4057</v>
      </c>
      <c r="G1964" s="25"/>
      <c r="H1964" s="25"/>
      <c r="I1964" s="25"/>
      <c r="J1964" s="25" t="s">
        <v>2065</v>
      </c>
      <c r="AK1964" s="10">
        <v>523782</v>
      </c>
      <c r="AL1964" s="10">
        <v>45428</v>
      </c>
      <c r="AM1964" s="10">
        <v>904266</v>
      </c>
    </row>
    <row r="1965" spans="1:39" ht="18" hidden="1" customHeight="1" outlineLevel="2" x14ac:dyDescent="0.2">
      <c r="A1965" s="25"/>
      <c r="B1965" s="25"/>
      <c r="C1965" s="25"/>
      <c r="D1965" s="25"/>
      <c r="E1965" s="25" t="s">
        <v>3928</v>
      </c>
      <c r="F1965" s="25" t="s">
        <v>4058</v>
      </c>
      <c r="G1965" s="25"/>
      <c r="H1965" s="25"/>
      <c r="I1965" s="25"/>
      <c r="J1965" s="25" t="s">
        <v>2065</v>
      </c>
      <c r="AK1965" s="10">
        <v>523779</v>
      </c>
      <c r="AL1965" s="10">
        <v>45436</v>
      </c>
      <c r="AM1965" s="10">
        <v>904267</v>
      </c>
    </row>
    <row r="1966" spans="1:39" ht="18" hidden="1" customHeight="1" outlineLevel="2" x14ac:dyDescent="0.2">
      <c r="A1966" s="25"/>
      <c r="B1966" s="25"/>
      <c r="C1966" s="25"/>
      <c r="D1966" s="25"/>
      <c r="E1966" s="25" t="s">
        <v>3928</v>
      </c>
      <c r="F1966" s="25" t="s">
        <v>4059</v>
      </c>
      <c r="G1966" s="25"/>
      <c r="H1966" s="25"/>
      <c r="I1966" s="25"/>
      <c r="J1966" s="25" t="s">
        <v>2065</v>
      </c>
      <c r="AK1966" s="10">
        <v>523783</v>
      </c>
      <c r="AL1966" s="10">
        <v>45444</v>
      </c>
      <c r="AM1966" s="10">
        <v>904268</v>
      </c>
    </row>
    <row r="1967" spans="1:39" ht="18" hidden="1" customHeight="1" outlineLevel="2" x14ac:dyDescent="0.2">
      <c r="A1967" s="25"/>
      <c r="B1967" s="25"/>
      <c r="C1967" s="25"/>
      <c r="D1967" s="25"/>
      <c r="E1967" s="25"/>
      <c r="F1967" s="25"/>
      <c r="G1967" s="25"/>
      <c r="H1967" s="25"/>
      <c r="I1967" s="25"/>
      <c r="AK1967" s="10"/>
      <c r="AL1967" s="10"/>
      <c r="AM1967" s="10"/>
    </row>
    <row r="1968" spans="1:39" ht="18" hidden="1" customHeight="1" outlineLevel="1" collapsed="1" x14ac:dyDescent="0.2">
      <c r="A1968" s="119" t="s">
        <v>124</v>
      </c>
      <c r="B1968" s="120"/>
      <c r="C1968" s="120"/>
      <c r="D1968" s="120"/>
      <c r="E1968" s="120"/>
      <c r="F1968" s="120"/>
      <c r="G1968" s="120"/>
      <c r="H1968" s="120"/>
      <c r="I1968" s="120"/>
      <c r="J1968" s="120"/>
      <c r="K1968" s="120"/>
      <c r="L1968" s="160"/>
      <c r="AK1968" s="10"/>
      <c r="AL1968" s="10"/>
      <c r="AM1968" s="10"/>
    </row>
    <row r="1969" spans="1:39" ht="18" hidden="1" customHeight="1" outlineLevel="2" x14ac:dyDescent="0.2">
      <c r="A1969" s="25"/>
      <c r="B1969" s="25"/>
      <c r="C1969" s="25"/>
      <c r="D1969" s="25"/>
      <c r="E1969" s="25" t="s">
        <v>3938</v>
      </c>
      <c r="F1969" s="25" t="s">
        <v>3929</v>
      </c>
      <c r="G1969" s="25"/>
      <c r="H1969" s="25"/>
      <c r="I1969" s="25"/>
      <c r="J1969" s="25" t="s">
        <v>57</v>
      </c>
      <c r="AK1969" s="10">
        <v>543402</v>
      </c>
      <c r="AL1969" s="10">
        <v>657306</v>
      </c>
      <c r="AM1969" s="10">
        <v>16001</v>
      </c>
    </row>
    <row r="1970" spans="1:39" ht="18" hidden="1" customHeight="1" outlineLevel="2" x14ac:dyDescent="0.2">
      <c r="A1970" s="25"/>
      <c r="B1970" s="25"/>
      <c r="C1970" s="25"/>
      <c r="D1970" s="25"/>
      <c r="E1970" s="25" t="s">
        <v>3938</v>
      </c>
      <c r="F1970" s="25" t="s">
        <v>3939</v>
      </c>
      <c r="G1970" s="25"/>
      <c r="H1970" s="25"/>
      <c r="I1970" s="25"/>
      <c r="J1970" s="25" t="s">
        <v>57</v>
      </c>
      <c r="AK1970" s="10">
        <v>523792</v>
      </c>
      <c r="AL1970" s="10">
        <v>657322</v>
      </c>
      <c r="AM1970" s="10">
        <v>16002</v>
      </c>
    </row>
    <row r="1971" spans="1:39" ht="18" hidden="1" customHeight="1" outlineLevel="2" x14ac:dyDescent="0.2">
      <c r="A1971" s="25"/>
      <c r="B1971" s="25"/>
      <c r="C1971" s="25"/>
      <c r="D1971" s="25"/>
      <c r="E1971" s="25" t="s">
        <v>3938</v>
      </c>
      <c r="F1971" s="25" t="s">
        <v>3930</v>
      </c>
      <c r="G1971" s="25"/>
      <c r="H1971" s="25"/>
      <c r="I1971" s="25"/>
      <c r="J1971" s="25" t="s">
        <v>57</v>
      </c>
      <c r="AK1971" s="10">
        <v>523793</v>
      </c>
      <c r="AL1971" s="10">
        <v>657348</v>
      </c>
      <c r="AM1971" s="10">
        <v>16003</v>
      </c>
    </row>
    <row r="1972" spans="1:39" ht="18" hidden="1" customHeight="1" outlineLevel="2" x14ac:dyDescent="0.2">
      <c r="A1972" s="25"/>
      <c r="B1972" s="25"/>
      <c r="C1972" s="25"/>
      <c r="D1972" s="25"/>
      <c r="E1972" s="25" t="s">
        <v>3938</v>
      </c>
      <c r="F1972" s="25" t="s">
        <v>3931</v>
      </c>
      <c r="G1972" s="25"/>
      <c r="H1972" s="25"/>
      <c r="I1972" s="25"/>
      <c r="J1972" s="25" t="s">
        <v>57</v>
      </c>
      <c r="AK1972" s="10">
        <v>523794</v>
      </c>
      <c r="AL1972" s="10">
        <v>657364</v>
      </c>
      <c r="AM1972" s="10">
        <v>16005</v>
      </c>
    </row>
    <row r="1973" spans="1:39" ht="18" hidden="1" customHeight="1" outlineLevel="2" x14ac:dyDescent="0.2">
      <c r="A1973" s="25"/>
      <c r="B1973" s="25"/>
      <c r="C1973" s="25"/>
      <c r="D1973" s="25"/>
      <c r="E1973" s="25" t="s">
        <v>3938</v>
      </c>
      <c r="F1973" s="25" t="s">
        <v>3932</v>
      </c>
      <c r="G1973" s="25"/>
      <c r="H1973" s="25"/>
      <c r="I1973" s="25"/>
      <c r="J1973" s="25" t="s">
        <v>57</v>
      </c>
      <c r="AK1973" s="10">
        <v>523795</v>
      </c>
      <c r="AL1973" s="10">
        <v>657380</v>
      </c>
      <c r="AM1973" s="10">
        <v>16007</v>
      </c>
    </row>
    <row r="1974" spans="1:39" ht="18" hidden="1" customHeight="1" outlineLevel="2" x14ac:dyDescent="0.2">
      <c r="A1974" s="25"/>
      <c r="B1974" s="25"/>
      <c r="C1974" s="25"/>
      <c r="D1974" s="25"/>
      <c r="E1974" s="25" t="s">
        <v>3938</v>
      </c>
      <c r="F1974" s="25" t="s">
        <v>3933</v>
      </c>
      <c r="G1974" s="25"/>
      <c r="H1974" s="25"/>
      <c r="I1974" s="25"/>
      <c r="J1974" s="25" t="s">
        <v>57</v>
      </c>
      <c r="AK1974" s="10">
        <v>523135</v>
      </c>
      <c r="AL1974" s="10">
        <v>657405</v>
      </c>
      <c r="AM1974" s="10">
        <v>16008</v>
      </c>
    </row>
    <row r="1975" spans="1:39" ht="18" hidden="1" customHeight="1" outlineLevel="2" x14ac:dyDescent="0.2">
      <c r="A1975" s="25"/>
      <c r="B1975" s="25"/>
      <c r="C1975" s="25"/>
      <c r="D1975" s="25"/>
      <c r="E1975" s="25"/>
      <c r="F1975" s="25"/>
      <c r="G1975" s="25"/>
      <c r="H1975" s="25"/>
      <c r="I1975" s="25"/>
      <c r="AK1975" s="10"/>
      <c r="AL1975" s="10"/>
      <c r="AM1975" s="10"/>
    </row>
    <row r="1976" spans="1:39" ht="18" hidden="1" customHeight="1" outlineLevel="2" x14ac:dyDescent="0.2">
      <c r="A1976" s="25"/>
      <c r="B1976" s="25"/>
      <c r="C1976" s="25"/>
      <c r="D1976" s="25"/>
      <c r="E1976" s="78" t="s">
        <v>3940</v>
      </c>
      <c r="F1976" s="20" t="s">
        <v>3929</v>
      </c>
      <c r="G1976" s="25"/>
      <c r="H1976" s="25"/>
      <c r="I1976" s="25"/>
      <c r="J1976" s="25" t="s">
        <v>57</v>
      </c>
      <c r="AK1976" s="10" t="s">
        <v>223</v>
      </c>
      <c r="AL1976" s="10">
        <v>658809</v>
      </c>
      <c r="AM1976" s="10">
        <v>16041</v>
      </c>
    </row>
    <row r="1977" spans="1:39" ht="18" hidden="1" customHeight="1" outlineLevel="2" x14ac:dyDescent="0.2">
      <c r="A1977" s="25"/>
      <c r="B1977" s="25"/>
      <c r="C1977" s="25"/>
      <c r="D1977" s="25"/>
      <c r="E1977" s="78" t="s">
        <v>3940</v>
      </c>
      <c r="F1977" s="20" t="s">
        <v>3939</v>
      </c>
      <c r="G1977" s="25"/>
      <c r="H1977" s="25"/>
      <c r="I1977" s="25"/>
      <c r="J1977" s="25" t="s">
        <v>57</v>
      </c>
      <c r="AK1977" s="10" t="s">
        <v>223</v>
      </c>
      <c r="AL1977" s="10">
        <v>658825</v>
      </c>
      <c r="AM1977" s="10">
        <v>16042</v>
      </c>
    </row>
    <row r="1978" spans="1:39" ht="18" hidden="1" customHeight="1" outlineLevel="2" x14ac:dyDescent="0.2">
      <c r="A1978" s="25"/>
      <c r="B1978" s="25"/>
      <c r="C1978" s="25"/>
      <c r="D1978" s="25"/>
      <c r="E1978" s="78" t="s">
        <v>3940</v>
      </c>
      <c r="F1978" s="77" t="s">
        <v>3930</v>
      </c>
      <c r="G1978" s="25"/>
      <c r="H1978" s="25"/>
      <c r="I1978" s="25" t="s">
        <v>4081</v>
      </c>
      <c r="J1978" s="25" t="s">
        <v>57</v>
      </c>
      <c r="AK1978" s="10">
        <v>524742</v>
      </c>
      <c r="AL1978" s="10">
        <v>658841</v>
      </c>
      <c r="AM1978" s="10">
        <v>16043</v>
      </c>
    </row>
    <row r="1979" spans="1:39" ht="18" hidden="1" customHeight="1" outlineLevel="2" x14ac:dyDescent="0.2">
      <c r="A1979" s="25"/>
      <c r="B1979" s="25"/>
      <c r="C1979" s="25"/>
      <c r="D1979" s="25"/>
      <c r="E1979" s="78" t="s">
        <v>3940</v>
      </c>
      <c r="F1979" s="11" t="s">
        <v>3931</v>
      </c>
      <c r="G1979" s="25"/>
      <c r="H1979" s="25"/>
      <c r="I1979" s="25" t="s">
        <v>4081</v>
      </c>
      <c r="J1979" s="25" t="s">
        <v>57</v>
      </c>
      <c r="AK1979" s="10">
        <v>524743</v>
      </c>
      <c r="AL1979" s="10">
        <v>658867</v>
      </c>
      <c r="AM1979" s="10">
        <v>16045</v>
      </c>
    </row>
    <row r="1980" spans="1:39" ht="18" hidden="1" customHeight="1" outlineLevel="2" x14ac:dyDescent="0.2">
      <c r="A1980" s="25"/>
      <c r="B1980" s="25"/>
      <c r="C1980" s="25"/>
      <c r="D1980" s="25"/>
      <c r="E1980" s="78" t="s">
        <v>3940</v>
      </c>
      <c r="F1980" s="11" t="s">
        <v>3932</v>
      </c>
      <c r="G1980" s="25"/>
      <c r="H1980" s="25"/>
      <c r="I1980" s="25" t="s">
        <v>4081</v>
      </c>
      <c r="J1980" s="25" t="s">
        <v>57</v>
      </c>
      <c r="AK1980" s="10">
        <v>524744</v>
      </c>
      <c r="AL1980" s="10">
        <v>658883</v>
      </c>
      <c r="AM1980" s="10">
        <v>16047</v>
      </c>
    </row>
    <row r="1981" spans="1:39" ht="18" hidden="1" customHeight="1" outlineLevel="2" x14ac:dyDescent="0.2">
      <c r="A1981" s="25"/>
      <c r="B1981" s="25"/>
      <c r="C1981" s="25"/>
      <c r="D1981" s="25"/>
      <c r="E1981" s="78" t="s">
        <v>3940</v>
      </c>
      <c r="F1981" s="11" t="s">
        <v>3933</v>
      </c>
      <c r="G1981" s="25"/>
      <c r="H1981" s="25"/>
      <c r="I1981" s="25" t="s">
        <v>4081</v>
      </c>
      <c r="J1981" s="25" t="s">
        <v>57</v>
      </c>
      <c r="AK1981" s="10">
        <v>524745</v>
      </c>
      <c r="AL1981" s="10">
        <v>658908</v>
      </c>
      <c r="AM1981" s="10">
        <v>16048</v>
      </c>
    </row>
    <row r="1982" spans="1:39" ht="18" hidden="1" customHeight="1" outlineLevel="2" x14ac:dyDescent="0.2">
      <c r="A1982" s="25"/>
      <c r="B1982" s="25"/>
      <c r="C1982" s="25"/>
      <c r="D1982" s="25"/>
      <c r="E1982" s="25"/>
      <c r="F1982" s="25"/>
      <c r="G1982" s="25"/>
      <c r="H1982" s="25"/>
      <c r="I1982" s="25"/>
      <c r="AK1982" s="10"/>
      <c r="AL1982" s="10"/>
      <c r="AM1982" s="10"/>
    </row>
    <row r="1983" spans="1:39" ht="18" hidden="1" customHeight="1" outlineLevel="1" collapsed="1" x14ac:dyDescent="0.25">
      <c r="A1983" s="119" t="s">
        <v>3941</v>
      </c>
      <c r="B1983" s="120"/>
      <c r="C1983" s="120"/>
      <c r="D1983" s="120"/>
      <c r="E1983" s="120"/>
      <c r="F1983" s="120"/>
      <c r="G1983" s="120"/>
      <c r="H1983" s="120"/>
      <c r="I1983" s="120"/>
      <c r="J1983" s="120"/>
      <c r="K1983" s="120"/>
      <c r="L1983" s="160"/>
      <c r="O1983"/>
      <c r="AK1983" s="10"/>
      <c r="AL1983" s="10"/>
      <c r="AM1983" s="10"/>
    </row>
    <row r="1984" spans="1:39" ht="18" hidden="1" customHeight="1" outlineLevel="2" x14ac:dyDescent="0.25">
      <c r="A1984" s="25"/>
      <c r="B1984" s="25"/>
      <c r="C1984" s="25"/>
      <c r="D1984" s="25"/>
      <c r="E1984" s="78" t="s">
        <v>3942</v>
      </c>
      <c r="F1984" s="79" t="s">
        <v>3929</v>
      </c>
      <c r="G1984" s="25"/>
      <c r="H1984" s="25"/>
      <c r="I1984" s="25"/>
      <c r="O1984"/>
      <c r="AK1984" s="10">
        <v>547373</v>
      </c>
      <c r="AL1984" s="10" t="s">
        <v>4082</v>
      </c>
      <c r="AM1984" s="10">
        <v>860479</v>
      </c>
    </row>
    <row r="1985" spans="1:39" ht="18" hidden="1" customHeight="1" outlineLevel="2" x14ac:dyDescent="0.25">
      <c r="A1985" s="25"/>
      <c r="B1985" s="25"/>
      <c r="C1985" s="25"/>
      <c r="D1985" s="25"/>
      <c r="E1985" s="78" t="s">
        <v>3942</v>
      </c>
      <c r="F1985" s="77" t="s">
        <v>3930</v>
      </c>
      <c r="G1985" s="25"/>
      <c r="H1985" s="25"/>
      <c r="I1985" s="25"/>
      <c r="O1985"/>
      <c r="AK1985" s="10">
        <v>529601</v>
      </c>
      <c r="AL1985" s="10" t="s">
        <v>4083</v>
      </c>
      <c r="AM1985" s="10">
        <v>867766</v>
      </c>
    </row>
    <row r="1986" spans="1:39" ht="18" hidden="1" customHeight="1" outlineLevel="2" x14ac:dyDescent="0.25">
      <c r="A1986" s="25"/>
      <c r="B1986" s="25"/>
      <c r="C1986" s="25"/>
      <c r="D1986" s="25"/>
      <c r="E1986" s="78" t="s">
        <v>3942</v>
      </c>
      <c r="F1986" s="11" t="s">
        <v>3931</v>
      </c>
      <c r="G1986" s="25"/>
      <c r="H1986" s="25"/>
      <c r="I1986" s="25"/>
      <c r="O1986"/>
      <c r="AK1986" s="10">
        <v>529602</v>
      </c>
      <c r="AL1986" s="10" t="s">
        <v>4084</v>
      </c>
      <c r="AM1986" s="10">
        <v>867767</v>
      </c>
    </row>
    <row r="1987" spans="1:39" ht="18" hidden="1" customHeight="1" outlineLevel="2" x14ac:dyDescent="0.2">
      <c r="A1987" s="25"/>
      <c r="B1987" s="25"/>
      <c r="C1987" s="25"/>
      <c r="D1987" s="25"/>
      <c r="E1987" s="78" t="s">
        <v>3942</v>
      </c>
      <c r="F1987" s="11" t="s">
        <v>3932</v>
      </c>
      <c r="G1987" s="25"/>
      <c r="H1987" s="25"/>
      <c r="I1987" s="25"/>
      <c r="AK1987" s="10">
        <v>529603</v>
      </c>
      <c r="AL1987" s="10" t="s">
        <v>4085</v>
      </c>
      <c r="AM1987" s="10">
        <v>867768</v>
      </c>
    </row>
    <row r="1988" spans="1:39" ht="18" hidden="1" customHeight="1" outlineLevel="2" x14ac:dyDescent="0.2">
      <c r="A1988" s="25"/>
      <c r="B1988" s="25"/>
      <c r="C1988" s="25"/>
      <c r="D1988" s="25"/>
      <c r="E1988" s="78" t="s">
        <v>3942</v>
      </c>
      <c r="F1988" s="11" t="s">
        <v>3933</v>
      </c>
      <c r="G1988" s="25"/>
      <c r="H1988" s="25"/>
      <c r="I1988" s="25"/>
      <c r="AK1988" s="10">
        <v>529604</v>
      </c>
      <c r="AL1988" s="10" t="s">
        <v>4086</v>
      </c>
      <c r="AM1988" s="10">
        <v>867769</v>
      </c>
    </row>
    <row r="1989" spans="1:39" ht="18" hidden="1" customHeight="1" outlineLevel="2" x14ac:dyDescent="0.2">
      <c r="A1989" s="25"/>
      <c r="B1989" s="25"/>
      <c r="C1989" s="25"/>
      <c r="D1989" s="25"/>
      <c r="E1989" s="78" t="s">
        <v>3942</v>
      </c>
      <c r="F1989" s="11" t="s">
        <v>3934</v>
      </c>
      <c r="G1989" s="25"/>
      <c r="H1989" s="25"/>
      <c r="I1989" s="25"/>
      <c r="AK1989" s="10">
        <v>529605</v>
      </c>
      <c r="AL1989" s="10" t="s">
        <v>4087</v>
      </c>
      <c r="AM1989" s="10">
        <v>867770</v>
      </c>
    </row>
    <row r="1990" spans="1:39" ht="18" hidden="1" customHeight="1" outlineLevel="2" x14ac:dyDescent="0.2">
      <c r="A1990" s="25"/>
      <c r="B1990" s="25"/>
      <c r="C1990" s="25"/>
      <c r="D1990" s="25"/>
      <c r="E1990" s="78" t="s">
        <v>3942</v>
      </c>
      <c r="F1990" s="11" t="s">
        <v>3935</v>
      </c>
      <c r="G1990" s="25"/>
      <c r="H1990" s="25"/>
      <c r="I1990" s="25"/>
      <c r="AK1990" s="10">
        <v>529606</v>
      </c>
      <c r="AL1990" s="10" t="s">
        <v>4088</v>
      </c>
      <c r="AM1990" s="10">
        <v>867771</v>
      </c>
    </row>
    <row r="1991" spans="1:39" ht="18" hidden="1" customHeight="1" outlineLevel="2" x14ac:dyDescent="0.2">
      <c r="A1991" s="25"/>
      <c r="B1991" s="25"/>
      <c r="C1991" s="25"/>
      <c r="D1991" s="25"/>
      <c r="E1991" s="78" t="s">
        <v>3942</v>
      </c>
      <c r="F1991" s="11" t="s">
        <v>3936</v>
      </c>
      <c r="G1991" s="25"/>
      <c r="H1991" s="25"/>
      <c r="I1991" s="25"/>
      <c r="AK1991" s="10">
        <v>529607</v>
      </c>
      <c r="AL1991" s="10" t="s">
        <v>4089</v>
      </c>
      <c r="AM1991" s="10">
        <v>867772</v>
      </c>
    </row>
    <row r="1992" spans="1:39" ht="18" hidden="1" customHeight="1" outlineLevel="2" x14ac:dyDescent="0.2">
      <c r="A1992" s="25"/>
      <c r="B1992" s="25"/>
      <c r="C1992" s="25"/>
      <c r="D1992" s="25"/>
      <c r="E1992" s="78" t="s">
        <v>3942</v>
      </c>
      <c r="F1992" s="11" t="s">
        <v>3937</v>
      </c>
      <c r="G1992" s="25"/>
      <c r="H1992" s="25"/>
      <c r="I1992" s="25"/>
      <c r="AK1992" s="10">
        <v>529608</v>
      </c>
      <c r="AL1992" s="10" t="s">
        <v>4090</v>
      </c>
      <c r="AM1992" s="10">
        <v>866658</v>
      </c>
    </row>
    <row r="1993" spans="1:39" ht="18" hidden="1" customHeight="1" outlineLevel="2" x14ac:dyDescent="0.2">
      <c r="A1993" s="25"/>
      <c r="B1993" s="25"/>
      <c r="C1993" s="25"/>
      <c r="D1993" s="25"/>
      <c r="E1993" s="78"/>
      <c r="F1993" s="20"/>
      <c r="G1993" s="25"/>
      <c r="H1993" s="25"/>
      <c r="I1993" s="25"/>
      <c r="AK1993" s="10"/>
      <c r="AL1993" s="10"/>
      <c r="AM1993" s="10"/>
    </row>
    <row r="1994" spans="1:39" ht="18" hidden="1" customHeight="1" outlineLevel="2" x14ac:dyDescent="0.2">
      <c r="A1994" s="25"/>
      <c r="B1994" s="25"/>
      <c r="C1994" s="25"/>
      <c r="D1994" s="25"/>
      <c r="E1994" s="78" t="s">
        <v>3943</v>
      </c>
      <c r="F1994" s="79" t="s">
        <v>3929</v>
      </c>
      <c r="G1994" s="25"/>
      <c r="H1994" s="25"/>
      <c r="I1994" s="25"/>
      <c r="AK1994" s="10">
        <v>547600</v>
      </c>
      <c r="AL1994" s="10" t="s">
        <v>4091</v>
      </c>
      <c r="AM1994" s="10">
        <v>934622</v>
      </c>
    </row>
    <row r="1995" spans="1:39" ht="18" hidden="1" customHeight="1" outlineLevel="2" x14ac:dyDescent="0.2">
      <c r="A1995" s="25"/>
      <c r="B1995" s="25"/>
      <c r="C1995" s="25"/>
      <c r="D1995" s="25"/>
      <c r="E1995" s="78" t="s">
        <v>3943</v>
      </c>
      <c r="F1995" s="77" t="s">
        <v>3930</v>
      </c>
      <c r="G1995" s="25"/>
      <c r="H1995" s="25"/>
      <c r="I1995" s="25"/>
      <c r="AK1995" s="10">
        <v>529651</v>
      </c>
      <c r="AL1995" s="10" t="s">
        <v>4092</v>
      </c>
      <c r="AM1995" s="10">
        <v>867758</v>
      </c>
    </row>
    <row r="1996" spans="1:39" ht="18" hidden="1" customHeight="1" outlineLevel="2" x14ac:dyDescent="0.2">
      <c r="A1996" s="25"/>
      <c r="B1996" s="25"/>
      <c r="C1996" s="25"/>
      <c r="D1996" s="25"/>
      <c r="E1996" s="78" t="s">
        <v>3943</v>
      </c>
      <c r="F1996" s="11" t="s">
        <v>3931</v>
      </c>
      <c r="G1996" s="25"/>
      <c r="H1996" s="25"/>
      <c r="I1996" s="25"/>
      <c r="AK1996" s="10">
        <v>529652</v>
      </c>
      <c r="AL1996" s="10" t="s">
        <v>4093</v>
      </c>
      <c r="AM1996" s="10">
        <v>867759</v>
      </c>
    </row>
    <row r="1997" spans="1:39" ht="18" hidden="1" customHeight="1" outlineLevel="2" x14ac:dyDescent="0.2">
      <c r="A1997" s="25"/>
      <c r="B1997" s="25"/>
      <c r="C1997" s="25"/>
      <c r="D1997" s="25"/>
      <c r="E1997" s="78" t="s">
        <v>3943</v>
      </c>
      <c r="F1997" s="11" t="s">
        <v>3932</v>
      </c>
      <c r="G1997" s="25"/>
      <c r="H1997" s="25"/>
      <c r="I1997" s="25"/>
      <c r="AK1997" s="10">
        <v>529653</v>
      </c>
      <c r="AL1997" s="10" t="s">
        <v>4094</v>
      </c>
      <c r="AM1997" s="10">
        <v>867760</v>
      </c>
    </row>
    <row r="1998" spans="1:39" ht="18" hidden="1" customHeight="1" outlineLevel="2" x14ac:dyDescent="0.2">
      <c r="A1998" s="25"/>
      <c r="B1998" s="25"/>
      <c r="C1998" s="25"/>
      <c r="D1998" s="25"/>
      <c r="E1998" s="78" t="s">
        <v>3943</v>
      </c>
      <c r="F1998" s="11" t="s">
        <v>3933</v>
      </c>
      <c r="G1998" s="25"/>
      <c r="H1998" s="25"/>
      <c r="I1998" s="25"/>
      <c r="AK1998" s="10">
        <v>529654</v>
      </c>
      <c r="AL1998" s="10" t="s">
        <v>4095</v>
      </c>
      <c r="AM1998" s="10">
        <v>867761</v>
      </c>
    </row>
    <row r="1999" spans="1:39" ht="18" hidden="1" customHeight="1" outlineLevel="2" x14ac:dyDescent="0.2">
      <c r="A1999" s="25"/>
      <c r="B1999" s="25"/>
      <c r="C1999" s="25"/>
      <c r="D1999" s="25"/>
      <c r="E1999" s="78" t="s">
        <v>3943</v>
      </c>
      <c r="F1999" s="11" t="s">
        <v>3934</v>
      </c>
      <c r="G1999" s="25"/>
      <c r="H1999" s="25"/>
      <c r="I1999" s="25"/>
      <c r="AK1999" s="10">
        <v>529655</v>
      </c>
      <c r="AL1999" s="10" t="s">
        <v>4096</v>
      </c>
      <c r="AM1999" s="10">
        <v>867762</v>
      </c>
    </row>
    <row r="2000" spans="1:39" ht="18" hidden="1" customHeight="1" outlineLevel="2" x14ac:dyDescent="0.2">
      <c r="A2000" s="25"/>
      <c r="B2000" s="25"/>
      <c r="C2000" s="25"/>
      <c r="D2000" s="25"/>
      <c r="E2000" s="78" t="s">
        <v>3943</v>
      </c>
      <c r="F2000" s="11" t="s">
        <v>3935</v>
      </c>
      <c r="G2000" s="25"/>
      <c r="H2000" s="25"/>
      <c r="I2000" s="25"/>
      <c r="AK2000" s="10">
        <v>529656</v>
      </c>
      <c r="AL2000" s="10" t="s">
        <v>4097</v>
      </c>
      <c r="AM2000" s="10">
        <v>867763</v>
      </c>
    </row>
    <row r="2001" spans="1:39" ht="18" hidden="1" customHeight="1" outlineLevel="2" x14ac:dyDescent="0.2">
      <c r="A2001" s="25"/>
      <c r="B2001" s="25"/>
      <c r="C2001" s="25"/>
      <c r="D2001" s="25"/>
      <c r="E2001" s="78" t="s">
        <v>3943</v>
      </c>
      <c r="F2001" s="11" t="s">
        <v>3936</v>
      </c>
      <c r="G2001" s="25"/>
      <c r="H2001" s="25"/>
      <c r="I2001" s="25"/>
      <c r="AK2001" s="10">
        <v>529657</v>
      </c>
      <c r="AL2001" s="10" t="s">
        <v>4098</v>
      </c>
      <c r="AM2001" s="10">
        <v>867764</v>
      </c>
    </row>
    <row r="2002" spans="1:39" ht="18" hidden="1" customHeight="1" outlineLevel="2" x14ac:dyDescent="0.2">
      <c r="A2002" s="25"/>
      <c r="B2002" s="25"/>
      <c r="C2002" s="25"/>
      <c r="D2002" s="25"/>
      <c r="E2002" s="78" t="s">
        <v>3943</v>
      </c>
      <c r="F2002" s="11" t="s">
        <v>3937</v>
      </c>
      <c r="G2002" s="25"/>
      <c r="H2002" s="25"/>
      <c r="I2002" s="25"/>
      <c r="AK2002" s="10">
        <v>529658</v>
      </c>
      <c r="AL2002" s="10" t="s">
        <v>4099</v>
      </c>
      <c r="AM2002" s="10">
        <v>866661</v>
      </c>
    </row>
    <row r="2003" spans="1:39" ht="18" hidden="1" customHeight="1" outlineLevel="2" x14ac:dyDescent="0.2">
      <c r="A2003" s="25"/>
      <c r="B2003" s="25"/>
      <c r="C2003" s="25"/>
      <c r="D2003" s="25"/>
      <c r="E2003" s="78"/>
      <c r="F2003" s="11"/>
      <c r="G2003" s="25"/>
      <c r="H2003" s="25"/>
      <c r="I2003" s="25"/>
      <c r="AK2003" s="10"/>
      <c r="AL2003" s="10"/>
      <c r="AM2003" s="10"/>
    </row>
    <row r="2004" spans="1:39" ht="18" hidden="1" customHeight="1" outlineLevel="2" x14ac:dyDescent="0.2">
      <c r="A2004" s="25"/>
      <c r="B2004" s="25"/>
      <c r="C2004" s="25"/>
      <c r="D2004" s="25"/>
      <c r="E2004" s="78" t="s">
        <v>3944</v>
      </c>
      <c r="F2004" s="79" t="s">
        <v>3929</v>
      </c>
      <c r="G2004" s="25"/>
      <c r="H2004" s="25"/>
      <c r="I2004" s="25"/>
      <c r="AK2004" s="10"/>
      <c r="AL2004" s="10"/>
      <c r="AM2004" s="10"/>
    </row>
    <row r="2005" spans="1:39" ht="18" hidden="1" customHeight="1" outlineLevel="2" x14ac:dyDescent="0.2">
      <c r="A2005" s="25"/>
      <c r="B2005" s="25"/>
      <c r="C2005" s="25"/>
      <c r="D2005" s="25"/>
      <c r="E2005" s="78" t="s">
        <v>3944</v>
      </c>
      <c r="F2005" s="77" t="s">
        <v>3930</v>
      </c>
      <c r="G2005" s="25"/>
      <c r="H2005" s="25"/>
      <c r="I2005" s="25"/>
      <c r="AK2005" s="10">
        <v>529122</v>
      </c>
      <c r="AL2005" s="10" t="s">
        <v>223</v>
      </c>
      <c r="AM2005" s="10" t="s">
        <v>223</v>
      </c>
    </row>
    <row r="2006" spans="1:39" ht="18" hidden="1" customHeight="1" outlineLevel="2" x14ac:dyDescent="0.2">
      <c r="A2006" s="25"/>
      <c r="B2006" s="25"/>
      <c r="C2006" s="25"/>
      <c r="D2006" s="25"/>
      <c r="E2006" s="78" t="s">
        <v>3944</v>
      </c>
      <c r="F2006" s="11" t="s">
        <v>3931</v>
      </c>
      <c r="G2006" s="25"/>
      <c r="H2006" s="25"/>
      <c r="I2006" s="25"/>
      <c r="AK2006" s="10">
        <v>529121</v>
      </c>
      <c r="AL2006" s="10" t="s">
        <v>223</v>
      </c>
      <c r="AM2006" s="10" t="s">
        <v>223</v>
      </c>
    </row>
    <row r="2007" spans="1:39" ht="18" hidden="1" customHeight="1" outlineLevel="2" x14ac:dyDescent="0.2">
      <c r="A2007" s="25"/>
      <c r="B2007" s="25"/>
      <c r="C2007" s="25"/>
      <c r="D2007" s="25"/>
      <c r="E2007" s="78" t="s">
        <v>3944</v>
      </c>
      <c r="F2007" s="11" t="s">
        <v>3932</v>
      </c>
      <c r="G2007" s="25"/>
      <c r="H2007" s="25"/>
      <c r="I2007" s="25"/>
      <c r="AK2007" s="10">
        <v>529120</v>
      </c>
      <c r="AL2007" s="10" t="s">
        <v>223</v>
      </c>
      <c r="AM2007" s="10" t="s">
        <v>223</v>
      </c>
    </row>
    <row r="2008" spans="1:39" ht="18" hidden="1" customHeight="1" outlineLevel="2" x14ac:dyDescent="0.2">
      <c r="A2008" s="25"/>
      <c r="B2008" s="25"/>
      <c r="C2008" s="25"/>
      <c r="D2008" s="25"/>
      <c r="E2008" s="78" t="s">
        <v>3944</v>
      </c>
      <c r="F2008" s="11" t="s">
        <v>3933</v>
      </c>
      <c r="G2008" s="25"/>
      <c r="H2008" s="25"/>
      <c r="I2008" s="25"/>
      <c r="AK2008" s="10">
        <v>529119</v>
      </c>
      <c r="AL2008" s="10" t="s">
        <v>223</v>
      </c>
      <c r="AM2008" s="10" t="s">
        <v>223</v>
      </c>
    </row>
    <row r="2009" spans="1:39" ht="18" hidden="1" customHeight="1" outlineLevel="2" x14ac:dyDescent="0.2">
      <c r="A2009" s="25"/>
      <c r="B2009" s="25"/>
      <c r="C2009" s="25"/>
      <c r="D2009" s="25"/>
      <c r="E2009" s="78" t="s">
        <v>3944</v>
      </c>
      <c r="F2009" s="11" t="s">
        <v>3934</v>
      </c>
      <c r="G2009" s="25"/>
      <c r="H2009" s="25"/>
      <c r="I2009" s="25"/>
      <c r="AK2009" s="10">
        <v>529100</v>
      </c>
      <c r="AL2009" s="10" t="s">
        <v>223</v>
      </c>
      <c r="AM2009" s="10" t="s">
        <v>223</v>
      </c>
    </row>
    <row r="2010" spans="1:39" ht="18" hidden="1" customHeight="1" outlineLevel="2" x14ac:dyDescent="0.2">
      <c r="A2010" s="25"/>
      <c r="B2010" s="25"/>
      <c r="C2010" s="25"/>
      <c r="D2010" s="25"/>
      <c r="E2010" s="78" t="s">
        <v>3944</v>
      </c>
      <c r="F2010" s="11" t="s">
        <v>3935</v>
      </c>
      <c r="G2010" s="25"/>
      <c r="H2010" s="25"/>
      <c r="I2010" s="25"/>
      <c r="AK2010" s="10">
        <v>529118</v>
      </c>
      <c r="AL2010" s="10" t="s">
        <v>223</v>
      </c>
      <c r="AM2010" s="10" t="s">
        <v>223</v>
      </c>
    </row>
    <row r="2011" spans="1:39" ht="18" hidden="1" customHeight="1" outlineLevel="2" x14ac:dyDescent="0.2">
      <c r="A2011" s="25"/>
      <c r="B2011" s="25"/>
      <c r="C2011" s="25"/>
      <c r="D2011" s="25"/>
      <c r="E2011" s="78" t="s">
        <v>3944</v>
      </c>
      <c r="F2011" s="11" t="s">
        <v>3936</v>
      </c>
      <c r="G2011" s="25"/>
      <c r="H2011" s="25"/>
      <c r="I2011" s="25"/>
      <c r="AK2011" s="10">
        <v>529117</v>
      </c>
      <c r="AL2011" s="10" t="s">
        <v>223</v>
      </c>
      <c r="AM2011" s="10" t="s">
        <v>223</v>
      </c>
    </row>
    <row r="2012" spans="1:39" ht="18" hidden="1" customHeight="1" outlineLevel="2" x14ac:dyDescent="0.2">
      <c r="A2012" s="25"/>
      <c r="B2012" s="25"/>
      <c r="C2012" s="25"/>
      <c r="D2012" s="25"/>
      <c r="E2012" s="78" t="s">
        <v>3944</v>
      </c>
      <c r="F2012" s="11" t="s">
        <v>3937</v>
      </c>
      <c r="G2012" s="25"/>
      <c r="H2012" s="25"/>
      <c r="I2012" s="25"/>
      <c r="AK2012" s="10">
        <v>529116</v>
      </c>
      <c r="AL2012" s="10" t="s">
        <v>223</v>
      </c>
      <c r="AM2012" s="10" t="s">
        <v>223</v>
      </c>
    </row>
    <row r="2013" spans="1:39" ht="18" hidden="1" customHeight="1" outlineLevel="2" x14ac:dyDescent="0.2">
      <c r="A2013" s="25"/>
      <c r="B2013" s="25"/>
      <c r="C2013" s="25"/>
      <c r="D2013" s="25"/>
      <c r="E2013" s="25"/>
      <c r="F2013" s="25"/>
      <c r="G2013" s="25"/>
      <c r="H2013" s="25"/>
      <c r="I2013" s="25"/>
      <c r="AK2013" s="10"/>
      <c r="AL2013" s="10"/>
      <c r="AM2013" s="10"/>
    </row>
    <row r="2014" spans="1:39" ht="18" hidden="1" customHeight="1" outlineLevel="1" collapsed="1" x14ac:dyDescent="0.2">
      <c r="A2014" s="119" t="s">
        <v>3945</v>
      </c>
      <c r="B2014" s="120"/>
      <c r="C2014" s="120"/>
      <c r="D2014" s="120"/>
      <c r="E2014" s="120"/>
      <c r="F2014" s="120"/>
      <c r="G2014" s="120"/>
      <c r="H2014" s="120"/>
      <c r="I2014" s="120"/>
      <c r="J2014" s="120"/>
      <c r="K2014" s="120"/>
      <c r="L2014" s="160"/>
      <c r="AK2014" s="10"/>
      <c r="AL2014" s="10"/>
      <c r="AM2014" s="10"/>
    </row>
    <row r="2015" spans="1:39" ht="18" hidden="1" customHeight="1" outlineLevel="2" x14ac:dyDescent="0.2">
      <c r="A2015" s="25"/>
      <c r="B2015" s="25"/>
      <c r="C2015" s="25"/>
      <c r="D2015" s="25"/>
      <c r="E2015" s="25" t="s">
        <v>3965</v>
      </c>
      <c r="F2015" s="25" t="s">
        <v>3946</v>
      </c>
      <c r="G2015" s="25"/>
      <c r="H2015" s="25"/>
      <c r="I2015" s="25"/>
      <c r="AK2015" s="10">
        <v>529139</v>
      </c>
      <c r="AL2015" s="10" t="s">
        <v>4100</v>
      </c>
      <c r="AM2015" s="10">
        <v>864321</v>
      </c>
    </row>
    <row r="2016" spans="1:39" ht="18" hidden="1" customHeight="1" outlineLevel="2" x14ac:dyDescent="0.2">
      <c r="A2016" s="25"/>
      <c r="B2016" s="25"/>
      <c r="C2016" s="25"/>
      <c r="D2016" s="25"/>
      <c r="E2016" s="25" t="s">
        <v>3965</v>
      </c>
      <c r="F2016" s="25" t="s">
        <v>3947</v>
      </c>
      <c r="G2016" s="25"/>
      <c r="H2016" s="25"/>
      <c r="I2016" s="25"/>
      <c r="AK2016" s="10">
        <v>529400</v>
      </c>
      <c r="AL2016" s="10" t="s">
        <v>4101</v>
      </c>
      <c r="AM2016" s="10">
        <v>864628</v>
      </c>
    </row>
    <row r="2017" spans="1:39" ht="18" hidden="1" customHeight="1" outlineLevel="2" x14ac:dyDescent="0.2">
      <c r="A2017" s="25"/>
      <c r="B2017" s="25"/>
      <c r="C2017" s="25"/>
      <c r="D2017" s="25"/>
      <c r="E2017" s="25" t="s">
        <v>3965</v>
      </c>
      <c r="F2017" s="25" t="s">
        <v>3948</v>
      </c>
      <c r="G2017" s="25"/>
      <c r="H2017" s="25"/>
      <c r="I2017" s="25"/>
      <c r="AK2017" s="10">
        <v>529402</v>
      </c>
      <c r="AL2017" s="10" t="s">
        <v>4102</v>
      </c>
      <c r="AM2017" s="10">
        <v>867835</v>
      </c>
    </row>
    <row r="2018" spans="1:39" ht="18" hidden="1" customHeight="1" outlineLevel="2" x14ac:dyDescent="0.2">
      <c r="A2018" s="25"/>
      <c r="B2018" s="25"/>
      <c r="C2018" s="25"/>
      <c r="D2018" s="25"/>
      <c r="E2018" s="25" t="s">
        <v>3965</v>
      </c>
      <c r="F2018" s="25" t="s">
        <v>3949</v>
      </c>
      <c r="G2018" s="25"/>
      <c r="H2018" s="25"/>
      <c r="I2018" s="25"/>
      <c r="AK2018" s="10">
        <v>529404</v>
      </c>
      <c r="AL2018" s="10" t="s">
        <v>4103</v>
      </c>
      <c r="AM2018" s="10">
        <v>865686</v>
      </c>
    </row>
    <row r="2019" spans="1:39" ht="18" hidden="1" customHeight="1" outlineLevel="2" x14ac:dyDescent="0.2">
      <c r="A2019" s="25"/>
      <c r="B2019" s="25"/>
      <c r="C2019" s="25"/>
      <c r="D2019" s="25"/>
      <c r="E2019" s="25" t="s">
        <v>3965</v>
      </c>
      <c r="F2019" s="25" t="s">
        <v>3950</v>
      </c>
      <c r="G2019" s="25"/>
      <c r="H2019" s="25"/>
      <c r="I2019" s="25"/>
      <c r="AK2019" s="10">
        <v>529403</v>
      </c>
      <c r="AL2019" s="10" t="s">
        <v>4104</v>
      </c>
      <c r="AM2019" s="10">
        <v>865687</v>
      </c>
    </row>
    <row r="2020" spans="1:39" ht="18" hidden="1" customHeight="1" outlineLevel="2" x14ac:dyDescent="0.2">
      <c r="A2020" s="25"/>
      <c r="B2020" s="25"/>
      <c r="C2020" s="25"/>
      <c r="D2020" s="25"/>
      <c r="E2020" s="25" t="s">
        <v>3965</v>
      </c>
      <c r="F2020" s="25" t="s">
        <v>3951</v>
      </c>
      <c r="G2020" s="25"/>
      <c r="H2020" s="25"/>
      <c r="I2020" s="25"/>
      <c r="AK2020" s="10">
        <v>529407</v>
      </c>
      <c r="AL2020" s="10" t="s">
        <v>4105</v>
      </c>
      <c r="AM2020" s="10">
        <v>865697</v>
      </c>
    </row>
    <row r="2021" spans="1:39" ht="18" hidden="1" customHeight="1" outlineLevel="2" x14ac:dyDescent="0.2">
      <c r="A2021" s="25"/>
      <c r="B2021" s="25"/>
      <c r="C2021" s="25"/>
      <c r="D2021" s="25"/>
      <c r="E2021" s="25" t="s">
        <v>3965</v>
      </c>
      <c r="F2021" s="25" t="s">
        <v>3952</v>
      </c>
      <c r="G2021" s="25"/>
      <c r="H2021" s="25"/>
      <c r="I2021" s="25"/>
      <c r="AK2021" s="10">
        <v>529406</v>
      </c>
      <c r="AL2021" s="10" t="s">
        <v>4106</v>
      </c>
      <c r="AM2021" s="10">
        <v>865688</v>
      </c>
    </row>
    <row r="2022" spans="1:39" ht="18" hidden="1" customHeight="1" outlineLevel="2" x14ac:dyDescent="0.2">
      <c r="A2022" s="25"/>
      <c r="B2022" s="25"/>
      <c r="C2022" s="25"/>
      <c r="D2022" s="25"/>
      <c r="E2022" s="25" t="s">
        <v>3965</v>
      </c>
      <c r="F2022" s="25" t="s">
        <v>3953</v>
      </c>
      <c r="G2022" s="25"/>
      <c r="H2022" s="25"/>
      <c r="I2022" s="25"/>
      <c r="AK2022" s="10">
        <v>529406</v>
      </c>
      <c r="AL2022" s="10" t="s">
        <v>4107</v>
      </c>
      <c r="AM2022" s="10">
        <v>865689</v>
      </c>
    </row>
    <row r="2023" spans="1:39" ht="18" hidden="1" customHeight="1" outlineLevel="2" x14ac:dyDescent="0.2">
      <c r="A2023" s="25"/>
      <c r="B2023" s="25"/>
      <c r="C2023" s="25"/>
      <c r="D2023" s="25"/>
      <c r="E2023" s="25" t="s">
        <v>3965</v>
      </c>
      <c r="F2023" s="25" t="s">
        <v>3954</v>
      </c>
      <c r="G2023" s="25"/>
      <c r="H2023" s="25"/>
      <c r="I2023" s="25"/>
      <c r="AK2023" s="10">
        <v>529411</v>
      </c>
      <c r="AL2023" s="10" t="s">
        <v>223</v>
      </c>
      <c r="AM2023" s="10">
        <v>408139</v>
      </c>
    </row>
    <row r="2024" spans="1:39" ht="18" hidden="1" customHeight="1" outlineLevel="2" x14ac:dyDescent="0.2">
      <c r="A2024" s="25"/>
      <c r="B2024" s="25"/>
      <c r="C2024" s="25"/>
      <c r="D2024" s="25"/>
      <c r="E2024" s="25" t="s">
        <v>3965</v>
      </c>
      <c r="F2024" s="25" t="s">
        <v>3955</v>
      </c>
      <c r="G2024" s="25"/>
      <c r="H2024" s="25"/>
      <c r="I2024" s="25"/>
      <c r="AK2024" s="10">
        <v>529410</v>
      </c>
      <c r="AL2024" s="10" t="s">
        <v>4108</v>
      </c>
      <c r="AM2024" s="10">
        <v>865690</v>
      </c>
    </row>
    <row r="2025" spans="1:39" ht="18" hidden="1" customHeight="1" outlineLevel="2" x14ac:dyDescent="0.2">
      <c r="A2025" s="25"/>
      <c r="B2025" s="25"/>
      <c r="C2025" s="25"/>
      <c r="D2025" s="25"/>
      <c r="E2025" s="25" t="s">
        <v>3965</v>
      </c>
      <c r="F2025" s="25" t="s">
        <v>3956</v>
      </c>
      <c r="G2025" s="25"/>
      <c r="H2025" s="25"/>
      <c r="I2025" s="25"/>
      <c r="AK2025" s="10">
        <v>529409</v>
      </c>
      <c r="AL2025" s="10" t="s">
        <v>4109</v>
      </c>
      <c r="AM2025" s="10">
        <v>865691</v>
      </c>
    </row>
    <row r="2026" spans="1:39" ht="18" hidden="1" customHeight="1" outlineLevel="2" x14ac:dyDescent="0.2">
      <c r="A2026" s="25"/>
      <c r="B2026" s="25"/>
      <c r="C2026" s="25"/>
      <c r="D2026" s="25"/>
      <c r="E2026" s="25" t="s">
        <v>3965</v>
      </c>
      <c r="F2026" s="25" t="s">
        <v>3957</v>
      </c>
      <c r="G2026" s="25"/>
      <c r="H2026" s="25"/>
      <c r="I2026" s="25"/>
      <c r="AK2026" s="10">
        <v>529408</v>
      </c>
      <c r="AL2026" s="10" t="s">
        <v>4110</v>
      </c>
      <c r="AM2026" s="10">
        <v>866463</v>
      </c>
    </row>
    <row r="2027" spans="1:39" ht="18" hidden="1" customHeight="1" outlineLevel="2" x14ac:dyDescent="0.2">
      <c r="A2027" s="25"/>
      <c r="B2027" s="25"/>
      <c r="C2027" s="25"/>
      <c r="D2027" s="25"/>
      <c r="E2027" s="25" t="s">
        <v>3965</v>
      </c>
      <c r="F2027" s="25" t="s">
        <v>3958</v>
      </c>
      <c r="G2027" s="25"/>
      <c r="H2027" s="25"/>
      <c r="I2027" s="25"/>
      <c r="AK2027" s="10">
        <v>529414</v>
      </c>
      <c r="AL2027" s="10" t="s">
        <v>4111</v>
      </c>
      <c r="AM2027" s="10">
        <v>866464</v>
      </c>
    </row>
    <row r="2028" spans="1:39" ht="18" hidden="1" customHeight="1" outlineLevel="2" x14ac:dyDescent="0.2">
      <c r="A2028" s="25"/>
      <c r="B2028" s="25"/>
      <c r="C2028" s="25"/>
      <c r="D2028" s="25"/>
      <c r="E2028" s="25" t="s">
        <v>3965</v>
      </c>
      <c r="F2028" s="25" t="s">
        <v>3959</v>
      </c>
      <c r="G2028" s="25"/>
      <c r="H2028" s="25"/>
      <c r="I2028" s="25"/>
      <c r="AK2028" s="10">
        <v>529413</v>
      </c>
      <c r="AL2028" s="10" t="s">
        <v>4112</v>
      </c>
      <c r="AM2028" s="10">
        <v>866465</v>
      </c>
    </row>
    <row r="2029" spans="1:39" ht="18" hidden="1" customHeight="1" outlineLevel="2" x14ac:dyDescent="0.2">
      <c r="A2029" s="25"/>
      <c r="B2029" s="25"/>
      <c r="C2029" s="25"/>
      <c r="D2029" s="25"/>
      <c r="E2029" s="25" t="s">
        <v>3965</v>
      </c>
      <c r="F2029" s="25" t="s">
        <v>3960</v>
      </c>
      <c r="G2029" s="25"/>
      <c r="H2029" s="25"/>
      <c r="I2029" s="25"/>
      <c r="AK2029" s="10">
        <v>529412</v>
      </c>
      <c r="AL2029" s="10" t="s">
        <v>4113</v>
      </c>
      <c r="AM2029" s="10">
        <v>866466</v>
      </c>
    </row>
    <row r="2030" spans="1:39" ht="18" hidden="1" customHeight="1" outlineLevel="2" x14ac:dyDescent="0.2">
      <c r="A2030" s="25"/>
      <c r="B2030" s="25"/>
      <c r="C2030" s="25"/>
      <c r="D2030" s="25"/>
      <c r="E2030" s="25" t="s">
        <v>3965</v>
      </c>
      <c r="F2030" s="25" t="s">
        <v>3961</v>
      </c>
      <c r="G2030" s="25"/>
      <c r="H2030" s="25"/>
      <c r="I2030" s="25"/>
      <c r="AK2030" s="10">
        <v>529419</v>
      </c>
      <c r="AL2030" s="10" t="s">
        <v>4114</v>
      </c>
      <c r="AM2030" s="10">
        <v>865693</v>
      </c>
    </row>
    <row r="2031" spans="1:39" ht="18" hidden="1" customHeight="1" outlineLevel="2" x14ac:dyDescent="0.2">
      <c r="A2031" s="25"/>
      <c r="B2031" s="25"/>
      <c r="C2031" s="25"/>
      <c r="D2031" s="25"/>
      <c r="E2031" s="25" t="s">
        <v>3965</v>
      </c>
      <c r="F2031" s="25" t="s">
        <v>3962</v>
      </c>
      <c r="G2031" s="25"/>
      <c r="H2031" s="25"/>
      <c r="I2031" s="25"/>
      <c r="AK2031" s="10">
        <v>529418</v>
      </c>
      <c r="AL2031" s="10" t="s">
        <v>4115</v>
      </c>
      <c r="AM2031" s="10">
        <v>865694</v>
      </c>
    </row>
    <row r="2032" spans="1:39" ht="18" hidden="1" customHeight="1" outlineLevel="2" x14ac:dyDescent="0.2">
      <c r="A2032" s="25"/>
      <c r="B2032" s="25"/>
      <c r="C2032" s="25"/>
      <c r="D2032" s="25"/>
      <c r="E2032" s="25" t="s">
        <v>3965</v>
      </c>
      <c r="F2032" s="25" t="s">
        <v>3963</v>
      </c>
      <c r="G2032" s="25"/>
      <c r="H2032" s="25"/>
      <c r="I2032" s="25"/>
      <c r="AK2032" s="10">
        <v>529417</v>
      </c>
      <c r="AL2032" s="10" t="s">
        <v>4116</v>
      </c>
      <c r="AM2032" s="10">
        <v>865695</v>
      </c>
    </row>
    <row r="2033" spans="1:39" ht="18" hidden="1" customHeight="1" outlineLevel="2" x14ac:dyDescent="0.2">
      <c r="A2033" s="25"/>
      <c r="B2033" s="25"/>
      <c r="C2033" s="25"/>
      <c r="D2033" s="25"/>
      <c r="E2033" s="25" t="s">
        <v>3965</v>
      </c>
      <c r="F2033" s="25" t="s">
        <v>3964</v>
      </c>
      <c r="G2033" s="25"/>
      <c r="H2033" s="25"/>
      <c r="I2033" s="25"/>
      <c r="AK2033" s="10">
        <v>529416</v>
      </c>
      <c r="AL2033" s="10" t="s">
        <v>4117</v>
      </c>
      <c r="AM2033" s="10">
        <v>865696</v>
      </c>
    </row>
    <row r="2034" spans="1:39" ht="18" hidden="1" customHeight="1" outlineLevel="2" x14ac:dyDescent="0.2">
      <c r="A2034" s="25"/>
      <c r="B2034" s="25"/>
      <c r="C2034" s="25"/>
      <c r="D2034" s="25"/>
      <c r="E2034" s="25"/>
      <c r="F2034" s="25"/>
      <c r="G2034" s="25"/>
      <c r="H2034" s="25"/>
      <c r="I2034" s="25"/>
      <c r="AK2034" s="10"/>
      <c r="AL2034" s="10"/>
      <c r="AM2034" s="10"/>
    </row>
    <row r="2035" spans="1:39" ht="18" hidden="1" customHeight="1" outlineLevel="1" collapsed="1" x14ac:dyDescent="0.2">
      <c r="A2035" s="119" t="s">
        <v>3966</v>
      </c>
      <c r="B2035" s="120"/>
      <c r="C2035" s="120"/>
      <c r="D2035" s="120"/>
      <c r="E2035" s="120"/>
      <c r="F2035" s="120"/>
      <c r="G2035" s="120"/>
      <c r="H2035" s="120"/>
      <c r="I2035" s="120"/>
      <c r="J2035" s="120"/>
      <c r="K2035" s="120"/>
      <c r="L2035" s="160"/>
      <c r="AK2035" s="10"/>
      <c r="AL2035" s="10"/>
      <c r="AM2035" s="10"/>
    </row>
    <row r="2036" spans="1:39" ht="18" hidden="1" customHeight="1" outlineLevel="2" x14ac:dyDescent="0.2">
      <c r="A2036" s="25"/>
      <c r="B2036" s="25"/>
      <c r="C2036" s="25"/>
      <c r="D2036" s="25"/>
      <c r="E2036" s="25" t="s">
        <v>3967</v>
      </c>
      <c r="F2036" s="25" t="s">
        <v>3929</v>
      </c>
      <c r="G2036" s="25"/>
      <c r="H2036" s="25"/>
      <c r="I2036" s="25"/>
      <c r="AK2036" s="10">
        <v>529126</v>
      </c>
      <c r="AL2036" s="10" t="s">
        <v>4118</v>
      </c>
      <c r="AM2036" s="10">
        <v>860368</v>
      </c>
    </row>
    <row r="2037" spans="1:39" ht="18" hidden="1" customHeight="1" outlineLevel="2" x14ac:dyDescent="0.2">
      <c r="A2037" s="25"/>
      <c r="B2037" s="25"/>
      <c r="C2037" s="25"/>
      <c r="D2037" s="25"/>
      <c r="E2037" s="25" t="s">
        <v>3967</v>
      </c>
      <c r="F2037" s="25" t="s">
        <v>3930</v>
      </c>
      <c r="G2037" s="25"/>
      <c r="H2037" s="25"/>
      <c r="I2037" s="25"/>
      <c r="AK2037" s="10">
        <v>529002</v>
      </c>
      <c r="AL2037" s="10" t="s">
        <v>4119</v>
      </c>
      <c r="AM2037" s="10">
        <v>867774</v>
      </c>
    </row>
    <row r="2038" spans="1:39" ht="18" hidden="1" customHeight="1" outlineLevel="2" x14ac:dyDescent="0.2">
      <c r="A2038" s="25"/>
      <c r="B2038" s="25"/>
      <c r="C2038" s="25"/>
      <c r="D2038" s="25"/>
      <c r="E2038" s="25" t="s">
        <v>3967</v>
      </c>
      <c r="F2038" s="25" t="s">
        <v>3931</v>
      </c>
      <c r="G2038" s="25"/>
      <c r="H2038" s="25"/>
      <c r="I2038" s="25"/>
      <c r="AK2038" s="10">
        <v>529005</v>
      </c>
      <c r="AL2038" s="10" t="s">
        <v>4120</v>
      </c>
      <c r="AM2038" s="10">
        <v>867775</v>
      </c>
    </row>
    <row r="2039" spans="1:39" ht="18" hidden="1" customHeight="1" outlineLevel="2" x14ac:dyDescent="0.2">
      <c r="A2039" s="25"/>
      <c r="B2039" s="25"/>
      <c r="C2039" s="25"/>
      <c r="D2039" s="25"/>
      <c r="E2039" s="25" t="s">
        <v>3967</v>
      </c>
      <c r="F2039" s="25" t="s">
        <v>3932</v>
      </c>
      <c r="G2039" s="25"/>
      <c r="H2039" s="25"/>
      <c r="I2039" s="25"/>
      <c r="AK2039" s="10">
        <v>529007</v>
      </c>
      <c r="AL2039" s="10" t="s">
        <v>4121</v>
      </c>
      <c r="AM2039" s="10">
        <v>867777</v>
      </c>
    </row>
    <row r="2040" spans="1:39" ht="18" hidden="1" customHeight="1" outlineLevel="2" x14ac:dyDescent="0.2">
      <c r="A2040" s="25"/>
      <c r="B2040" s="25"/>
      <c r="C2040" s="25"/>
      <c r="D2040" s="25"/>
      <c r="E2040" s="25" t="s">
        <v>3967</v>
      </c>
      <c r="F2040" s="25" t="s">
        <v>3933</v>
      </c>
      <c r="G2040" s="25"/>
      <c r="H2040" s="25"/>
      <c r="I2040" s="25"/>
      <c r="AK2040" s="10">
        <v>529010</v>
      </c>
      <c r="AL2040" s="10" t="s">
        <v>4122</v>
      </c>
      <c r="AM2040" s="10">
        <v>867780</v>
      </c>
    </row>
    <row r="2041" spans="1:39" ht="18" hidden="1" customHeight="1" outlineLevel="2" x14ac:dyDescent="0.2">
      <c r="A2041" s="25"/>
      <c r="B2041" s="25"/>
      <c r="C2041" s="25"/>
      <c r="D2041" s="25"/>
      <c r="E2041" s="25" t="s">
        <v>3967</v>
      </c>
      <c r="F2041" s="25" t="s">
        <v>3934</v>
      </c>
      <c r="G2041" s="25"/>
      <c r="H2041" s="25"/>
      <c r="I2041" s="25"/>
      <c r="AK2041" s="10">
        <v>529014</v>
      </c>
      <c r="AL2041" s="10" t="s">
        <v>4123</v>
      </c>
      <c r="AM2041" s="10">
        <v>867784</v>
      </c>
    </row>
    <row r="2042" spans="1:39" ht="18" hidden="1" customHeight="1" outlineLevel="2" x14ac:dyDescent="0.2">
      <c r="A2042" s="25"/>
      <c r="B2042" s="25"/>
      <c r="C2042" s="25"/>
      <c r="D2042" s="25"/>
      <c r="E2042" s="25" t="s">
        <v>3967</v>
      </c>
      <c r="F2042" s="25" t="s">
        <v>3935</v>
      </c>
      <c r="G2042" s="25"/>
      <c r="H2042" s="25"/>
      <c r="I2042" s="25"/>
      <c r="AK2042" s="10">
        <v>529019</v>
      </c>
      <c r="AL2042" s="10" t="s">
        <v>4124</v>
      </c>
      <c r="AM2042" s="10">
        <v>867789</v>
      </c>
    </row>
    <row r="2043" spans="1:39" ht="18" hidden="1" customHeight="1" outlineLevel="2" x14ac:dyDescent="0.2">
      <c r="A2043" s="25"/>
      <c r="B2043" s="25"/>
      <c r="C2043" s="25"/>
      <c r="D2043" s="25"/>
      <c r="E2043" s="25" t="s">
        <v>3967</v>
      </c>
      <c r="F2043" s="25" t="s">
        <v>3936</v>
      </c>
      <c r="G2043" s="25"/>
      <c r="H2043" s="25"/>
      <c r="I2043" s="25"/>
      <c r="AK2043" s="10">
        <v>529025</v>
      </c>
      <c r="AL2043" s="10" t="s">
        <v>4125</v>
      </c>
      <c r="AM2043" s="10">
        <v>864258</v>
      </c>
    </row>
    <row r="2044" spans="1:39" ht="18" hidden="1" customHeight="1" outlineLevel="2" x14ac:dyDescent="0.2">
      <c r="A2044" s="25"/>
      <c r="B2044" s="25"/>
      <c r="C2044" s="25"/>
      <c r="D2044" s="25"/>
      <c r="E2044" s="25"/>
      <c r="F2044" s="25"/>
      <c r="G2044" s="25"/>
      <c r="H2044" s="25"/>
      <c r="I2044" s="25"/>
      <c r="AK2044" s="10"/>
      <c r="AL2044" s="10"/>
      <c r="AM2044" s="10"/>
    </row>
    <row r="2045" spans="1:39" ht="18" hidden="1" customHeight="1" outlineLevel="2" x14ac:dyDescent="0.2">
      <c r="A2045" s="25"/>
      <c r="B2045" s="25"/>
      <c r="C2045" s="25"/>
      <c r="D2045" s="25"/>
      <c r="E2045" s="25" t="s">
        <v>3968</v>
      </c>
      <c r="F2045" s="25" t="s">
        <v>3946</v>
      </c>
      <c r="G2045" s="25"/>
      <c r="H2045" s="25"/>
      <c r="I2045" s="25"/>
      <c r="AK2045" s="10">
        <v>529128</v>
      </c>
      <c r="AL2045" s="10" t="s">
        <v>4126</v>
      </c>
      <c r="AM2045" s="10" t="s">
        <v>223</v>
      </c>
    </row>
    <row r="2046" spans="1:39" ht="18" hidden="1" customHeight="1" outlineLevel="2" x14ac:dyDescent="0.2">
      <c r="A2046" s="25"/>
      <c r="B2046" s="25"/>
      <c r="C2046" s="25"/>
      <c r="D2046" s="25"/>
      <c r="E2046" s="25" t="s">
        <v>3968</v>
      </c>
      <c r="F2046" s="25" t="s">
        <v>3948</v>
      </c>
      <c r="G2046" s="25"/>
      <c r="H2046" s="25"/>
      <c r="I2046" s="25"/>
      <c r="AK2046" s="10">
        <v>529006</v>
      </c>
      <c r="AL2046" s="10" t="s">
        <v>4127</v>
      </c>
      <c r="AM2046" s="10">
        <v>866683</v>
      </c>
    </row>
    <row r="2047" spans="1:39" ht="18" hidden="1" customHeight="1" outlineLevel="2" x14ac:dyDescent="0.2">
      <c r="A2047" s="25"/>
      <c r="B2047" s="25"/>
      <c r="C2047" s="25"/>
      <c r="D2047" s="25"/>
      <c r="E2047" s="25" t="s">
        <v>3968</v>
      </c>
      <c r="F2047" s="25" t="s">
        <v>3949</v>
      </c>
      <c r="G2047" s="25"/>
      <c r="H2047" s="25"/>
      <c r="I2047" s="25"/>
      <c r="AK2047" s="10">
        <v>529009</v>
      </c>
      <c r="AL2047" s="10" t="s">
        <v>4128</v>
      </c>
      <c r="AM2047" s="10">
        <v>866684</v>
      </c>
    </row>
    <row r="2048" spans="1:39" ht="18" hidden="1" customHeight="1" outlineLevel="2" x14ac:dyDescent="0.2">
      <c r="A2048" s="25"/>
      <c r="B2048" s="25"/>
      <c r="C2048" s="25"/>
      <c r="D2048" s="25"/>
      <c r="E2048" s="25" t="s">
        <v>3968</v>
      </c>
      <c r="F2048" s="25" t="s">
        <v>3950</v>
      </c>
      <c r="G2048" s="25"/>
      <c r="H2048" s="25"/>
      <c r="I2048" s="25"/>
      <c r="AK2048" s="10">
        <v>529008</v>
      </c>
      <c r="AL2048" s="10" t="s">
        <v>4129</v>
      </c>
      <c r="AM2048" s="10">
        <v>867776</v>
      </c>
    </row>
    <row r="2049" spans="1:39" ht="18" hidden="1" customHeight="1" outlineLevel="2" x14ac:dyDescent="0.2">
      <c r="A2049" s="25"/>
      <c r="B2049" s="25"/>
      <c r="C2049" s="25"/>
      <c r="D2049" s="25"/>
      <c r="E2049" s="25" t="s">
        <v>3968</v>
      </c>
      <c r="F2049" s="25" t="s">
        <v>3951</v>
      </c>
      <c r="G2049" s="25"/>
      <c r="H2049" s="25"/>
      <c r="I2049" s="25"/>
      <c r="AK2049" s="10">
        <v>529013</v>
      </c>
      <c r="AL2049" s="10" t="s">
        <v>4130</v>
      </c>
      <c r="AM2049" s="10">
        <v>866685</v>
      </c>
    </row>
    <row r="2050" spans="1:39" ht="18" hidden="1" customHeight="1" outlineLevel="2" x14ac:dyDescent="0.2">
      <c r="A2050" s="25"/>
      <c r="B2050" s="25"/>
      <c r="C2050" s="25"/>
      <c r="D2050" s="25"/>
      <c r="E2050" s="25" t="s">
        <v>3968</v>
      </c>
      <c r="F2050" s="25" t="s">
        <v>3952</v>
      </c>
      <c r="G2050" s="25"/>
      <c r="H2050" s="25"/>
      <c r="I2050" s="25"/>
      <c r="AK2050" s="10">
        <v>529012</v>
      </c>
      <c r="AL2050" s="10" t="s">
        <v>4131</v>
      </c>
      <c r="AM2050" s="10">
        <v>867778</v>
      </c>
    </row>
    <row r="2051" spans="1:39" ht="18" hidden="1" customHeight="1" outlineLevel="2" x14ac:dyDescent="0.2">
      <c r="A2051" s="25"/>
      <c r="B2051" s="25"/>
      <c r="C2051" s="25"/>
      <c r="D2051" s="25"/>
      <c r="E2051" s="25" t="s">
        <v>3968</v>
      </c>
      <c r="F2051" s="25" t="s">
        <v>3953</v>
      </c>
      <c r="G2051" s="25"/>
      <c r="H2051" s="25"/>
      <c r="I2051" s="25"/>
      <c r="AK2051" s="10">
        <v>529011</v>
      </c>
      <c r="AL2051" s="10" t="s">
        <v>4132</v>
      </c>
      <c r="AM2051" s="10">
        <v>867779</v>
      </c>
    </row>
    <row r="2052" spans="1:39" ht="18" hidden="1" customHeight="1" outlineLevel="2" x14ac:dyDescent="0.2">
      <c r="A2052" s="25"/>
      <c r="B2052" s="25"/>
      <c r="C2052" s="25"/>
      <c r="D2052" s="25"/>
      <c r="E2052" s="25" t="s">
        <v>3968</v>
      </c>
      <c r="F2052" s="25" t="s">
        <v>3954</v>
      </c>
      <c r="G2052" s="25"/>
      <c r="H2052" s="25"/>
      <c r="I2052" s="25"/>
      <c r="AK2052" s="10">
        <v>529018</v>
      </c>
      <c r="AL2052" s="10" t="s">
        <v>4133</v>
      </c>
      <c r="AM2052" s="10">
        <v>866686</v>
      </c>
    </row>
    <row r="2053" spans="1:39" ht="18" hidden="1" customHeight="1" outlineLevel="2" x14ac:dyDescent="0.2">
      <c r="A2053" s="25"/>
      <c r="B2053" s="25"/>
      <c r="C2053" s="25"/>
      <c r="D2053" s="25"/>
      <c r="E2053" s="25" t="s">
        <v>3968</v>
      </c>
      <c r="F2053" s="25" t="s">
        <v>3955</v>
      </c>
      <c r="G2053" s="25"/>
      <c r="H2053" s="25"/>
      <c r="I2053" s="25"/>
      <c r="AK2053" s="10">
        <v>529017</v>
      </c>
      <c r="AL2053" s="10" t="s">
        <v>4134</v>
      </c>
      <c r="AM2053" s="10">
        <v>867781</v>
      </c>
    </row>
    <row r="2054" spans="1:39" ht="18" hidden="1" customHeight="1" outlineLevel="2" x14ac:dyDescent="0.2">
      <c r="A2054" s="25"/>
      <c r="B2054" s="25"/>
      <c r="C2054" s="25"/>
      <c r="D2054" s="25"/>
      <c r="E2054" s="25" t="s">
        <v>3968</v>
      </c>
      <c r="F2054" s="25" t="s">
        <v>3956</v>
      </c>
      <c r="G2054" s="25"/>
      <c r="H2054" s="25"/>
      <c r="I2054" s="25"/>
      <c r="AK2054" s="10">
        <v>529016</v>
      </c>
      <c r="AL2054" s="10" t="s">
        <v>4135</v>
      </c>
      <c r="AM2054" s="10">
        <v>867782</v>
      </c>
    </row>
    <row r="2055" spans="1:39" ht="18" hidden="1" customHeight="1" outlineLevel="2" x14ac:dyDescent="0.2">
      <c r="A2055" s="25"/>
      <c r="B2055" s="25"/>
      <c r="C2055" s="25"/>
      <c r="D2055" s="25"/>
      <c r="E2055" s="25" t="s">
        <v>3968</v>
      </c>
      <c r="F2055" s="25" t="s">
        <v>3957</v>
      </c>
      <c r="G2055" s="25"/>
      <c r="H2055" s="25"/>
      <c r="I2055" s="25"/>
      <c r="AK2055" s="10">
        <v>529015</v>
      </c>
      <c r="AL2055" s="10" t="s">
        <v>4136</v>
      </c>
      <c r="AM2055" s="10">
        <v>867783</v>
      </c>
    </row>
    <row r="2056" spans="1:39" ht="18" hidden="1" customHeight="1" outlineLevel="2" x14ac:dyDescent="0.2">
      <c r="A2056" s="25"/>
      <c r="B2056" s="25"/>
      <c r="C2056" s="25"/>
      <c r="D2056" s="25"/>
      <c r="E2056" s="25" t="s">
        <v>3968</v>
      </c>
      <c r="F2056" s="25" t="s">
        <v>3969</v>
      </c>
      <c r="G2056" s="25"/>
      <c r="H2056" s="25"/>
      <c r="I2056" s="25"/>
      <c r="AK2056" s="10">
        <v>529024</v>
      </c>
      <c r="AL2056" s="10" t="s">
        <v>4137</v>
      </c>
      <c r="AM2056" s="10">
        <v>866687</v>
      </c>
    </row>
    <row r="2057" spans="1:39" ht="18" hidden="1" customHeight="1" outlineLevel="2" x14ac:dyDescent="0.2">
      <c r="A2057" s="25"/>
      <c r="B2057" s="25"/>
      <c r="C2057" s="25"/>
      <c r="D2057" s="25"/>
      <c r="E2057" s="25" t="s">
        <v>3968</v>
      </c>
      <c r="F2057" s="25" t="s">
        <v>3970</v>
      </c>
      <c r="G2057" s="25"/>
      <c r="H2057" s="25"/>
      <c r="I2057" s="25"/>
      <c r="AK2057" s="10">
        <v>529023</v>
      </c>
      <c r="AL2057" s="10" t="s">
        <v>4138</v>
      </c>
      <c r="AM2057" s="10">
        <v>867785</v>
      </c>
    </row>
    <row r="2058" spans="1:39" ht="18" hidden="1" customHeight="1" outlineLevel="2" x14ac:dyDescent="0.2">
      <c r="A2058" s="25"/>
      <c r="B2058" s="25"/>
      <c r="C2058" s="25"/>
      <c r="D2058" s="25"/>
      <c r="E2058" s="25" t="s">
        <v>3968</v>
      </c>
      <c r="F2058" s="25" t="s">
        <v>3958</v>
      </c>
      <c r="G2058" s="25"/>
      <c r="H2058" s="25"/>
      <c r="I2058" s="25"/>
      <c r="AK2058" s="10">
        <v>529022</v>
      </c>
      <c r="AL2058" s="10" t="s">
        <v>4139</v>
      </c>
      <c r="AM2058" s="10">
        <v>867786</v>
      </c>
    </row>
    <row r="2059" spans="1:39" ht="18" hidden="1" customHeight="1" outlineLevel="2" x14ac:dyDescent="0.2">
      <c r="A2059" s="25"/>
      <c r="B2059" s="25"/>
      <c r="C2059" s="25"/>
      <c r="D2059" s="25"/>
      <c r="E2059" s="25" t="s">
        <v>3968</v>
      </c>
      <c r="F2059" s="25" t="s">
        <v>3959</v>
      </c>
      <c r="G2059" s="25"/>
      <c r="H2059" s="25"/>
      <c r="I2059" s="25"/>
      <c r="AK2059" s="10">
        <v>529021</v>
      </c>
      <c r="AL2059" s="10" t="s">
        <v>4140</v>
      </c>
      <c r="AM2059" s="10">
        <v>867787</v>
      </c>
    </row>
    <row r="2060" spans="1:39" ht="18" hidden="1" customHeight="1" outlineLevel="2" x14ac:dyDescent="0.2">
      <c r="A2060" s="25"/>
      <c r="B2060" s="25"/>
      <c r="C2060" s="25"/>
      <c r="D2060" s="25"/>
      <c r="E2060" s="25" t="s">
        <v>3968</v>
      </c>
      <c r="F2060" s="25" t="s">
        <v>3960</v>
      </c>
      <c r="G2060" s="25"/>
      <c r="H2060" s="25"/>
      <c r="I2060" s="25"/>
      <c r="AK2060" s="10">
        <v>529020</v>
      </c>
      <c r="AL2060" s="10" t="s">
        <v>4141</v>
      </c>
      <c r="AM2060" s="10">
        <v>867788</v>
      </c>
    </row>
    <row r="2061" spans="1:39" ht="18" hidden="1" customHeight="1" outlineLevel="2" x14ac:dyDescent="0.2">
      <c r="A2061" s="25"/>
      <c r="B2061" s="25"/>
      <c r="C2061" s="25"/>
      <c r="D2061" s="25"/>
      <c r="E2061" s="25" t="s">
        <v>3968</v>
      </c>
      <c r="F2061" s="25" t="s">
        <v>3971</v>
      </c>
      <c r="G2061" s="25"/>
      <c r="H2061" s="25"/>
      <c r="I2061" s="25"/>
      <c r="AK2061" s="10" t="s">
        <v>223</v>
      </c>
      <c r="AL2061" s="10" t="s">
        <v>4142</v>
      </c>
      <c r="AM2061" s="10">
        <v>866688</v>
      </c>
    </row>
    <row r="2062" spans="1:39" ht="18" hidden="1" customHeight="1" outlineLevel="2" x14ac:dyDescent="0.2">
      <c r="A2062" s="25"/>
      <c r="B2062" s="25"/>
      <c r="C2062" s="25"/>
      <c r="D2062" s="25"/>
      <c r="E2062" s="25" t="s">
        <v>3968</v>
      </c>
      <c r="F2062" s="25" t="s">
        <v>3972</v>
      </c>
      <c r="G2062" s="25"/>
      <c r="H2062" s="25"/>
      <c r="I2062" s="25"/>
      <c r="AK2062" s="10">
        <v>529030</v>
      </c>
      <c r="AL2062" s="10" t="s">
        <v>4143</v>
      </c>
      <c r="AM2062" s="10">
        <v>867790</v>
      </c>
    </row>
    <row r="2063" spans="1:39" ht="18" hidden="1" customHeight="1" outlineLevel="2" x14ac:dyDescent="0.2">
      <c r="A2063" s="25"/>
      <c r="B2063" s="25"/>
      <c r="C2063" s="25"/>
      <c r="D2063" s="25"/>
      <c r="E2063" s="25" t="s">
        <v>3968</v>
      </c>
      <c r="F2063" s="25" t="s">
        <v>3961</v>
      </c>
      <c r="G2063" s="25"/>
      <c r="H2063" s="25"/>
      <c r="I2063" s="25"/>
      <c r="AK2063" s="10">
        <v>529029</v>
      </c>
      <c r="AL2063" s="10" t="s">
        <v>4144</v>
      </c>
      <c r="AM2063" s="10">
        <v>867791</v>
      </c>
    </row>
    <row r="2064" spans="1:39" ht="18" hidden="1" customHeight="1" outlineLevel="2" x14ac:dyDescent="0.2">
      <c r="A2064" s="25"/>
      <c r="B2064" s="25"/>
      <c r="C2064" s="25"/>
      <c r="D2064" s="25"/>
      <c r="E2064" s="25" t="s">
        <v>3968</v>
      </c>
      <c r="F2064" s="25" t="s">
        <v>3962</v>
      </c>
      <c r="G2064" s="25"/>
      <c r="H2064" s="25"/>
      <c r="I2064" s="25"/>
      <c r="AK2064" s="10">
        <v>529028</v>
      </c>
      <c r="AL2064" s="10" t="s">
        <v>4145</v>
      </c>
      <c r="AM2064" s="10">
        <v>867792</v>
      </c>
    </row>
    <row r="2065" spans="1:39" ht="18" hidden="1" customHeight="1" outlineLevel="2" x14ac:dyDescent="0.2">
      <c r="A2065" s="25"/>
      <c r="B2065" s="25"/>
      <c r="C2065" s="25"/>
      <c r="D2065" s="25"/>
      <c r="E2065" s="25" t="s">
        <v>3968</v>
      </c>
      <c r="F2065" s="25" t="s">
        <v>3963</v>
      </c>
      <c r="G2065" s="25"/>
      <c r="H2065" s="25"/>
      <c r="I2065" s="25"/>
      <c r="AK2065" s="10">
        <v>529027</v>
      </c>
      <c r="AL2065" s="10" t="s">
        <v>4146</v>
      </c>
      <c r="AM2065" s="10">
        <v>867793</v>
      </c>
    </row>
    <row r="2066" spans="1:39" ht="18" hidden="1" customHeight="1" outlineLevel="2" x14ac:dyDescent="0.2">
      <c r="A2066" s="25"/>
      <c r="B2066" s="25"/>
      <c r="C2066" s="25"/>
      <c r="D2066" s="25"/>
      <c r="E2066" s="25" t="s">
        <v>3968</v>
      </c>
      <c r="F2066" s="25" t="s">
        <v>3964</v>
      </c>
      <c r="G2066" s="25"/>
      <c r="H2066" s="25"/>
      <c r="I2066" s="25"/>
      <c r="AK2066" s="10">
        <v>529026</v>
      </c>
      <c r="AL2066" s="10" t="s">
        <v>4147</v>
      </c>
      <c r="AM2066" s="10">
        <v>867794</v>
      </c>
    </row>
    <row r="2067" spans="1:39" ht="18" hidden="1" customHeight="1" outlineLevel="2" x14ac:dyDescent="0.2">
      <c r="A2067" s="25"/>
      <c r="B2067" s="25"/>
      <c r="C2067" s="25"/>
      <c r="D2067" s="25"/>
      <c r="E2067" s="25"/>
      <c r="F2067" s="25"/>
      <c r="G2067" s="25"/>
      <c r="H2067" s="25"/>
      <c r="I2067" s="25"/>
      <c r="AK2067" s="10"/>
      <c r="AL2067" s="10"/>
      <c r="AM2067" s="10"/>
    </row>
    <row r="2068" spans="1:39" ht="18" hidden="1" customHeight="1" outlineLevel="1" collapsed="1" x14ac:dyDescent="0.2">
      <c r="A2068" s="119" t="s">
        <v>3991</v>
      </c>
      <c r="B2068" s="120"/>
      <c r="C2068" s="120"/>
      <c r="D2068" s="120"/>
      <c r="E2068" s="120"/>
      <c r="F2068" s="120"/>
      <c r="G2068" s="120"/>
      <c r="H2068" s="120"/>
      <c r="I2068" s="120"/>
      <c r="J2068" s="120"/>
      <c r="K2068" s="120"/>
      <c r="L2068" s="160"/>
      <c r="AK2068" s="10"/>
      <c r="AL2068" s="10"/>
      <c r="AM2068" s="10"/>
    </row>
    <row r="2069" spans="1:39" ht="18" hidden="1" customHeight="1" outlineLevel="2" x14ac:dyDescent="0.2">
      <c r="A2069" s="25"/>
      <c r="B2069" s="25"/>
      <c r="C2069" s="25"/>
      <c r="D2069" s="25"/>
      <c r="E2069" s="25" t="s">
        <v>3988</v>
      </c>
      <c r="F2069" s="25" t="s">
        <v>3946</v>
      </c>
      <c r="G2069" s="25"/>
      <c r="H2069" s="25"/>
      <c r="I2069" s="25"/>
      <c r="AK2069" s="10">
        <v>543179</v>
      </c>
      <c r="AL2069" s="10">
        <v>65615</v>
      </c>
      <c r="AM2069" s="10">
        <v>864986</v>
      </c>
    </row>
    <row r="2070" spans="1:39" ht="18" hidden="1" customHeight="1" outlineLevel="2" x14ac:dyDescent="0.2">
      <c r="A2070" s="25"/>
      <c r="B2070" s="25"/>
      <c r="C2070" s="25"/>
      <c r="D2070" s="25"/>
      <c r="E2070" s="25" t="s">
        <v>3988</v>
      </c>
      <c r="F2070" s="25" t="s">
        <v>3973</v>
      </c>
      <c r="G2070" s="25"/>
      <c r="H2070" s="25"/>
      <c r="I2070" s="25"/>
      <c r="AK2070" s="10">
        <v>530000</v>
      </c>
      <c r="AL2070" s="10" t="s">
        <v>4148</v>
      </c>
      <c r="AM2070" s="10">
        <v>865450</v>
      </c>
    </row>
    <row r="2071" spans="1:39" ht="18" hidden="1" customHeight="1" outlineLevel="2" x14ac:dyDescent="0.2">
      <c r="A2071" s="25"/>
      <c r="B2071" s="25"/>
      <c r="C2071" s="25"/>
      <c r="D2071" s="25"/>
      <c r="E2071" s="25" t="s">
        <v>3988</v>
      </c>
      <c r="F2071" s="25" t="s">
        <v>3974</v>
      </c>
      <c r="G2071" s="25"/>
      <c r="H2071" s="25"/>
      <c r="I2071" s="25"/>
      <c r="AK2071" s="10">
        <v>530001</v>
      </c>
      <c r="AL2071" s="10" t="s">
        <v>4149</v>
      </c>
      <c r="AM2071" s="10">
        <v>865451</v>
      </c>
    </row>
    <row r="2072" spans="1:39" ht="18" hidden="1" customHeight="1" outlineLevel="2" x14ac:dyDescent="0.2">
      <c r="A2072" s="25"/>
      <c r="B2072" s="25"/>
      <c r="C2072" s="25"/>
      <c r="D2072" s="25"/>
      <c r="E2072" s="25" t="s">
        <v>3988</v>
      </c>
      <c r="F2072" s="25" t="s">
        <v>3975</v>
      </c>
      <c r="G2072" s="25"/>
      <c r="H2072" s="25"/>
      <c r="I2072" s="25"/>
      <c r="AK2072" s="10">
        <v>530002</v>
      </c>
      <c r="AL2072" s="10" t="s">
        <v>4150</v>
      </c>
      <c r="AM2072" s="10">
        <v>865452</v>
      </c>
    </row>
    <row r="2073" spans="1:39" ht="18" hidden="1" customHeight="1" outlineLevel="2" x14ac:dyDescent="0.2">
      <c r="A2073" s="25"/>
      <c r="B2073" s="25"/>
      <c r="C2073" s="25"/>
      <c r="D2073" s="25"/>
      <c r="E2073" s="25" t="s">
        <v>3988</v>
      </c>
      <c r="F2073" s="25" t="s">
        <v>3976</v>
      </c>
      <c r="G2073" s="25"/>
      <c r="H2073" s="25"/>
      <c r="I2073" s="25"/>
      <c r="AK2073" s="10">
        <v>530003</v>
      </c>
      <c r="AL2073" s="10" t="s">
        <v>4151</v>
      </c>
      <c r="AM2073" s="10">
        <v>865453</v>
      </c>
    </row>
    <row r="2074" spans="1:39" ht="18" hidden="1" customHeight="1" outlineLevel="2" x14ac:dyDescent="0.2">
      <c r="A2074" s="25"/>
      <c r="B2074" s="25"/>
      <c r="C2074" s="25"/>
      <c r="D2074" s="25"/>
      <c r="E2074" s="25" t="s">
        <v>3988</v>
      </c>
      <c r="F2074" s="25" t="s">
        <v>3977</v>
      </c>
      <c r="G2074" s="25"/>
      <c r="H2074" s="25"/>
      <c r="I2074" s="25"/>
      <c r="AK2074" s="10">
        <v>533388</v>
      </c>
      <c r="AL2074" s="10" t="s">
        <v>4152</v>
      </c>
      <c r="AM2074" s="10">
        <v>865454</v>
      </c>
    </row>
    <row r="2075" spans="1:39" ht="18" hidden="1" customHeight="1" outlineLevel="2" x14ac:dyDescent="0.2">
      <c r="A2075" s="25"/>
      <c r="B2075" s="25"/>
      <c r="C2075" s="25"/>
      <c r="D2075" s="25"/>
      <c r="E2075" s="25"/>
      <c r="F2075" s="25"/>
      <c r="G2075" s="25"/>
      <c r="H2075" s="25"/>
      <c r="I2075" s="25"/>
      <c r="AK2075" s="10"/>
      <c r="AL2075" s="10"/>
      <c r="AM2075" s="10"/>
    </row>
    <row r="2076" spans="1:39" ht="18" hidden="1" customHeight="1" outlineLevel="2" x14ac:dyDescent="0.2">
      <c r="A2076" s="25"/>
      <c r="B2076" s="25"/>
      <c r="C2076" s="25"/>
      <c r="D2076" s="25"/>
      <c r="E2076" s="25" t="s">
        <v>3988</v>
      </c>
      <c r="F2076" s="25" t="s">
        <v>3978</v>
      </c>
      <c r="G2076" s="25"/>
      <c r="H2076" s="25"/>
      <c r="I2076" s="25"/>
      <c r="AK2076" s="10">
        <v>530006</v>
      </c>
      <c r="AL2076" s="10" t="s">
        <v>4153</v>
      </c>
      <c r="AM2076" s="10">
        <v>865457</v>
      </c>
    </row>
    <row r="2077" spans="1:39" ht="18" hidden="1" customHeight="1" outlineLevel="2" x14ac:dyDescent="0.2">
      <c r="A2077" s="25"/>
      <c r="B2077" s="25"/>
      <c r="C2077" s="25"/>
      <c r="D2077" s="25"/>
      <c r="E2077" s="25" t="s">
        <v>3988</v>
      </c>
      <c r="F2077" s="25" t="s">
        <v>3979</v>
      </c>
      <c r="G2077" s="25"/>
      <c r="H2077" s="25"/>
      <c r="I2077" s="25"/>
      <c r="AK2077" s="10">
        <v>530007</v>
      </c>
      <c r="AL2077" s="10" t="s">
        <v>4154</v>
      </c>
      <c r="AM2077" s="10">
        <v>865458</v>
      </c>
    </row>
    <row r="2078" spans="1:39" ht="18" hidden="1" customHeight="1" outlineLevel="2" x14ac:dyDescent="0.2">
      <c r="A2078" s="25"/>
      <c r="B2078" s="25"/>
      <c r="C2078" s="25"/>
      <c r="D2078" s="25"/>
      <c r="E2078" s="25" t="s">
        <v>3988</v>
      </c>
      <c r="F2078" s="25" t="s">
        <v>3980</v>
      </c>
      <c r="G2078" s="25"/>
      <c r="H2078" s="25"/>
      <c r="I2078" s="25"/>
      <c r="AK2078" s="10">
        <v>530008</v>
      </c>
      <c r="AL2078" s="10" t="s">
        <v>4155</v>
      </c>
      <c r="AM2078" s="10">
        <v>865459</v>
      </c>
    </row>
    <row r="2079" spans="1:39" ht="18" hidden="1" customHeight="1" outlineLevel="2" x14ac:dyDescent="0.2">
      <c r="A2079" s="25"/>
      <c r="B2079" s="25"/>
      <c r="C2079" s="25"/>
      <c r="D2079" s="25"/>
      <c r="E2079" s="25" t="s">
        <v>3988</v>
      </c>
      <c r="F2079" s="25" t="s">
        <v>3981</v>
      </c>
      <c r="G2079" s="25"/>
      <c r="H2079" s="25"/>
      <c r="I2079" s="25"/>
      <c r="AK2079" s="10">
        <v>533393</v>
      </c>
      <c r="AL2079" s="10" t="s">
        <v>4156</v>
      </c>
      <c r="AM2079" s="10">
        <v>865460</v>
      </c>
    </row>
    <row r="2080" spans="1:39" ht="18" hidden="1" customHeight="1" outlineLevel="2" x14ac:dyDescent="0.2">
      <c r="A2080" s="25"/>
      <c r="B2080" s="25"/>
      <c r="C2080" s="25"/>
      <c r="D2080" s="25"/>
      <c r="E2080" s="25"/>
      <c r="F2080" s="25"/>
      <c r="G2080" s="25"/>
      <c r="H2080" s="25"/>
      <c r="I2080" s="25"/>
      <c r="AK2080" s="10"/>
      <c r="AL2080" s="10"/>
      <c r="AM2080" s="10"/>
    </row>
    <row r="2081" spans="1:39" ht="18" hidden="1" customHeight="1" outlineLevel="2" x14ac:dyDescent="0.2">
      <c r="A2081" s="25"/>
      <c r="B2081" s="25"/>
      <c r="C2081" s="25"/>
      <c r="D2081" s="25"/>
      <c r="E2081" s="25" t="s">
        <v>3988</v>
      </c>
      <c r="F2081" s="25" t="s">
        <v>3982</v>
      </c>
      <c r="G2081" s="25"/>
      <c r="H2081" s="25"/>
      <c r="I2081" s="25"/>
      <c r="AK2081" s="10">
        <v>530011</v>
      </c>
      <c r="AL2081" s="10" t="s">
        <v>4157</v>
      </c>
      <c r="AM2081" s="10">
        <v>865463</v>
      </c>
    </row>
    <row r="2082" spans="1:39" ht="18" hidden="1" customHeight="1" outlineLevel="2" x14ac:dyDescent="0.2">
      <c r="A2082" s="25"/>
      <c r="B2082" s="25"/>
      <c r="C2082" s="25"/>
      <c r="D2082" s="25"/>
      <c r="E2082" s="25" t="s">
        <v>3988</v>
      </c>
      <c r="F2082" s="25" t="s">
        <v>3983</v>
      </c>
      <c r="G2082" s="25"/>
      <c r="H2082" s="25"/>
      <c r="I2082" s="25"/>
      <c r="AK2082" s="10">
        <v>530012</v>
      </c>
      <c r="AL2082" s="10" t="s">
        <v>4158</v>
      </c>
      <c r="AM2082" s="10">
        <v>865464</v>
      </c>
    </row>
    <row r="2083" spans="1:39" ht="18" hidden="1" customHeight="1" outlineLevel="2" x14ac:dyDescent="0.2">
      <c r="A2083" s="25"/>
      <c r="B2083" s="25"/>
      <c r="C2083" s="25"/>
      <c r="D2083" s="25"/>
      <c r="E2083" s="25" t="s">
        <v>3988</v>
      </c>
      <c r="F2083" s="25" t="s">
        <v>3984</v>
      </c>
      <c r="G2083" s="25"/>
      <c r="H2083" s="25"/>
      <c r="I2083" s="25"/>
      <c r="AK2083" s="10">
        <v>533493</v>
      </c>
      <c r="AL2083" s="10" t="s">
        <v>4159</v>
      </c>
      <c r="AM2083" s="10">
        <v>865465</v>
      </c>
    </row>
    <row r="2084" spans="1:39" ht="18" hidden="1" customHeight="1" outlineLevel="2" x14ac:dyDescent="0.2">
      <c r="A2084" s="25"/>
      <c r="B2084" s="25"/>
      <c r="C2084" s="25"/>
      <c r="D2084" s="25"/>
      <c r="E2084" s="25"/>
      <c r="F2084" s="25"/>
      <c r="G2084" s="25"/>
      <c r="H2084" s="25"/>
      <c r="I2084" s="25"/>
      <c r="AK2084" s="10"/>
      <c r="AL2084" s="10"/>
      <c r="AM2084" s="10"/>
    </row>
    <row r="2085" spans="1:39" ht="18" hidden="1" customHeight="1" outlineLevel="2" x14ac:dyDescent="0.2">
      <c r="A2085" s="25"/>
      <c r="B2085" s="25"/>
      <c r="C2085" s="25"/>
      <c r="D2085" s="25"/>
      <c r="E2085" s="25" t="s">
        <v>3988</v>
      </c>
      <c r="F2085" s="25" t="s">
        <v>3985</v>
      </c>
      <c r="G2085" s="25"/>
      <c r="H2085" s="25"/>
      <c r="I2085" s="25"/>
      <c r="AK2085" s="10">
        <v>530015</v>
      </c>
      <c r="AL2085" s="10" t="s">
        <v>4160</v>
      </c>
      <c r="AM2085" s="10">
        <v>865468</v>
      </c>
    </row>
    <row r="2086" spans="1:39" ht="18" hidden="1" customHeight="1" outlineLevel="2" x14ac:dyDescent="0.2">
      <c r="A2086" s="25"/>
      <c r="B2086" s="25"/>
      <c r="C2086" s="25"/>
      <c r="D2086" s="25"/>
      <c r="E2086" s="25" t="s">
        <v>3988</v>
      </c>
      <c r="F2086" s="25" t="s">
        <v>3986</v>
      </c>
      <c r="G2086" s="25"/>
      <c r="H2086" s="25"/>
      <c r="I2086" s="25"/>
      <c r="AK2086" s="10">
        <v>530016</v>
      </c>
      <c r="AL2086" s="10" t="s">
        <v>4161</v>
      </c>
      <c r="AM2086" s="10">
        <v>865469</v>
      </c>
    </row>
    <row r="2087" spans="1:39" ht="18" hidden="1" customHeight="1" outlineLevel="2" x14ac:dyDescent="0.2">
      <c r="A2087" s="25"/>
      <c r="B2087" s="25"/>
      <c r="C2087" s="25"/>
      <c r="D2087" s="25"/>
      <c r="E2087" s="25"/>
      <c r="F2087" s="25"/>
      <c r="G2087" s="25"/>
      <c r="H2087" s="25"/>
      <c r="I2087" s="25"/>
      <c r="AK2087" s="10"/>
      <c r="AL2087" s="10"/>
      <c r="AM2087" s="10"/>
    </row>
    <row r="2088" spans="1:39" ht="18" hidden="1" customHeight="1" outlineLevel="2" x14ac:dyDescent="0.2">
      <c r="A2088" s="25"/>
      <c r="B2088" s="25"/>
      <c r="C2088" s="25"/>
      <c r="D2088" s="25"/>
      <c r="E2088" s="25" t="s">
        <v>3988</v>
      </c>
      <c r="F2088" s="25" t="s">
        <v>3987</v>
      </c>
      <c r="G2088" s="25"/>
      <c r="H2088" s="25"/>
      <c r="I2088" s="25"/>
      <c r="AK2088" s="10">
        <v>530019</v>
      </c>
      <c r="AL2088" s="10" t="s">
        <v>4162</v>
      </c>
      <c r="AM2088" s="10">
        <v>865472</v>
      </c>
    </row>
    <row r="2089" spans="1:39" ht="18" hidden="1" customHeight="1" outlineLevel="2" x14ac:dyDescent="0.2">
      <c r="A2089" s="25"/>
      <c r="B2089" s="25"/>
      <c r="C2089" s="25"/>
      <c r="D2089" s="25"/>
      <c r="E2089" s="25"/>
      <c r="F2089" s="25"/>
      <c r="G2089" s="25"/>
      <c r="H2089" s="25"/>
      <c r="I2089" s="25"/>
      <c r="AK2089" s="10"/>
      <c r="AL2089" s="10"/>
      <c r="AM2089" s="10"/>
    </row>
    <row r="2090" spans="1:39" ht="18" hidden="1" customHeight="1" outlineLevel="2" x14ac:dyDescent="0.2">
      <c r="A2090" s="25"/>
      <c r="B2090" s="25"/>
      <c r="C2090" s="25"/>
      <c r="D2090" s="25"/>
      <c r="E2090" s="25" t="s">
        <v>3992</v>
      </c>
      <c r="F2090" s="25" t="s">
        <v>3930</v>
      </c>
      <c r="G2090" s="25"/>
      <c r="H2090" s="25"/>
      <c r="I2090" s="25"/>
      <c r="AK2090" s="10">
        <v>523281</v>
      </c>
      <c r="AL2090" s="10" t="s">
        <v>4163</v>
      </c>
      <c r="AM2090" s="10">
        <v>864528</v>
      </c>
    </row>
    <row r="2091" spans="1:39" ht="18" hidden="1" customHeight="1" outlineLevel="2" x14ac:dyDescent="0.2">
      <c r="A2091" s="25"/>
      <c r="B2091" s="25"/>
      <c r="C2091" s="25"/>
      <c r="D2091" s="25"/>
      <c r="E2091" s="25" t="s">
        <v>3992</v>
      </c>
      <c r="F2091" s="25" t="s">
        <v>3931</v>
      </c>
      <c r="G2091" s="25"/>
      <c r="H2091" s="25"/>
      <c r="I2091" s="25"/>
      <c r="AK2091" s="10">
        <v>523282</v>
      </c>
      <c r="AL2091" s="10" t="s">
        <v>4164</v>
      </c>
      <c r="AM2091" s="10">
        <v>864529</v>
      </c>
    </row>
    <row r="2092" spans="1:39" ht="18" hidden="1" customHeight="1" outlineLevel="2" x14ac:dyDescent="0.2">
      <c r="A2092" s="25"/>
      <c r="B2092" s="25"/>
      <c r="C2092" s="25"/>
      <c r="D2092" s="25"/>
      <c r="E2092" s="25" t="s">
        <v>3992</v>
      </c>
      <c r="F2092" s="25" t="s">
        <v>3932</v>
      </c>
      <c r="G2092" s="25"/>
      <c r="H2092" s="25"/>
      <c r="I2092" s="25"/>
      <c r="AK2092" s="10">
        <v>523283</v>
      </c>
      <c r="AL2092" s="10" t="s">
        <v>4165</v>
      </c>
      <c r="AM2092" s="10">
        <v>864530</v>
      </c>
    </row>
    <row r="2093" spans="1:39" ht="18" hidden="1" customHeight="1" outlineLevel="2" x14ac:dyDescent="0.2">
      <c r="A2093" s="25"/>
      <c r="B2093" s="25"/>
      <c r="C2093" s="25"/>
      <c r="D2093" s="25"/>
      <c r="E2093" s="25" t="s">
        <v>3992</v>
      </c>
      <c r="F2093" s="25" t="s">
        <v>3933</v>
      </c>
      <c r="G2093" s="25"/>
      <c r="H2093" s="25"/>
      <c r="I2093" s="25"/>
      <c r="AK2093" s="10">
        <v>523284</v>
      </c>
      <c r="AL2093" s="10" t="s">
        <v>4166</v>
      </c>
      <c r="AM2093" s="10">
        <v>864531</v>
      </c>
    </row>
    <row r="2094" spans="1:39" ht="18" hidden="1" customHeight="1" outlineLevel="2" x14ac:dyDescent="0.2">
      <c r="A2094" s="25"/>
      <c r="B2094" s="25"/>
      <c r="C2094" s="25"/>
      <c r="D2094" s="25"/>
      <c r="E2094" s="25" t="s">
        <v>3992</v>
      </c>
      <c r="F2094" s="25" t="s">
        <v>3934</v>
      </c>
      <c r="G2094" s="25"/>
      <c r="H2094" s="25"/>
      <c r="I2094" s="25"/>
      <c r="AK2094" s="10">
        <v>523285</v>
      </c>
      <c r="AL2094" s="10" t="s">
        <v>4167</v>
      </c>
      <c r="AM2094" s="10">
        <v>864540</v>
      </c>
    </row>
    <row r="2095" spans="1:39" ht="18" hidden="1" customHeight="1" outlineLevel="2" x14ac:dyDescent="0.2">
      <c r="A2095" s="25"/>
      <c r="B2095" s="25"/>
      <c r="C2095" s="25"/>
      <c r="D2095" s="25"/>
      <c r="E2095" s="25"/>
      <c r="F2095" s="25"/>
      <c r="G2095" s="25"/>
      <c r="H2095" s="25"/>
      <c r="I2095" s="25"/>
      <c r="AK2095" s="10"/>
      <c r="AL2095" s="10"/>
      <c r="AM2095" s="10"/>
    </row>
    <row r="2096" spans="1:39" ht="18" hidden="1" customHeight="1" outlineLevel="1" collapsed="1" x14ac:dyDescent="0.2">
      <c r="A2096" s="119" t="s">
        <v>168</v>
      </c>
      <c r="B2096" s="120"/>
      <c r="C2096" s="120"/>
      <c r="D2096" s="120"/>
      <c r="E2096" s="120"/>
      <c r="F2096" s="120"/>
      <c r="G2096" s="120"/>
      <c r="H2096" s="120"/>
      <c r="I2096" s="120"/>
      <c r="J2096" s="120"/>
      <c r="K2096" s="120"/>
      <c r="L2096" s="160"/>
      <c r="AK2096" s="10"/>
      <c r="AL2096" s="10"/>
      <c r="AM2096" s="10"/>
    </row>
    <row r="2097" spans="1:39" ht="18" hidden="1" customHeight="1" outlineLevel="2" x14ac:dyDescent="0.2">
      <c r="A2097" s="25"/>
      <c r="B2097" s="25"/>
      <c r="C2097" s="25"/>
      <c r="D2097" s="25"/>
      <c r="E2097" s="25" t="s">
        <v>3989</v>
      </c>
      <c r="F2097" s="25" t="s">
        <v>3929</v>
      </c>
      <c r="G2097" s="25"/>
      <c r="H2097" s="25"/>
      <c r="I2097" s="25"/>
      <c r="AK2097" s="10">
        <v>529130</v>
      </c>
      <c r="AL2097" s="10">
        <v>41252</v>
      </c>
      <c r="AM2097" s="10">
        <v>860370</v>
      </c>
    </row>
    <row r="2098" spans="1:39" ht="18" hidden="1" customHeight="1" outlineLevel="2" x14ac:dyDescent="0.2">
      <c r="A2098" s="25"/>
      <c r="B2098" s="25"/>
      <c r="C2098" s="25"/>
      <c r="D2098" s="25"/>
      <c r="E2098" s="25" t="s">
        <v>3989</v>
      </c>
      <c r="F2098" s="25" t="s">
        <v>3930</v>
      </c>
      <c r="G2098" s="25"/>
      <c r="H2098" s="25"/>
      <c r="I2098" s="25"/>
      <c r="AK2098" s="10">
        <v>529352</v>
      </c>
      <c r="AL2098" s="10" t="s">
        <v>4168</v>
      </c>
      <c r="AM2098" s="10">
        <v>867855</v>
      </c>
    </row>
    <row r="2099" spans="1:39" ht="18" hidden="1" customHeight="1" outlineLevel="2" x14ac:dyDescent="0.25">
      <c r="A2099" s="25"/>
      <c r="B2099" s="25"/>
      <c r="C2099" s="25"/>
      <c r="D2099" s="25"/>
      <c r="E2099" s="25" t="s">
        <v>3989</v>
      </c>
      <c r="F2099" s="25" t="s">
        <v>3931</v>
      </c>
      <c r="G2099" s="25"/>
      <c r="H2099" s="25"/>
      <c r="I2099" s="25"/>
      <c r="O2099"/>
      <c r="AK2099" s="10">
        <v>529353</v>
      </c>
      <c r="AL2099" s="10" t="s">
        <v>4169</v>
      </c>
      <c r="AM2099" s="10">
        <v>867856</v>
      </c>
    </row>
    <row r="2100" spans="1:39" ht="18" hidden="1" customHeight="1" outlineLevel="2" x14ac:dyDescent="0.25">
      <c r="A2100" s="25"/>
      <c r="B2100" s="25"/>
      <c r="C2100" s="25"/>
      <c r="D2100" s="25"/>
      <c r="E2100" s="25" t="s">
        <v>3989</v>
      </c>
      <c r="F2100" s="25" t="s">
        <v>3932</v>
      </c>
      <c r="G2100" s="25"/>
      <c r="H2100" s="25"/>
      <c r="I2100" s="25"/>
      <c r="O2100"/>
      <c r="AK2100" s="10">
        <v>529354</v>
      </c>
      <c r="AL2100" s="10" t="s">
        <v>4170</v>
      </c>
      <c r="AM2100" s="10">
        <v>867857</v>
      </c>
    </row>
    <row r="2101" spans="1:39" ht="18" hidden="1" customHeight="1" outlineLevel="2" x14ac:dyDescent="0.25">
      <c r="A2101" s="25"/>
      <c r="B2101" s="25"/>
      <c r="C2101" s="25"/>
      <c r="D2101" s="25"/>
      <c r="E2101" s="25" t="s">
        <v>3989</v>
      </c>
      <c r="F2101" s="25" t="s">
        <v>3933</v>
      </c>
      <c r="G2101" s="25"/>
      <c r="H2101" s="25"/>
      <c r="I2101" s="25"/>
      <c r="O2101"/>
      <c r="AK2101" s="10">
        <v>529355</v>
      </c>
      <c r="AL2101" s="10" t="s">
        <v>4171</v>
      </c>
      <c r="AM2101" s="10">
        <v>867858</v>
      </c>
    </row>
    <row r="2102" spans="1:39" ht="18" hidden="1" customHeight="1" outlineLevel="2" x14ac:dyDescent="0.25">
      <c r="A2102" s="25"/>
      <c r="B2102" s="25"/>
      <c r="C2102" s="25"/>
      <c r="D2102" s="25"/>
      <c r="E2102" s="25" t="s">
        <v>3989</v>
      </c>
      <c r="F2102" s="25" t="s">
        <v>3934</v>
      </c>
      <c r="G2102" s="25"/>
      <c r="H2102" s="25"/>
      <c r="I2102" s="25"/>
      <c r="O2102"/>
      <c r="AK2102" s="10">
        <v>529356</v>
      </c>
      <c r="AL2102" s="10" t="s">
        <v>4172</v>
      </c>
      <c r="AM2102" s="10">
        <v>867859</v>
      </c>
    </row>
    <row r="2103" spans="1:39" ht="18" hidden="1" customHeight="1" outlineLevel="2" x14ac:dyDescent="0.25">
      <c r="A2103" s="25"/>
      <c r="B2103" s="25"/>
      <c r="C2103" s="25"/>
      <c r="D2103" s="25"/>
      <c r="E2103" s="25" t="s">
        <v>3989</v>
      </c>
      <c r="F2103" s="25" t="s">
        <v>3935</v>
      </c>
      <c r="G2103" s="25"/>
      <c r="H2103" s="25"/>
      <c r="I2103" s="25"/>
      <c r="O2103"/>
      <c r="AK2103" s="10">
        <v>529357</v>
      </c>
      <c r="AL2103" s="10" t="s">
        <v>4173</v>
      </c>
      <c r="AM2103" s="10">
        <v>867860</v>
      </c>
    </row>
    <row r="2104" spans="1:39" ht="18" hidden="1" customHeight="1" outlineLevel="2" x14ac:dyDescent="0.25">
      <c r="A2104" s="25"/>
      <c r="B2104" s="25"/>
      <c r="C2104" s="25"/>
      <c r="D2104" s="25"/>
      <c r="E2104" s="25" t="s">
        <v>3989</v>
      </c>
      <c r="F2104" s="25" t="s">
        <v>3936</v>
      </c>
      <c r="G2104" s="25"/>
      <c r="H2104" s="25"/>
      <c r="I2104" s="25"/>
      <c r="O2104"/>
      <c r="AK2104" s="10">
        <v>529358</v>
      </c>
      <c r="AL2104" s="10" t="s">
        <v>4174</v>
      </c>
      <c r="AM2104" s="10">
        <v>867861</v>
      </c>
    </row>
    <row r="2105" spans="1:39" ht="18" hidden="1" customHeight="1" outlineLevel="2" x14ac:dyDescent="0.25">
      <c r="A2105" s="25"/>
      <c r="B2105" s="25"/>
      <c r="C2105" s="25"/>
      <c r="D2105" s="25"/>
      <c r="E2105" s="25"/>
      <c r="F2105" s="25"/>
      <c r="G2105" s="25"/>
      <c r="H2105" s="25"/>
      <c r="I2105" s="25"/>
      <c r="O2105"/>
      <c r="AK2105" s="10"/>
      <c r="AL2105" s="10"/>
      <c r="AM2105" s="10"/>
    </row>
    <row r="2106" spans="1:39" ht="18" hidden="1" customHeight="1" outlineLevel="2" x14ac:dyDescent="0.25">
      <c r="A2106" s="25"/>
      <c r="B2106" s="25"/>
      <c r="C2106" s="25"/>
      <c r="D2106" s="25"/>
      <c r="E2106" s="25" t="s">
        <v>3990</v>
      </c>
      <c r="F2106" s="25" t="s">
        <v>3929</v>
      </c>
      <c r="G2106" s="25"/>
      <c r="H2106" s="25"/>
      <c r="I2106" s="25"/>
      <c r="O2106"/>
      <c r="AK2106" s="10">
        <v>523268</v>
      </c>
      <c r="AL2106" s="10">
        <v>65600</v>
      </c>
      <c r="AM2106" s="10">
        <v>863906</v>
      </c>
    </row>
    <row r="2107" spans="1:39" ht="18" hidden="1" customHeight="1" outlineLevel="2" x14ac:dyDescent="0.25">
      <c r="A2107" s="25"/>
      <c r="B2107" s="25"/>
      <c r="C2107" s="25"/>
      <c r="D2107" s="25"/>
      <c r="E2107" s="25" t="s">
        <v>3990</v>
      </c>
      <c r="F2107" s="25" t="s">
        <v>3930</v>
      </c>
      <c r="G2107" s="25"/>
      <c r="H2107" s="25"/>
      <c r="I2107" s="25"/>
      <c r="O2107"/>
      <c r="AK2107" s="10">
        <v>523431</v>
      </c>
      <c r="AL2107" s="10">
        <v>40775</v>
      </c>
      <c r="AM2107" s="10">
        <v>863908</v>
      </c>
    </row>
    <row r="2108" spans="1:39" ht="18" hidden="1" customHeight="1" outlineLevel="2" x14ac:dyDescent="0.2">
      <c r="A2108" s="25"/>
      <c r="B2108" s="25"/>
      <c r="C2108" s="25"/>
      <c r="D2108" s="25"/>
      <c r="E2108" s="25" t="s">
        <v>3990</v>
      </c>
      <c r="F2108" s="25" t="s">
        <v>3931</v>
      </c>
      <c r="G2108" s="25"/>
      <c r="H2108" s="25"/>
      <c r="I2108" s="25"/>
      <c r="AK2108" s="10">
        <v>523432</v>
      </c>
      <c r="AL2108" s="10">
        <v>40816</v>
      </c>
      <c r="AM2108" s="10">
        <v>863909</v>
      </c>
    </row>
    <row r="2109" spans="1:39" ht="18" hidden="1" customHeight="1" outlineLevel="2" x14ac:dyDescent="0.2">
      <c r="A2109" s="25"/>
      <c r="B2109" s="25"/>
      <c r="C2109" s="25"/>
      <c r="D2109" s="25"/>
      <c r="E2109" s="25" t="s">
        <v>3990</v>
      </c>
      <c r="F2109" s="25" t="s">
        <v>3932</v>
      </c>
      <c r="G2109" s="25"/>
      <c r="H2109" s="25"/>
      <c r="I2109" s="25"/>
      <c r="AK2109" s="10">
        <v>523433</v>
      </c>
      <c r="AL2109" s="10">
        <v>40824</v>
      </c>
      <c r="AM2109" s="10">
        <v>863911</v>
      </c>
    </row>
    <row r="2110" spans="1:39" ht="18" hidden="1" customHeight="1" outlineLevel="2" x14ac:dyDescent="0.2">
      <c r="A2110" s="25"/>
      <c r="B2110" s="25"/>
      <c r="C2110" s="25"/>
      <c r="D2110" s="25"/>
      <c r="E2110" s="25" t="s">
        <v>3990</v>
      </c>
      <c r="F2110" s="25" t="s">
        <v>3933</v>
      </c>
      <c r="G2110" s="25"/>
      <c r="H2110" s="25"/>
      <c r="I2110" s="25"/>
      <c r="AK2110" s="10">
        <v>523434</v>
      </c>
      <c r="AL2110" s="10">
        <v>40832</v>
      </c>
      <c r="AM2110" s="10">
        <v>863912</v>
      </c>
    </row>
    <row r="2111" spans="1:39" ht="18" hidden="1" customHeight="1" outlineLevel="2" x14ac:dyDescent="0.2">
      <c r="A2111" s="25"/>
      <c r="B2111" s="25"/>
      <c r="C2111" s="25"/>
      <c r="D2111" s="25"/>
      <c r="E2111" s="25" t="s">
        <v>3990</v>
      </c>
      <c r="F2111" s="25" t="s">
        <v>3934</v>
      </c>
      <c r="G2111" s="25"/>
      <c r="H2111" s="25"/>
      <c r="I2111" s="25"/>
      <c r="AK2111" s="10">
        <v>523435</v>
      </c>
      <c r="AL2111" s="10">
        <v>40840</v>
      </c>
      <c r="AM2111" s="10">
        <v>863913</v>
      </c>
    </row>
    <row r="2112" spans="1:39" ht="18" hidden="1" customHeight="1" outlineLevel="2" x14ac:dyDescent="0.2">
      <c r="A2112" s="25"/>
      <c r="B2112" s="25"/>
      <c r="C2112" s="25"/>
      <c r="D2112" s="25"/>
      <c r="E2112" s="25" t="s">
        <v>3990</v>
      </c>
      <c r="F2112" s="25" t="s">
        <v>3935</v>
      </c>
      <c r="G2112" s="25"/>
      <c r="H2112" s="25"/>
      <c r="I2112" s="25"/>
      <c r="AK2112" s="10">
        <v>523438</v>
      </c>
      <c r="AL2112" s="10">
        <v>40858</v>
      </c>
      <c r="AM2112" s="10">
        <v>864355</v>
      </c>
    </row>
    <row r="2113" spans="1:40" ht="18" hidden="1" customHeight="1" outlineLevel="2" x14ac:dyDescent="0.2">
      <c r="A2113" s="25"/>
      <c r="B2113" s="25"/>
      <c r="C2113" s="25"/>
      <c r="D2113" s="25"/>
      <c r="E2113" s="25" t="s">
        <v>3990</v>
      </c>
      <c r="F2113" s="25" t="s">
        <v>3936</v>
      </c>
      <c r="G2113" s="25"/>
      <c r="H2113" s="25"/>
      <c r="I2113" s="25"/>
      <c r="AK2113" s="10">
        <v>523436</v>
      </c>
      <c r="AL2113" s="10">
        <v>40866</v>
      </c>
      <c r="AM2113" s="10">
        <v>864253</v>
      </c>
    </row>
    <row r="2114" spans="1:40" ht="18" hidden="1" customHeight="1" outlineLevel="2" x14ac:dyDescent="0.2">
      <c r="A2114" s="25"/>
      <c r="B2114" s="25"/>
      <c r="C2114" s="25"/>
      <c r="D2114" s="25"/>
      <c r="E2114" s="25"/>
      <c r="F2114" s="25"/>
      <c r="G2114" s="25"/>
      <c r="H2114" s="25"/>
      <c r="I2114" s="25"/>
      <c r="AK2114" s="10"/>
      <c r="AL2114" s="10"/>
      <c r="AM2114" s="10"/>
    </row>
    <row r="2115" spans="1:40" ht="18" hidden="1" customHeight="1" outlineLevel="1" collapsed="1" x14ac:dyDescent="0.2">
      <c r="A2115" s="119" t="s">
        <v>154</v>
      </c>
      <c r="B2115" s="120"/>
      <c r="C2115" s="120"/>
      <c r="D2115" s="120"/>
      <c r="E2115" s="120"/>
      <c r="F2115" s="120"/>
      <c r="G2115" s="120"/>
      <c r="H2115" s="120"/>
      <c r="I2115" s="120"/>
      <c r="J2115" s="120"/>
      <c r="K2115" s="120"/>
      <c r="L2115" s="160"/>
      <c r="AK2115" s="10"/>
      <c r="AL2115" s="10"/>
      <c r="AM2115" s="10"/>
    </row>
    <row r="2116" spans="1:40" ht="18" hidden="1" customHeight="1" outlineLevel="2" x14ac:dyDescent="0.2">
      <c r="A2116" s="25"/>
      <c r="B2116" s="25"/>
      <c r="C2116" s="25"/>
      <c r="D2116" s="25"/>
      <c r="E2116" s="25" t="s">
        <v>3993</v>
      </c>
      <c r="F2116" s="25" t="s">
        <v>3929</v>
      </c>
      <c r="G2116" s="25"/>
      <c r="H2116" s="25"/>
      <c r="I2116" s="25"/>
      <c r="AK2116" s="10">
        <v>524161</v>
      </c>
      <c r="AL2116" s="10">
        <v>60006232</v>
      </c>
      <c r="AM2116" s="10">
        <v>280005</v>
      </c>
    </row>
    <row r="2117" spans="1:40" ht="18" hidden="1" customHeight="1" outlineLevel="2" x14ac:dyDescent="0.2">
      <c r="A2117" s="25"/>
      <c r="B2117" s="25"/>
      <c r="C2117" s="25"/>
      <c r="D2117" s="25"/>
      <c r="E2117" s="25" t="s">
        <v>3993</v>
      </c>
      <c r="F2117" s="25" t="s">
        <v>3930</v>
      </c>
      <c r="G2117" s="25"/>
      <c r="H2117" s="25"/>
      <c r="I2117" s="25"/>
      <c r="AK2117" s="10">
        <v>543544</v>
      </c>
      <c r="AL2117" s="10">
        <v>37361</v>
      </c>
      <c r="AM2117" s="10">
        <v>867742</v>
      </c>
    </row>
    <row r="2118" spans="1:40" ht="18" hidden="1" customHeight="1" outlineLevel="2" x14ac:dyDescent="0.2">
      <c r="A2118" s="25"/>
      <c r="B2118" s="25"/>
      <c r="C2118" s="25"/>
      <c r="D2118" s="25"/>
      <c r="E2118" s="25" t="s">
        <v>3993</v>
      </c>
      <c r="F2118" s="25" t="s">
        <v>3931</v>
      </c>
      <c r="G2118" s="25"/>
      <c r="H2118" s="25"/>
      <c r="I2118" s="25"/>
      <c r="AK2118" s="10">
        <v>543545</v>
      </c>
      <c r="AL2118" s="10">
        <v>37362</v>
      </c>
      <c r="AM2118" s="10">
        <v>867743</v>
      </c>
    </row>
    <row r="2119" spans="1:40" ht="18" hidden="1" customHeight="1" outlineLevel="2" x14ac:dyDescent="0.2">
      <c r="A2119" s="25"/>
      <c r="B2119" s="25"/>
      <c r="C2119" s="25"/>
      <c r="D2119" s="25"/>
      <c r="E2119" s="25" t="s">
        <v>3993</v>
      </c>
      <c r="F2119" s="25" t="s">
        <v>3932</v>
      </c>
      <c r="G2119" s="25"/>
      <c r="H2119" s="25"/>
      <c r="I2119" s="25"/>
      <c r="AK2119" s="10">
        <v>543546</v>
      </c>
      <c r="AL2119" s="10">
        <v>37363</v>
      </c>
      <c r="AM2119" s="10">
        <v>867744</v>
      </c>
    </row>
    <row r="2120" spans="1:40" ht="18" hidden="1" customHeight="1" outlineLevel="2" x14ac:dyDescent="0.2">
      <c r="A2120" s="25"/>
      <c r="B2120" s="25"/>
      <c r="C2120" s="25"/>
      <c r="D2120" s="25"/>
      <c r="E2120" s="25" t="s">
        <v>3993</v>
      </c>
      <c r="F2120" s="25" t="s">
        <v>3933</v>
      </c>
      <c r="G2120" s="25"/>
      <c r="H2120" s="25"/>
      <c r="I2120" s="25"/>
      <c r="AK2120" s="10">
        <v>524172</v>
      </c>
      <c r="AL2120" s="10">
        <v>37364</v>
      </c>
      <c r="AM2120" s="10">
        <v>867745</v>
      </c>
    </row>
    <row r="2121" spans="1:40" ht="18" hidden="1" customHeight="1" outlineLevel="2" x14ac:dyDescent="0.2">
      <c r="A2121" s="25"/>
      <c r="B2121" s="25"/>
      <c r="C2121" s="25"/>
      <c r="D2121" s="25"/>
      <c r="E2121" s="25" t="s">
        <v>3993</v>
      </c>
      <c r="F2121" s="25" t="s">
        <v>3934</v>
      </c>
      <c r="G2121" s="25"/>
      <c r="H2121" s="25"/>
      <c r="I2121" s="25"/>
      <c r="AK2121" s="10">
        <v>524173</v>
      </c>
      <c r="AL2121" s="10">
        <v>37365</v>
      </c>
      <c r="AM2121" s="10">
        <v>867746</v>
      </c>
    </row>
    <row r="2122" spans="1:40" ht="18" hidden="1" customHeight="1" outlineLevel="2" x14ac:dyDescent="0.2">
      <c r="A2122" s="25"/>
      <c r="B2122" s="25"/>
      <c r="C2122" s="25"/>
      <c r="D2122" s="25"/>
      <c r="E2122" s="25" t="s">
        <v>3993</v>
      </c>
      <c r="F2122" s="25" t="s">
        <v>3935</v>
      </c>
      <c r="G2122" s="25"/>
      <c r="H2122" s="25"/>
      <c r="I2122" s="25"/>
      <c r="AK2122" s="10">
        <v>524174</v>
      </c>
      <c r="AL2122" s="10">
        <v>37366</v>
      </c>
      <c r="AM2122" s="10">
        <v>867747</v>
      </c>
    </row>
    <row r="2123" spans="1:40" ht="18" hidden="1" customHeight="1" outlineLevel="2" x14ac:dyDescent="0.2">
      <c r="A2123" s="25"/>
      <c r="B2123" s="25"/>
      <c r="C2123" s="25"/>
      <c r="D2123" s="25"/>
      <c r="E2123" s="25" t="s">
        <v>3993</v>
      </c>
      <c r="F2123" s="25" t="s">
        <v>3936</v>
      </c>
      <c r="G2123" s="25"/>
      <c r="H2123" s="25"/>
      <c r="I2123" s="25"/>
      <c r="AK2123" s="10">
        <v>524175</v>
      </c>
      <c r="AL2123" s="10">
        <v>37367</v>
      </c>
      <c r="AM2123" s="10">
        <v>867748</v>
      </c>
      <c r="AN2123" s="10"/>
    </row>
    <row r="2124" spans="1:40" ht="18" hidden="1" customHeight="1" outlineLevel="2" x14ac:dyDescent="0.2">
      <c r="A2124" s="25"/>
      <c r="B2124" s="25"/>
      <c r="C2124" s="25"/>
      <c r="D2124" s="25"/>
      <c r="E2124" s="25"/>
      <c r="F2124" s="25"/>
      <c r="G2124" s="25"/>
      <c r="H2124" s="25"/>
      <c r="I2124" s="25"/>
      <c r="AK2124" s="10"/>
      <c r="AL2124" s="10"/>
      <c r="AM2124" s="10"/>
      <c r="AN2124" s="10"/>
    </row>
    <row r="2125" spans="1:40" ht="18" hidden="1" customHeight="1" outlineLevel="1" collapsed="1" x14ac:dyDescent="0.2">
      <c r="A2125" s="119" t="s">
        <v>4203</v>
      </c>
      <c r="B2125" s="120"/>
      <c r="C2125" s="120"/>
      <c r="D2125" s="120"/>
      <c r="E2125" s="120"/>
      <c r="F2125" s="120"/>
      <c r="G2125" s="120"/>
      <c r="H2125" s="120"/>
      <c r="I2125" s="120"/>
      <c r="J2125" s="120"/>
      <c r="K2125" s="120"/>
      <c r="L2125" s="160"/>
      <c r="AK2125" s="10"/>
      <c r="AL2125" s="10"/>
      <c r="AM2125" s="10"/>
      <c r="AN2125" s="10"/>
    </row>
    <row r="2126" spans="1:40" ht="18" hidden="1" customHeight="1" outlineLevel="2" x14ac:dyDescent="0.2">
      <c r="A2126" s="25"/>
      <c r="B2126" s="25"/>
      <c r="C2126" s="25"/>
      <c r="D2126" s="25"/>
      <c r="E2126" s="25" t="s">
        <v>3994</v>
      </c>
      <c r="F2126" s="25" t="s">
        <v>3995</v>
      </c>
      <c r="G2126" s="25"/>
      <c r="H2126" s="25"/>
      <c r="I2126" s="25"/>
      <c r="J2126" s="25">
        <v>1000</v>
      </c>
      <c r="AK2126" s="10">
        <v>533303</v>
      </c>
      <c r="AL2126" s="10">
        <v>60040910</v>
      </c>
      <c r="AM2126" s="10">
        <v>300881</v>
      </c>
      <c r="AN2126" s="10"/>
    </row>
    <row r="2127" spans="1:40" ht="18" hidden="1" customHeight="1" outlineLevel="2" x14ac:dyDescent="0.2">
      <c r="A2127" s="25"/>
      <c r="B2127" s="25"/>
      <c r="C2127" s="25"/>
      <c r="D2127" s="25"/>
      <c r="E2127" s="25"/>
      <c r="F2127" s="25"/>
      <c r="G2127" s="25"/>
      <c r="H2127" s="25"/>
      <c r="I2127" s="25"/>
      <c r="AK2127" s="10"/>
      <c r="AL2127" s="10"/>
      <c r="AM2127" s="10"/>
      <c r="AN2127" s="10"/>
    </row>
    <row r="2128" spans="1:40" ht="18" hidden="1" customHeight="1" outlineLevel="2" x14ac:dyDescent="0.2">
      <c r="A2128" s="25"/>
      <c r="B2128" s="25"/>
      <c r="C2128" s="25"/>
      <c r="D2128" s="25" t="s">
        <v>3371</v>
      </c>
      <c r="E2128" s="70" t="s">
        <v>2075</v>
      </c>
      <c r="F2128" s="25" t="s">
        <v>885</v>
      </c>
      <c r="G2128" s="25"/>
      <c r="H2128" s="25"/>
      <c r="I2128" s="25"/>
      <c r="J2128" s="25" t="s">
        <v>267</v>
      </c>
      <c r="K2128" s="25">
        <v>10</v>
      </c>
      <c r="L2128" s="25">
        <v>15</v>
      </c>
      <c r="N2128" s="75"/>
      <c r="AK2128" s="10">
        <v>547579</v>
      </c>
      <c r="AL2128" s="10">
        <v>975267</v>
      </c>
      <c r="AM2128" s="10">
        <v>300877</v>
      </c>
    </row>
    <row r="2129" spans="1:39" ht="18" hidden="1" customHeight="1" outlineLevel="2" x14ac:dyDescent="0.2">
      <c r="A2129" s="25"/>
      <c r="B2129" s="25"/>
      <c r="C2129" s="25"/>
      <c r="D2129" s="25"/>
      <c r="E2129" s="25" t="s">
        <v>3996</v>
      </c>
      <c r="F2129" s="25" t="s">
        <v>889</v>
      </c>
      <c r="G2129" s="25"/>
      <c r="H2129" s="25"/>
      <c r="I2129" s="25"/>
      <c r="J2129" s="25" t="s">
        <v>267</v>
      </c>
      <c r="AK2129" s="10">
        <v>533327</v>
      </c>
      <c r="AL2129" s="10">
        <v>975270</v>
      </c>
      <c r="AM2129" s="10">
        <v>924789</v>
      </c>
    </row>
    <row r="2130" spans="1:39" ht="18" hidden="1" customHeight="1" outlineLevel="2" x14ac:dyDescent="0.2">
      <c r="A2130" s="25"/>
      <c r="B2130" s="25"/>
      <c r="C2130" s="25"/>
      <c r="D2130" s="25"/>
      <c r="E2130" s="25" t="s">
        <v>3997</v>
      </c>
      <c r="F2130" s="25" t="s">
        <v>885</v>
      </c>
      <c r="G2130" s="25"/>
      <c r="H2130" s="25"/>
      <c r="I2130" s="25" t="s">
        <v>885</v>
      </c>
      <c r="J2130" s="25" t="s">
        <v>3108</v>
      </c>
      <c r="K2130" s="25">
        <v>10</v>
      </c>
      <c r="L2130" s="25">
        <v>15</v>
      </c>
      <c r="AK2130" s="10">
        <v>533589</v>
      </c>
      <c r="AL2130" s="10">
        <v>37920</v>
      </c>
      <c r="AM2130" s="10">
        <v>300876</v>
      </c>
    </row>
    <row r="2131" spans="1:39" ht="18" hidden="1" customHeight="1" outlineLevel="2" x14ac:dyDescent="0.2">
      <c r="A2131" s="25"/>
      <c r="B2131" s="25"/>
      <c r="C2131" s="25"/>
      <c r="D2131" s="25"/>
      <c r="E2131" s="25"/>
      <c r="F2131" s="25"/>
      <c r="G2131" s="25"/>
      <c r="H2131" s="25"/>
      <c r="I2131" s="25"/>
      <c r="AK2131" s="10"/>
      <c r="AL2131" s="10"/>
      <c r="AM2131" s="10"/>
    </row>
    <row r="2132" spans="1:39" ht="18" hidden="1" customHeight="1" outlineLevel="2" x14ac:dyDescent="0.2">
      <c r="A2132" s="25"/>
      <c r="B2132" s="25"/>
      <c r="C2132" s="25"/>
      <c r="D2132" s="25"/>
      <c r="E2132" s="25" t="s">
        <v>3998</v>
      </c>
      <c r="F2132" s="25" t="s">
        <v>3999</v>
      </c>
      <c r="G2132" s="25"/>
      <c r="H2132" s="25"/>
      <c r="I2132" s="25" t="s">
        <v>4004</v>
      </c>
      <c r="AK2132" s="10">
        <v>533588</v>
      </c>
      <c r="AL2132" s="10">
        <v>240447</v>
      </c>
      <c r="AM2132" s="10">
        <v>822115</v>
      </c>
    </row>
    <row r="2133" spans="1:39" ht="18" hidden="1" customHeight="1" outlineLevel="2" x14ac:dyDescent="0.2">
      <c r="A2133" s="25"/>
      <c r="B2133" s="25"/>
      <c r="C2133" s="25"/>
      <c r="D2133" s="25"/>
      <c r="E2133" s="25" t="s">
        <v>4000</v>
      </c>
      <c r="F2133" s="25" t="s">
        <v>4001</v>
      </c>
      <c r="G2133" s="25"/>
      <c r="H2133" s="25"/>
      <c r="I2133" s="25" t="s">
        <v>4005</v>
      </c>
      <c r="AK2133" s="10">
        <v>547518</v>
      </c>
      <c r="AL2133" s="10">
        <v>240448</v>
      </c>
      <c r="AM2133" s="10">
        <v>821776</v>
      </c>
    </row>
    <row r="2134" spans="1:39" ht="18" hidden="1" customHeight="1" outlineLevel="2" x14ac:dyDescent="0.2">
      <c r="A2134" s="25"/>
      <c r="B2134" s="25"/>
      <c r="C2134" s="25"/>
      <c r="D2134" s="25"/>
      <c r="E2134" s="25" t="s">
        <v>3998</v>
      </c>
      <c r="F2134" s="25" t="s">
        <v>4002</v>
      </c>
      <c r="G2134" s="25"/>
      <c r="H2134" s="25"/>
      <c r="I2134" s="25" t="s">
        <v>4006</v>
      </c>
      <c r="AK2134" s="10">
        <v>547650</v>
      </c>
      <c r="AL2134" s="10">
        <v>240445</v>
      </c>
      <c r="AM2134" s="10">
        <v>821773</v>
      </c>
    </row>
    <row r="2135" spans="1:39" ht="18" hidden="1" customHeight="1" outlineLevel="2" x14ac:dyDescent="0.2">
      <c r="A2135" s="25"/>
      <c r="B2135" s="25"/>
      <c r="C2135" s="25"/>
      <c r="D2135" s="25"/>
      <c r="E2135" s="25" t="s">
        <v>4000</v>
      </c>
      <c r="F2135" s="25" t="s">
        <v>4003</v>
      </c>
      <c r="G2135" s="25"/>
      <c r="H2135" s="25"/>
      <c r="I2135" s="25" t="s">
        <v>4007</v>
      </c>
      <c r="AK2135" s="10">
        <v>547519</v>
      </c>
      <c r="AL2135" s="10">
        <v>240446</v>
      </c>
      <c r="AM2135" s="10">
        <v>821774</v>
      </c>
    </row>
    <row r="2136" spans="1:39" ht="18" hidden="1" customHeight="1" outlineLevel="2" x14ac:dyDescent="0.2">
      <c r="A2136" s="25"/>
      <c r="B2136" s="25"/>
      <c r="C2136" s="25"/>
      <c r="D2136" s="25"/>
      <c r="E2136" s="25"/>
      <c r="F2136" s="25"/>
      <c r="G2136" s="25"/>
      <c r="H2136" s="25"/>
      <c r="I2136" s="25"/>
      <c r="AK2136" s="10"/>
      <c r="AL2136" s="10"/>
      <c r="AM2136" s="10"/>
    </row>
    <row r="2137" spans="1:39" ht="18" hidden="1" customHeight="1" outlineLevel="2" x14ac:dyDescent="0.2">
      <c r="A2137" s="25"/>
      <c r="B2137" s="25"/>
      <c r="C2137" s="25"/>
      <c r="D2137" s="25"/>
      <c r="E2137" s="65" t="s">
        <v>2076</v>
      </c>
      <c r="F2137" s="25" t="s">
        <v>2077</v>
      </c>
      <c r="G2137" s="25" t="s">
        <v>2078</v>
      </c>
      <c r="H2137" s="25" t="s">
        <v>204</v>
      </c>
      <c r="I2137" s="25"/>
      <c r="J2137" s="25" t="s">
        <v>3075</v>
      </c>
      <c r="N2137" s="75"/>
    </row>
    <row r="2138" spans="1:39" ht="18" hidden="1" customHeight="1" outlineLevel="2" x14ac:dyDescent="0.2">
      <c r="A2138" s="25"/>
      <c r="B2138" s="25"/>
      <c r="C2138" s="25"/>
      <c r="D2138" s="25"/>
      <c r="E2138" s="65" t="s">
        <v>2079</v>
      </c>
      <c r="F2138" s="25" t="s">
        <v>2077</v>
      </c>
      <c r="G2138" s="25" t="s">
        <v>2080</v>
      </c>
      <c r="H2138" s="25" t="s">
        <v>204</v>
      </c>
      <c r="I2138" s="25"/>
      <c r="J2138" s="25" t="s">
        <v>350</v>
      </c>
      <c r="N2138" s="75"/>
    </row>
    <row r="2139" spans="1:39" ht="18" hidden="1" customHeight="1" outlineLevel="2" x14ac:dyDescent="0.2">
      <c r="A2139" s="25"/>
      <c r="B2139" s="25"/>
      <c r="C2139" s="25"/>
      <c r="D2139" s="25"/>
      <c r="E2139" s="25"/>
      <c r="F2139" s="25"/>
      <c r="G2139" s="25"/>
      <c r="H2139" s="25"/>
      <c r="I2139" s="25"/>
      <c r="AK2139" s="10"/>
      <c r="AL2139" s="10"/>
      <c r="AM2139" s="10"/>
    </row>
    <row r="2140" spans="1:39" ht="18" hidden="1" customHeight="1" outlineLevel="1" collapsed="1" x14ac:dyDescent="0.2">
      <c r="A2140" s="119" t="s">
        <v>4009</v>
      </c>
      <c r="B2140" s="120"/>
      <c r="C2140" s="120"/>
      <c r="D2140" s="120"/>
      <c r="E2140" s="120"/>
      <c r="F2140" s="120"/>
      <c r="G2140" s="120"/>
      <c r="H2140" s="120"/>
      <c r="I2140" s="120"/>
      <c r="J2140" s="120"/>
      <c r="K2140" s="120"/>
      <c r="L2140" s="160"/>
      <c r="AK2140" s="10"/>
      <c r="AL2140" s="10"/>
      <c r="AM2140" s="10"/>
    </row>
    <row r="2141" spans="1:39" ht="18" hidden="1" customHeight="1" outlineLevel="2" x14ac:dyDescent="0.2">
      <c r="A2141" s="25"/>
      <c r="B2141" s="25"/>
      <c r="C2141" s="25"/>
      <c r="D2141" s="25"/>
      <c r="E2141" s="25" t="s">
        <v>4025</v>
      </c>
      <c r="F2141" s="25" t="s">
        <v>4011</v>
      </c>
      <c r="G2141" s="25"/>
      <c r="H2141" s="25"/>
      <c r="I2141" s="25" t="s">
        <v>4010</v>
      </c>
      <c r="AK2141" s="10">
        <v>521000</v>
      </c>
      <c r="AL2141" s="10">
        <v>24610</v>
      </c>
      <c r="AM2141" s="10">
        <v>1910</v>
      </c>
    </row>
    <row r="2142" spans="1:39" ht="18" hidden="1" customHeight="1" outlineLevel="2" x14ac:dyDescent="0.2">
      <c r="A2142" s="25"/>
      <c r="B2142" s="25"/>
      <c r="C2142" s="25"/>
      <c r="D2142" s="25"/>
      <c r="E2142" s="25" t="s">
        <v>4025</v>
      </c>
      <c r="F2142" s="25" t="s">
        <v>4012</v>
      </c>
      <c r="G2142" s="25"/>
      <c r="H2142" s="25"/>
      <c r="I2142" s="25" t="s">
        <v>4010</v>
      </c>
      <c r="AK2142" s="10">
        <v>521001</v>
      </c>
      <c r="AL2142" s="10">
        <v>24616</v>
      </c>
      <c r="AM2142" s="10">
        <v>1911</v>
      </c>
    </row>
    <row r="2143" spans="1:39" ht="18" hidden="1" customHeight="1" outlineLevel="2" x14ac:dyDescent="0.2">
      <c r="A2143" s="25"/>
      <c r="B2143" s="25"/>
      <c r="C2143" s="25"/>
      <c r="D2143" s="25"/>
      <c r="E2143" s="25" t="s">
        <v>4025</v>
      </c>
      <c r="F2143" s="25" t="s">
        <v>4013</v>
      </c>
      <c r="G2143" s="25"/>
      <c r="H2143" s="25"/>
      <c r="I2143" s="25" t="s">
        <v>4010</v>
      </c>
      <c r="AK2143" s="10">
        <v>521002</v>
      </c>
      <c r="AL2143" s="10">
        <v>24622</v>
      </c>
      <c r="AM2143" s="10">
        <v>1912</v>
      </c>
    </row>
    <row r="2144" spans="1:39" ht="18" hidden="1" customHeight="1" outlineLevel="2" x14ac:dyDescent="0.2">
      <c r="A2144" s="25"/>
      <c r="B2144" s="25"/>
      <c r="C2144" s="25"/>
      <c r="D2144" s="25"/>
      <c r="E2144" s="25" t="s">
        <v>4025</v>
      </c>
      <c r="F2144" s="25" t="s">
        <v>4014</v>
      </c>
      <c r="G2144" s="25"/>
      <c r="H2144" s="25"/>
      <c r="I2144" s="25" t="s">
        <v>4010</v>
      </c>
      <c r="AK2144" s="10">
        <v>521003</v>
      </c>
      <c r="AL2144" s="10">
        <v>24628</v>
      </c>
      <c r="AM2144" s="10">
        <v>1913</v>
      </c>
    </row>
    <row r="2145" spans="1:39" ht="18" hidden="1" customHeight="1" outlineLevel="2" x14ac:dyDescent="0.2">
      <c r="A2145" s="25"/>
      <c r="B2145" s="25"/>
      <c r="C2145" s="25"/>
      <c r="D2145" s="25"/>
      <c r="E2145" s="25" t="s">
        <v>4025</v>
      </c>
      <c r="F2145" s="25" t="s">
        <v>4015</v>
      </c>
      <c r="G2145" s="25"/>
      <c r="H2145" s="25"/>
      <c r="I2145" s="25" t="s">
        <v>4010</v>
      </c>
      <c r="AK2145" s="10">
        <v>521004</v>
      </c>
      <c r="AL2145" s="10">
        <v>24634</v>
      </c>
      <c r="AM2145" s="10">
        <v>1914</v>
      </c>
    </row>
    <row r="2146" spans="1:39" ht="18" hidden="1" customHeight="1" outlineLevel="2" x14ac:dyDescent="0.2">
      <c r="A2146" s="25"/>
      <c r="B2146" s="25"/>
      <c r="C2146" s="25"/>
      <c r="D2146" s="25"/>
      <c r="E2146" s="25" t="s">
        <v>4025</v>
      </c>
      <c r="F2146" s="25" t="s">
        <v>4016</v>
      </c>
      <c r="G2146" s="25"/>
      <c r="H2146" s="25"/>
      <c r="I2146" s="25" t="s">
        <v>4010</v>
      </c>
      <c r="AK2146" s="10">
        <v>521005</v>
      </c>
      <c r="AL2146" s="10">
        <v>24640</v>
      </c>
      <c r="AM2146" s="10">
        <v>1915</v>
      </c>
    </row>
    <row r="2147" spans="1:39" ht="18" hidden="1" customHeight="1" outlineLevel="2" x14ac:dyDescent="0.2">
      <c r="A2147" s="25"/>
      <c r="B2147" s="25"/>
      <c r="C2147" s="25"/>
      <c r="D2147" s="25"/>
      <c r="E2147" s="25" t="s">
        <v>4025</v>
      </c>
      <c r="F2147" s="25" t="s">
        <v>4017</v>
      </c>
      <c r="G2147" s="25"/>
      <c r="H2147" s="25"/>
      <c r="I2147" s="25" t="s">
        <v>4010</v>
      </c>
      <c r="AK2147" s="10">
        <v>521006</v>
      </c>
      <c r="AL2147" s="10">
        <v>24646</v>
      </c>
      <c r="AM2147" s="10">
        <v>1916</v>
      </c>
    </row>
    <row r="2148" spans="1:39" ht="18" hidden="1" customHeight="1" outlineLevel="2" x14ac:dyDescent="0.2">
      <c r="A2148" s="25"/>
      <c r="B2148" s="25"/>
      <c r="C2148" s="25"/>
      <c r="D2148" s="25"/>
      <c r="E2148" s="25" t="s">
        <v>4028</v>
      </c>
      <c r="F2148" s="25" t="s">
        <v>4021</v>
      </c>
      <c r="G2148" s="25"/>
      <c r="H2148" s="25"/>
      <c r="I2148" s="25"/>
      <c r="AK2148" s="10">
        <v>520025</v>
      </c>
      <c r="AL2148" s="10">
        <v>250020</v>
      </c>
      <c r="AM2148" s="10">
        <v>1134</v>
      </c>
    </row>
    <row r="2149" spans="1:39" ht="18" hidden="1" customHeight="1" outlineLevel="2" x14ac:dyDescent="0.2">
      <c r="A2149" s="25"/>
      <c r="B2149" s="25"/>
      <c r="C2149" s="25"/>
      <c r="D2149" s="25"/>
      <c r="E2149" s="25"/>
      <c r="F2149" s="25"/>
      <c r="G2149" s="25"/>
      <c r="H2149" s="25"/>
      <c r="I2149" s="25"/>
      <c r="AK2149" s="10"/>
      <c r="AL2149" s="10"/>
      <c r="AM2149" s="10"/>
    </row>
    <row r="2150" spans="1:39" ht="18" hidden="1" customHeight="1" outlineLevel="2" x14ac:dyDescent="0.25">
      <c r="A2150" s="25"/>
      <c r="B2150" s="25"/>
      <c r="C2150" s="25"/>
      <c r="D2150" s="25"/>
      <c r="E2150" s="25" t="s">
        <v>4024</v>
      </c>
      <c r="F2150" s="25" t="s">
        <v>4021</v>
      </c>
      <c r="G2150" s="25"/>
      <c r="H2150" s="25"/>
      <c r="I2150" s="25" t="s">
        <v>4042</v>
      </c>
      <c r="M2150" s="80"/>
      <c r="AK2150" s="10">
        <v>521633</v>
      </c>
      <c r="AL2150" s="10">
        <v>250798</v>
      </c>
      <c r="AM2150" s="10">
        <v>230061</v>
      </c>
    </row>
    <row r="2151" spans="1:39" ht="18" hidden="1" customHeight="1" outlineLevel="2" x14ac:dyDescent="0.2">
      <c r="A2151" s="25"/>
      <c r="B2151" s="25"/>
      <c r="C2151" s="25"/>
      <c r="D2151" s="25"/>
      <c r="E2151" s="65" t="s">
        <v>4175</v>
      </c>
      <c r="F2151" s="25" t="s">
        <v>4021</v>
      </c>
      <c r="G2151" s="25"/>
      <c r="H2151" s="25"/>
      <c r="I2151" s="25"/>
      <c r="AK2151" s="10">
        <v>520019</v>
      </c>
      <c r="AL2151" s="10">
        <v>250023</v>
      </c>
      <c r="AM2151" s="10">
        <v>230063</v>
      </c>
    </row>
    <row r="2152" spans="1:39" ht="18" hidden="1" customHeight="1" outlineLevel="2" x14ac:dyDescent="0.2">
      <c r="A2152" s="25"/>
      <c r="B2152" s="25"/>
      <c r="C2152" s="25"/>
      <c r="D2152" s="25"/>
      <c r="E2152" s="25"/>
      <c r="F2152" s="25"/>
      <c r="G2152" s="25"/>
      <c r="H2152" s="25"/>
      <c r="I2152" s="25"/>
      <c r="AK2152" s="10"/>
      <c r="AL2152" s="10"/>
      <c r="AM2152" s="10"/>
    </row>
    <row r="2153" spans="1:39" ht="18" hidden="1" customHeight="1" outlineLevel="2" x14ac:dyDescent="0.2">
      <c r="A2153" s="25"/>
      <c r="B2153" s="25"/>
      <c r="C2153" s="25"/>
      <c r="D2153" s="25"/>
      <c r="E2153" s="25" t="s">
        <v>4023</v>
      </c>
      <c r="F2153" s="25" t="s">
        <v>4021</v>
      </c>
      <c r="G2153" s="25">
        <v>230056</v>
      </c>
      <c r="H2153" s="25" t="s">
        <v>4018</v>
      </c>
      <c r="I2153" s="25" t="s">
        <v>4041</v>
      </c>
      <c r="AK2153" s="10"/>
      <c r="AL2153" s="10"/>
      <c r="AM2153" s="10">
        <v>230056</v>
      </c>
    </row>
    <row r="2154" spans="1:39" ht="18" hidden="1" customHeight="1" outlineLevel="2" x14ac:dyDescent="0.2">
      <c r="A2154" s="25"/>
      <c r="B2154" s="25"/>
      <c r="C2154" s="25"/>
      <c r="D2154" s="25"/>
      <c r="E2154" s="25" t="s">
        <v>4023</v>
      </c>
      <c r="F2154" s="25" t="s">
        <v>4020</v>
      </c>
      <c r="G2154" s="25">
        <v>230057</v>
      </c>
      <c r="H2154" s="25" t="s">
        <v>4018</v>
      </c>
      <c r="I2154" s="25" t="s">
        <v>4040</v>
      </c>
      <c r="AK2154" s="10"/>
      <c r="AL2154" s="10"/>
      <c r="AM2154" s="10">
        <v>230057</v>
      </c>
    </row>
    <row r="2155" spans="1:39" ht="18" hidden="1" customHeight="1" outlineLevel="2" x14ac:dyDescent="0.2">
      <c r="A2155" s="25"/>
      <c r="B2155" s="25"/>
      <c r="C2155" s="25"/>
      <c r="D2155" s="25"/>
      <c r="E2155" s="25" t="s">
        <v>4023</v>
      </c>
      <c r="F2155" s="25" t="s">
        <v>4022</v>
      </c>
      <c r="G2155" s="25">
        <v>230058</v>
      </c>
      <c r="H2155" s="25" t="s">
        <v>4018</v>
      </c>
      <c r="I2155" s="25" t="s">
        <v>4040</v>
      </c>
      <c r="AK2155" s="10"/>
      <c r="AL2155" s="10"/>
      <c r="AM2155" s="10">
        <v>230058</v>
      </c>
    </row>
    <row r="2156" spans="1:39" ht="18" hidden="1" customHeight="1" outlineLevel="2" x14ac:dyDescent="0.2">
      <c r="A2156" s="25"/>
      <c r="B2156" s="25"/>
      <c r="C2156" s="25"/>
      <c r="D2156" s="25"/>
      <c r="E2156" s="25" t="s">
        <v>4029</v>
      </c>
      <c r="F2156" s="25" t="s">
        <v>4020</v>
      </c>
      <c r="G2156" s="25">
        <v>300328</v>
      </c>
      <c r="H2156" s="25" t="s">
        <v>4018</v>
      </c>
      <c r="I2156" s="25"/>
      <c r="AK2156" s="10"/>
      <c r="AL2156" s="10"/>
      <c r="AM2156" s="10">
        <v>300328</v>
      </c>
    </row>
    <row r="2157" spans="1:39" ht="18" hidden="1" customHeight="1" outlineLevel="2" x14ac:dyDescent="0.2">
      <c r="A2157" s="25"/>
      <c r="B2157" s="25"/>
      <c r="C2157" s="25"/>
      <c r="D2157" s="25"/>
      <c r="E2157" s="25" t="s">
        <v>4029</v>
      </c>
      <c r="F2157" s="25" t="s">
        <v>4022</v>
      </c>
      <c r="G2157" s="25">
        <v>300332</v>
      </c>
      <c r="H2157" s="25" t="s">
        <v>4018</v>
      </c>
      <c r="I2157" s="25"/>
      <c r="AK2157" s="10"/>
      <c r="AL2157" s="10"/>
      <c r="AM2157" s="10">
        <v>300332</v>
      </c>
    </row>
    <row r="2158" spans="1:39" ht="18" hidden="1" customHeight="1" outlineLevel="2" x14ac:dyDescent="0.2">
      <c r="A2158" s="25"/>
      <c r="B2158" s="25"/>
      <c r="C2158" s="25"/>
      <c r="D2158" s="25"/>
      <c r="E2158" s="25"/>
      <c r="F2158" s="25"/>
      <c r="G2158" s="25"/>
      <c r="H2158" s="25"/>
      <c r="I2158" s="25"/>
      <c r="AK2158" s="10"/>
      <c r="AL2158" s="10"/>
      <c r="AM2158" s="10"/>
    </row>
    <row r="2159" spans="1:39" ht="18" hidden="1" customHeight="1" outlineLevel="2" x14ac:dyDescent="0.2">
      <c r="A2159" s="25"/>
      <c r="B2159" s="25"/>
      <c r="C2159" s="25"/>
      <c r="D2159" s="25"/>
      <c r="E2159" s="25" t="s">
        <v>4026</v>
      </c>
      <c r="F2159" s="25" t="s">
        <v>4021</v>
      </c>
      <c r="G2159" s="25">
        <v>61005575</v>
      </c>
      <c r="H2159" s="25" t="s">
        <v>4019</v>
      </c>
      <c r="I2159" s="25" t="s">
        <v>4039</v>
      </c>
      <c r="AK2159" s="10"/>
      <c r="AL2159" s="10">
        <v>61005575</v>
      </c>
      <c r="AM2159" s="10"/>
    </row>
    <row r="2160" spans="1:39" ht="18" hidden="1" customHeight="1" outlineLevel="2" x14ac:dyDescent="0.2">
      <c r="A2160" s="25"/>
      <c r="B2160" s="25"/>
      <c r="C2160" s="25"/>
      <c r="D2160" s="25"/>
      <c r="E2160" s="25" t="s">
        <v>4026</v>
      </c>
      <c r="F2160" s="25" t="s">
        <v>4020</v>
      </c>
      <c r="G2160" s="25">
        <v>61005576</v>
      </c>
      <c r="H2160" s="25" t="s">
        <v>4019</v>
      </c>
      <c r="I2160" s="25" t="s">
        <v>4039</v>
      </c>
      <c r="AK2160" s="10"/>
      <c r="AL2160" s="10">
        <v>61005576</v>
      </c>
      <c r="AM2160" s="10"/>
    </row>
    <row r="2161" spans="1:39" ht="18" hidden="1" customHeight="1" outlineLevel="2" x14ac:dyDescent="0.2">
      <c r="A2161" s="25"/>
      <c r="B2161" s="25"/>
      <c r="C2161" s="25"/>
      <c r="D2161" s="25"/>
      <c r="E2161" s="25" t="s">
        <v>4026</v>
      </c>
      <c r="F2161" s="25" t="s">
        <v>4022</v>
      </c>
      <c r="G2161" s="25">
        <v>61005577</v>
      </c>
      <c r="H2161" s="25" t="s">
        <v>4019</v>
      </c>
      <c r="I2161" s="25" t="s">
        <v>4039</v>
      </c>
      <c r="AK2161" s="10"/>
      <c r="AL2161" s="10">
        <v>61005577</v>
      </c>
      <c r="AM2161" s="10"/>
    </row>
    <row r="2162" spans="1:39" ht="18" hidden="1" customHeight="1" outlineLevel="2" x14ac:dyDescent="0.2">
      <c r="A2162" s="25"/>
      <c r="B2162" s="25"/>
      <c r="C2162" s="25"/>
      <c r="D2162" s="25"/>
      <c r="E2162" s="25" t="s">
        <v>4027</v>
      </c>
      <c r="F2162" s="25" t="s">
        <v>4021</v>
      </c>
      <c r="G2162" s="25">
        <v>61005578</v>
      </c>
      <c r="H2162" s="25" t="s">
        <v>4019</v>
      </c>
      <c r="I2162" s="25"/>
      <c r="AK2162" s="10"/>
      <c r="AL2162" s="10">
        <v>61005578</v>
      </c>
      <c r="AM2162" s="10"/>
    </row>
    <row r="2163" spans="1:39" ht="18" hidden="1" customHeight="1" outlineLevel="2" x14ac:dyDescent="0.2">
      <c r="A2163" s="25"/>
      <c r="B2163" s="25"/>
      <c r="C2163" s="25"/>
      <c r="D2163" s="25"/>
      <c r="E2163" s="25" t="s">
        <v>4027</v>
      </c>
      <c r="F2163" s="25" t="s">
        <v>4020</v>
      </c>
      <c r="G2163" s="25">
        <v>61005579</v>
      </c>
      <c r="H2163" s="25" t="s">
        <v>4019</v>
      </c>
      <c r="I2163" s="25"/>
      <c r="AK2163" s="10"/>
      <c r="AL2163" s="10">
        <v>61005579</v>
      </c>
      <c r="AM2163" s="10"/>
    </row>
    <row r="2164" spans="1:39" ht="18" hidden="1" customHeight="1" outlineLevel="2" x14ac:dyDescent="0.2">
      <c r="A2164" s="25"/>
      <c r="B2164" s="25"/>
      <c r="C2164" s="25"/>
      <c r="D2164" s="25"/>
      <c r="E2164" s="25" t="s">
        <v>4027</v>
      </c>
      <c r="F2164" s="25" t="s">
        <v>4022</v>
      </c>
      <c r="G2164" s="25">
        <v>61005580</v>
      </c>
      <c r="H2164" s="25" t="s">
        <v>4019</v>
      </c>
      <c r="I2164" s="25"/>
      <c r="AK2164" s="10"/>
      <c r="AL2164" s="10">
        <v>61005580</v>
      </c>
      <c r="AM2164" s="10"/>
    </row>
    <row r="2165" spans="1:39" ht="18" hidden="1" customHeight="1" outlineLevel="2" x14ac:dyDescent="0.2">
      <c r="A2165" s="25"/>
      <c r="B2165" s="25"/>
      <c r="C2165" s="25"/>
      <c r="D2165" s="25"/>
      <c r="E2165" s="25"/>
      <c r="F2165" s="25"/>
      <c r="G2165" s="25"/>
      <c r="H2165" s="25"/>
      <c r="I2165" s="25"/>
      <c r="AK2165" s="10"/>
      <c r="AL2165" s="10"/>
      <c r="AM2165" s="10"/>
    </row>
    <row r="2166" spans="1:39" ht="18" hidden="1" customHeight="1" outlineLevel="2" x14ac:dyDescent="0.2">
      <c r="A2166" s="25"/>
      <c r="B2166" s="25"/>
      <c r="C2166" s="25"/>
      <c r="D2166" s="25"/>
      <c r="E2166" s="25" t="s">
        <v>4030</v>
      </c>
      <c r="F2166" s="25" t="s">
        <v>4021</v>
      </c>
      <c r="G2166" s="25">
        <v>112110</v>
      </c>
      <c r="H2166" s="25" t="s">
        <v>4019</v>
      </c>
      <c r="I2166" s="25" t="s">
        <v>4034</v>
      </c>
      <c r="AK2166" s="10"/>
      <c r="AL2166" s="10">
        <v>112110</v>
      </c>
      <c r="AM2166" s="10"/>
    </row>
    <row r="2167" spans="1:39" ht="18" hidden="1" customHeight="1" outlineLevel="2" x14ac:dyDescent="0.2">
      <c r="A2167" s="25"/>
      <c r="B2167" s="25"/>
      <c r="C2167" s="25"/>
      <c r="D2167" s="25"/>
      <c r="E2167" s="25" t="s">
        <v>4030</v>
      </c>
      <c r="F2167" s="25" t="s">
        <v>4020</v>
      </c>
      <c r="G2167" s="25">
        <v>112111</v>
      </c>
      <c r="H2167" s="25" t="s">
        <v>4019</v>
      </c>
      <c r="I2167" s="25" t="s">
        <v>4034</v>
      </c>
      <c r="AK2167" s="10"/>
      <c r="AL2167" s="10">
        <v>112111</v>
      </c>
      <c r="AM2167" s="10"/>
    </row>
    <row r="2168" spans="1:39" ht="18" hidden="1" customHeight="1" outlineLevel="2" x14ac:dyDescent="0.2">
      <c r="A2168" s="25"/>
      <c r="B2168" s="25"/>
      <c r="C2168" s="25"/>
      <c r="D2168" s="25"/>
      <c r="E2168" s="25" t="s">
        <v>4030</v>
      </c>
      <c r="F2168" s="25" t="s">
        <v>4022</v>
      </c>
      <c r="G2168" s="25">
        <v>112112</v>
      </c>
      <c r="H2168" s="25" t="s">
        <v>4019</v>
      </c>
      <c r="I2168" s="25" t="s">
        <v>4034</v>
      </c>
      <c r="AK2168" s="10"/>
      <c r="AL2168" s="10">
        <v>112112</v>
      </c>
      <c r="AM2168" s="10"/>
    </row>
    <row r="2169" spans="1:39" ht="18" hidden="1" customHeight="1" outlineLevel="2" x14ac:dyDescent="0.2">
      <c r="A2169" s="25"/>
      <c r="B2169" s="25"/>
      <c r="C2169" s="25"/>
      <c r="D2169" s="25"/>
      <c r="E2169" s="65" t="s">
        <v>4031</v>
      </c>
      <c r="F2169" s="25" t="s">
        <v>4021</v>
      </c>
      <c r="G2169" s="25">
        <v>250020</v>
      </c>
      <c r="H2169" s="25" t="s">
        <v>4019</v>
      </c>
      <c r="I2169" s="25"/>
      <c r="AK2169" s="10"/>
      <c r="AL2169" s="10">
        <v>250020</v>
      </c>
      <c r="AM2169" s="10"/>
    </row>
    <row r="2170" spans="1:39" ht="18" hidden="1" customHeight="1" outlineLevel="2" x14ac:dyDescent="0.2">
      <c r="A2170" s="25"/>
      <c r="B2170" s="25"/>
      <c r="C2170" s="25"/>
      <c r="D2170" s="25"/>
      <c r="E2170" s="65" t="s">
        <v>4031</v>
      </c>
      <c r="F2170" s="25" t="s">
        <v>4020</v>
      </c>
      <c r="G2170" s="25">
        <v>250059</v>
      </c>
      <c r="H2170" s="25" t="s">
        <v>4019</v>
      </c>
      <c r="I2170" s="25"/>
      <c r="AK2170" s="10"/>
      <c r="AL2170" s="10">
        <v>250059</v>
      </c>
      <c r="AM2170" s="10"/>
    </row>
    <row r="2171" spans="1:39" ht="18" hidden="1" customHeight="1" outlineLevel="2" x14ac:dyDescent="0.2">
      <c r="A2171" s="25"/>
      <c r="B2171" s="25"/>
      <c r="C2171" s="25"/>
      <c r="D2171" s="25"/>
      <c r="E2171" s="65" t="s">
        <v>4031</v>
      </c>
      <c r="F2171" s="25" t="s">
        <v>4022</v>
      </c>
      <c r="G2171" s="25">
        <v>250060</v>
      </c>
      <c r="H2171" s="25" t="s">
        <v>4019</v>
      </c>
      <c r="I2171" s="25"/>
      <c r="AK2171" s="10"/>
      <c r="AL2171" s="10">
        <v>250060</v>
      </c>
      <c r="AM2171" s="10"/>
    </row>
    <row r="2172" spans="1:39" ht="18" hidden="1" customHeight="1" outlineLevel="2" x14ac:dyDescent="0.2">
      <c r="A2172" s="25"/>
      <c r="B2172" s="25"/>
      <c r="C2172" s="25"/>
      <c r="D2172" s="25"/>
      <c r="E2172" s="25"/>
      <c r="F2172" s="25"/>
      <c r="G2172" s="25"/>
      <c r="H2172" s="25"/>
      <c r="I2172" s="25"/>
      <c r="AK2172" s="10"/>
      <c r="AL2172" s="10"/>
      <c r="AM2172" s="10"/>
    </row>
    <row r="2173" spans="1:39" ht="18" hidden="1" customHeight="1" outlineLevel="2" x14ac:dyDescent="0.2">
      <c r="A2173" s="25"/>
      <c r="B2173" s="25"/>
      <c r="C2173" s="25"/>
      <c r="D2173" s="25"/>
      <c r="E2173" s="25" t="s">
        <v>4032</v>
      </c>
      <c r="F2173" s="25" t="s">
        <v>4021</v>
      </c>
      <c r="G2173" s="25">
        <v>520299</v>
      </c>
      <c r="H2173" s="25" t="s">
        <v>4038</v>
      </c>
      <c r="I2173" s="25" t="s">
        <v>4034</v>
      </c>
      <c r="AK2173" s="10">
        <v>520299</v>
      </c>
      <c r="AL2173" s="10"/>
      <c r="AM2173" s="10"/>
    </row>
    <row r="2174" spans="1:39" ht="18" hidden="1" customHeight="1" outlineLevel="2" x14ac:dyDescent="0.2">
      <c r="A2174" s="25"/>
      <c r="B2174" s="25"/>
      <c r="C2174" s="25"/>
      <c r="D2174" s="25"/>
      <c r="E2174" s="25" t="s">
        <v>4032</v>
      </c>
      <c r="F2174" s="25" t="s">
        <v>4020</v>
      </c>
      <c r="G2174" s="25">
        <v>533178</v>
      </c>
      <c r="H2174" s="25" t="s">
        <v>4038</v>
      </c>
      <c r="I2174" s="25" t="s">
        <v>4034</v>
      </c>
      <c r="AK2174" s="10">
        <v>533178</v>
      </c>
      <c r="AL2174" s="10"/>
      <c r="AM2174" s="10"/>
    </row>
    <row r="2175" spans="1:39" ht="18" hidden="1" customHeight="1" outlineLevel="2" x14ac:dyDescent="0.2">
      <c r="A2175" s="25"/>
      <c r="B2175" s="25"/>
      <c r="C2175" s="25"/>
      <c r="D2175" s="25"/>
      <c r="E2175" s="25" t="s">
        <v>4032</v>
      </c>
      <c r="F2175" s="25" t="s">
        <v>4022</v>
      </c>
      <c r="G2175" s="25">
        <v>520903</v>
      </c>
      <c r="H2175" s="25" t="s">
        <v>4038</v>
      </c>
      <c r="I2175" s="25" t="s">
        <v>4034</v>
      </c>
      <c r="AK2175" s="10">
        <v>520903</v>
      </c>
      <c r="AL2175" s="10"/>
      <c r="AM2175" s="10"/>
    </row>
    <row r="2176" spans="1:39" ht="18" hidden="1" customHeight="1" outlineLevel="2" x14ac:dyDescent="0.2">
      <c r="A2176" s="25"/>
      <c r="B2176" s="25"/>
      <c r="C2176" s="25"/>
      <c r="D2176" s="25"/>
      <c r="E2176" s="25" t="s">
        <v>4033</v>
      </c>
      <c r="F2176" s="25" t="s">
        <v>4021</v>
      </c>
      <c r="G2176" s="25">
        <v>520025</v>
      </c>
      <c r="H2176" s="25" t="s">
        <v>4038</v>
      </c>
      <c r="I2176" s="25"/>
      <c r="AK2176" s="10">
        <v>520025</v>
      </c>
      <c r="AL2176" s="10"/>
      <c r="AM2176" s="10"/>
    </row>
    <row r="2177" spans="1:39" ht="18" hidden="1" customHeight="1" outlineLevel="2" x14ac:dyDescent="0.2">
      <c r="A2177" s="25"/>
      <c r="B2177" s="25"/>
      <c r="C2177" s="25"/>
      <c r="D2177" s="25"/>
      <c r="E2177" s="25" t="s">
        <v>4033</v>
      </c>
      <c r="F2177" s="25" t="s">
        <v>4020</v>
      </c>
      <c r="G2177" s="25">
        <v>520021</v>
      </c>
      <c r="H2177" s="25" t="s">
        <v>4038</v>
      </c>
      <c r="I2177" s="25"/>
      <c r="AK2177" s="10">
        <v>520021</v>
      </c>
      <c r="AL2177" s="10"/>
      <c r="AM2177" s="10"/>
    </row>
    <row r="2178" spans="1:39" ht="18" hidden="1" customHeight="1" outlineLevel="2" x14ac:dyDescent="0.2">
      <c r="A2178" s="25"/>
      <c r="B2178" s="25"/>
      <c r="C2178" s="25"/>
      <c r="D2178" s="25"/>
      <c r="E2178" s="25" t="s">
        <v>4033</v>
      </c>
      <c r="F2178" s="25" t="s">
        <v>4022</v>
      </c>
      <c r="G2178" s="25">
        <v>520022</v>
      </c>
      <c r="H2178" s="25" t="s">
        <v>4038</v>
      </c>
      <c r="I2178" s="25"/>
      <c r="AK2178" s="10">
        <v>520022</v>
      </c>
      <c r="AL2178" s="10"/>
      <c r="AM2178" s="10"/>
    </row>
    <row r="2179" spans="1:39" ht="18" hidden="1" customHeight="1" outlineLevel="2" x14ac:dyDescent="0.2">
      <c r="A2179" s="25"/>
      <c r="B2179" s="25"/>
      <c r="C2179" s="25"/>
      <c r="D2179" s="25"/>
      <c r="E2179" s="25"/>
      <c r="F2179" s="25"/>
      <c r="G2179" s="25"/>
      <c r="H2179" s="25"/>
      <c r="I2179" s="25"/>
      <c r="AK2179" s="10"/>
      <c r="AL2179" s="10"/>
      <c r="AM2179" s="10"/>
    </row>
    <row r="2180" spans="1:39" ht="18" hidden="1" customHeight="1" outlineLevel="2" x14ac:dyDescent="0.2">
      <c r="A2180" s="25"/>
      <c r="B2180" s="25"/>
      <c r="C2180" s="25"/>
      <c r="D2180" s="25"/>
      <c r="E2180" s="25" t="s">
        <v>4036</v>
      </c>
      <c r="F2180" s="25" t="s">
        <v>4021</v>
      </c>
      <c r="G2180" s="25">
        <v>300251</v>
      </c>
      <c r="H2180" s="25" t="s">
        <v>4035</v>
      </c>
      <c r="I2180" s="25" t="s">
        <v>4034</v>
      </c>
      <c r="AK2180" s="10"/>
      <c r="AL2180" s="10"/>
      <c r="AM2180" s="10">
        <v>300251</v>
      </c>
    </row>
    <row r="2181" spans="1:39" ht="18" hidden="1" customHeight="1" outlineLevel="2" x14ac:dyDescent="0.2">
      <c r="A2181" s="25"/>
      <c r="B2181" s="25"/>
      <c r="C2181" s="25"/>
      <c r="D2181" s="25"/>
      <c r="E2181" s="25" t="s">
        <v>4036</v>
      </c>
      <c r="F2181" s="25" t="s">
        <v>4020</v>
      </c>
      <c r="G2181" s="25">
        <v>300252</v>
      </c>
      <c r="H2181" s="25" t="s">
        <v>4035</v>
      </c>
      <c r="I2181" s="25" t="s">
        <v>4034</v>
      </c>
      <c r="AK2181" s="10"/>
      <c r="AL2181" s="10"/>
      <c r="AM2181" s="10">
        <v>300252</v>
      </c>
    </row>
    <row r="2182" spans="1:39" ht="18" hidden="1" customHeight="1" outlineLevel="2" x14ac:dyDescent="0.2">
      <c r="A2182" s="25"/>
      <c r="B2182" s="25"/>
      <c r="C2182" s="25"/>
      <c r="D2182" s="25"/>
      <c r="E2182" s="25" t="s">
        <v>4036</v>
      </c>
      <c r="F2182" s="25" t="s">
        <v>4022</v>
      </c>
      <c r="G2182" s="25">
        <v>300253</v>
      </c>
      <c r="H2182" s="25" t="s">
        <v>4035</v>
      </c>
      <c r="I2182" s="25" t="s">
        <v>4034</v>
      </c>
      <c r="AK2182" s="10"/>
      <c r="AL2182" s="10"/>
      <c r="AM2182" s="10">
        <v>300253</v>
      </c>
    </row>
    <row r="2183" spans="1:39" ht="18" hidden="1" customHeight="1" outlineLevel="2" x14ac:dyDescent="0.2">
      <c r="A2183" s="25"/>
      <c r="B2183" s="25"/>
      <c r="C2183" s="25"/>
      <c r="D2183" s="25"/>
      <c r="E2183" s="25" t="s">
        <v>4037</v>
      </c>
      <c r="F2183" s="25" t="s">
        <v>4021</v>
      </c>
      <c r="G2183" s="25">
        <v>1134</v>
      </c>
      <c r="H2183" s="25" t="s">
        <v>4035</v>
      </c>
      <c r="I2183" s="25"/>
      <c r="AJ2183" s="83"/>
      <c r="AK2183" s="10"/>
      <c r="AL2183" s="10"/>
      <c r="AM2183" s="10">
        <v>1134</v>
      </c>
    </row>
    <row r="2184" spans="1:39" ht="18" hidden="1" customHeight="1" outlineLevel="2" x14ac:dyDescent="0.2">
      <c r="A2184" s="25"/>
      <c r="B2184" s="25"/>
      <c r="C2184" s="25"/>
      <c r="D2184" s="25"/>
      <c r="E2184" s="25" t="s">
        <v>4037</v>
      </c>
      <c r="F2184" s="25" t="s">
        <v>4020</v>
      </c>
      <c r="G2184" s="25">
        <v>300261</v>
      </c>
      <c r="H2184" s="25" t="s">
        <v>4035</v>
      </c>
      <c r="I2184" s="25"/>
      <c r="AK2184" s="10"/>
      <c r="AL2184" s="10"/>
      <c r="AM2184" s="10">
        <v>300261</v>
      </c>
    </row>
    <row r="2185" spans="1:39" ht="18" hidden="1" customHeight="1" outlineLevel="2" x14ac:dyDescent="0.2">
      <c r="A2185" s="25"/>
      <c r="B2185" s="25"/>
      <c r="C2185" s="25"/>
      <c r="D2185" s="25"/>
      <c r="E2185" s="25" t="s">
        <v>4037</v>
      </c>
      <c r="F2185" s="25" t="s">
        <v>4022</v>
      </c>
      <c r="G2185" s="25">
        <v>300262</v>
      </c>
      <c r="H2185" s="25" t="s">
        <v>4035</v>
      </c>
      <c r="I2185" s="25"/>
      <c r="AK2185" s="10"/>
      <c r="AL2185" s="10"/>
      <c r="AM2185" s="10">
        <v>300262</v>
      </c>
    </row>
    <row r="2186" spans="1:39" ht="18" hidden="1" customHeight="1" outlineLevel="2" x14ac:dyDescent="0.2">
      <c r="A2186" s="25"/>
      <c r="B2186" s="25"/>
      <c r="C2186" s="25"/>
      <c r="D2186" s="25"/>
      <c r="E2186" s="25"/>
      <c r="F2186" s="25"/>
      <c r="G2186" s="25"/>
      <c r="H2186" s="25"/>
      <c r="I2186" s="25"/>
      <c r="AK2186" s="10"/>
      <c r="AL2186" s="10"/>
      <c r="AM2186" s="10"/>
    </row>
    <row r="2187" spans="1:39" ht="18" hidden="1" customHeight="1" outlineLevel="1" collapsed="1" x14ac:dyDescent="0.2">
      <c r="A2187" s="119" t="s">
        <v>4043</v>
      </c>
      <c r="B2187" s="120"/>
      <c r="C2187" s="120"/>
      <c r="D2187" s="120"/>
      <c r="E2187" s="120"/>
      <c r="F2187" s="120"/>
      <c r="G2187" s="120"/>
      <c r="H2187" s="120"/>
      <c r="I2187" s="120"/>
      <c r="J2187" s="120"/>
      <c r="K2187" s="120"/>
      <c r="L2187" s="160"/>
      <c r="AK2187" s="10"/>
      <c r="AL2187" s="10"/>
      <c r="AM2187" s="10"/>
    </row>
    <row r="2188" spans="1:39" ht="18" hidden="1" customHeight="1" outlineLevel="2" x14ac:dyDescent="0.2">
      <c r="A2188" s="25"/>
      <c r="B2188" s="25"/>
      <c r="C2188" s="25"/>
      <c r="D2188" s="25"/>
      <c r="E2188" s="25" t="s">
        <v>4043</v>
      </c>
      <c r="F2188" s="25" t="s">
        <v>4047</v>
      </c>
      <c r="G2188" s="25"/>
      <c r="H2188" s="25"/>
      <c r="I2188" s="25" t="s">
        <v>4044</v>
      </c>
      <c r="AK2188" s="10" t="s">
        <v>223</v>
      </c>
      <c r="AL2188" s="10">
        <v>60003876</v>
      </c>
      <c r="AM2188" s="10">
        <v>301402</v>
      </c>
    </row>
    <row r="2189" spans="1:39" ht="18" hidden="1" customHeight="1" outlineLevel="2" x14ac:dyDescent="0.2">
      <c r="A2189" s="25"/>
      <c r="B2189" s="25"/>
      <c r="C2189" s="25"/>
      <c r="D2189" s="25"/>
      <c r="E2189" s="25" t="s">
        <v>4043</v>
      </c>
      <c r="F2189" s="25" t="s">
        <v>4047</v>
      </c>
      <c r="G2189" s="25"/>
      <c r="H2189" s="25"/>
      <c r="I2189" s="25" t="s">
        <v>4045</v>
      </c>
      <c r="AK2189" s="10">
        <v>524627</v>
      </c>
      <c r="AL2189" s="10">
        <v>60003879</v>
      </c>
      <c r="AM2189" s="10">
        <v>301416</v>
      </c>
    </row>
    <row r="2190" spans="1:39" ht="18" hidden="1" customHeight="1" outlineLevel="2" x14ac:dyDescent="0.2">
      <c r="A2190" s="25"/>
      <c r="B2190" s="25"/>
      <c r="C2190" s="25"/>
      <c r="D2190" s="25"/>
      <c r="E2190" s="25" t="s">
        <v>4043</v>
      </c>
      <c r="F2190" s="25" t="s">
        <v>4047</v>
      </c>
      <c r="G2190" s="25"/>
      <c r="H2190" s="25"/>
      <c r="I2190" s="25" t="s">
        <v>4046</v>
      </c>
      <c r="AK2190" s="10">
        <v>524631</v>
      </c>
      <c r="AL2190" s="10">
        <v>60003880</v>
      </c>
      <c r="AM2190" s="10">
        <v>301419</v>
      </c>
    </row>
    <row r="2191" spans="1:39" ht="18" hidden="1" customHeight="1" outlineLevel="2" x14ac:dyDescent="0.2">
      <c r="A2191" s="25"/>
      <c r="B2191" s="25"/>
      <c r="C2191" s="25"/>
      <c r="D2191" s="25"/>
      <c r="E2191" s="25" t="s">
        <v>4043</v>
      </c>
      <c r="F2191" s="25" t="s">
        <v>4049</v>
      </c>
      <c r="G2191" s="25"/>
      <c r="H2191" s="25"/>
      <c r="I2191" s="25" t="s">
        <v>4046</v>
      </c>
      <c r="AK2191" s="10">
        <v>524632</v>
      </c>
      <c r="AL2191" s="10">
        <v>60003881</v>
      </c>
      <c r="AM2191" s="10">
        <v>301423</v>
      </c>
    </row>
    <row r="2192" spans="1:39" ht="18" hidden="1" customHeight="1" outlineLevel="2" x14ac:dyDescent="0.2">
      <c r="A2192" s="25"/>
      <c r="B2192" s="25"/>
      <c r="C2192" s="25"/>
      <c r="D2192" s="25"/>
      <c r="E2192" s="25" t="s">
        <v>4043</v>
      </c>
      <c r="F2192" s="25" t="s">
        <v>4049</v>
      </c>
      <c r="G2192" s="25"/>
      <c r="H2192" s="25"/>
      <c r="I2192" s="25" t="s">
        <v>4048</v>
      </c>
      <c r="AK2192" s="10">
        <v>524633</v>
      </c>
      <c r="AL2192" s="10">
        <v>60003884</v>
      </c>
      <c r="AM2192" s="10">
        <v>301428</v>
      </c>
    </row>
    <row r="2193" spans="1:39" ht="18" hidden="1" customHeight="1" outlineLevel="2" x14ac:dyDescent="0.2">
      <c r="A2193" s="25"/>
      <c r="B2193" s="25"/>
      <c r="C2193" s="25"/>
      <c r="D2193" s="25"/>
      <c r="E2193" s="25" t="s">
        <v>4043</v>
      </c>
      <c r="F2193" s="25" t="s">
        <v>4051</v>
      </c>
      <c r="G2193" s="25"/>
      <c r="H2193" s="25"/>
      <c r="I2193" s="25" t="s">
        <v>4048</v>
      </c>
      <c r="AK2193" s="10">
        <v>524642</v>
      </c>
      <c r="AL2193" s="10">
        <v>60003885</v>
      </c>
      <c r="AM2193" s="10">
        <v>301433</v>
      </c>
    </row>
    <row r="2194" spans="1:39" ht="18" hidden="1" customHeight="1" outlineLevel="2" x14ac:dyDescent="0.2">
      <c r="A2194" s="25"/>
      <c r="B2194" s="25"/>
      <c r="C2194" s="25"/>
      <c r="D2194" s="25"/>
      <c r="E2194" s="25" t="s">
        <v>4043</v>
      </c>
      <c r="F2194" s="25" t="s">
        <v>4051</v>
      </c>
      <c r="G2194" s="25"/>
      <c r="H2194" s="25"/>
      <c r="I2194" s="25" t="s">
        <v>4050</v>
      </c>
      <c r="AK2194" s="10">
        <v>524643</v>
      </c>
      <c r="AL2194" s="10">
        <v>60003889</v>
      </c>
      <c r="AM2194" s="10">
        <v>301439</v>
      </c>
    </row>
    <row r="2195" spans="1:39" ht="18" hidden="1" customHeight="1" outlineLevel="2" x14ac:dyDescent="0.2">
      <c r="A2195" s="25"/>
      <c r="B2195" s="25"/>
      <c r="C2195" s="25"/>
      <c r="D2195" s="25"/>
      <c r="E2195" s="25" t="s">
        <v>4043</v>
      </c>
      <c r="F2195" s="25" t="s">
        <v>4052</v>
      </c>
      <c r="G2195" s="25"/>
      <c r="H2195" s="25"/>
      <c r="I2195" s="25" t="s">
        <v>4050</v>
      </c>
      <c r="AK2195" s="10">
        <v>524644</v>
      </c>
      <c r="AL2195" s="10">
        <v>60003890</v>
      </c>
      <c r="AM2195" s="10">
        <v>301443</v>
      </c>
    </row>
    <row r="2196" spans="1:39" ht="18" hidden="1" customHeight="1" outlineLevel="2" x14ac:dyDescent="0.2">
      <c r="A2196" s="25"/>
      <c r="B2196" s="25"/>
      <c r="C2196" s="25"/>
      <c r="D2196" s="25"/>
      <c r="E2196" s="25" t="s">
        <v>4043</v>
      </c>
      <c r="F2196" s="25" t="s">
        <v>4052</v>
      </c>
      <c r="G2196" s="25"/>
      <c r="H2196" s="25"/>
      <c r="I2196" s="25" t="s">
        <v>4053</v>
      </c>
      <c r="AK2196" s="10">
        <v>524645</v>
      </c>
      <c r="AL2196" s="10">
        <v>60003894</v>
      </c>
      <c r="AM2196" s="10">
        <v>301448</v>
      </c>
    </row>
    <row r="2197" spans="1:39" ht="18" hidden="1" customHeight="1" outlineLevel="2" x14ac:dyDescent="0.2">
      <c r="A2197" s="25"/>
      <c r="B2197" s="25"/>
      <c r="C2197" s="25"/>
      <c r="D2197" s="25"/>
      <c r="E2197" s="25"/>
      <c r="F2197" s="25"/>
      <c r="G2197" s="25"/>
      <c r="H2197" s="25"/>
      <c r="I2197" s="25"/>
      <c r="AK2197" s="10">
        <v>524646</v>
      </c>
      <c r="AL2197" s="10">
        <v>60003895</v>
      </c>
      <c r="AM2197" s="10">
        <v>301452</v>
      </c>
    </row>
    <row r="2198" spans="1:39" ht="18" hidden="1" customHeight="1" outlineLevel="1" collapsed="1" x14ac:dyDescent="0.2">
      <c r="A2198" s="119" t="s">
        <v>158</v>
      </c>
      <c r="B2198" s="120"/>
      <c r="C2198" s="120"/>
      <c r="D2198" s="120"/>
      <c r="E2198" s="120"/>
      <c r="F2198" s="120"/>
      <c r="G2198" s="120"/>
      <c r="H2198" s="120"/>
      <c r="I2198" s="120"/>
      <c r="J2198" s="120"/>
      <c r="K2198" s="120"/>
      <c r="L2198" s="160"/>
      <c r="AK2198" s="10"/>
      <c r="AL2198" s="10"/>
      <c r="AM2198" s="10"/>
    </row>
    <row r="2199" spans="1:39" ht="18" hidden="1" customHeight="1" outlineLevel="2" x14ac:dyDescent="0.2">
      <c r="A2199" s="25"/>
      <c r="B2199" s="25"/>
      <c r="C2199" s="25"/>
      <c r="D2199" s="25"/>
      <c r="E2199" s="25" t="s">
        <v>4054</v>
      </c>
      <c r="F2199" s="25" t="s">
        <v>4021</v>
      </c>
      <c r="G2199" s="25"/>
      <c r="H2199" s="25"/>
      <c r="I2199" s="25" t="s">
        <v>4061</v>
      </c>
      <c r="AK2199" s="10">
        <v>530350</v>
      </c>
      <c r="AL2199" s="10" t="s">
        <v>4062</v>
      </c>
      <c r="AM2199" s="10">
        <v>863272</v>
      </c>
    </row>
    <row r="2200" spans="1:39" ht="18" hidden="1" customHeight="1" outlineLevel="2" x14ac:dyDescent="0.2">
      <c r="A2200" s="25"/>
      <c r="B2200" s="25"/>
      <c r="C2200" s="25"/>
      <c r="D2200" s="25"/>
      <c r="E2200" s="25" t="s">
        <v>4054</v>
      </c>
      <c r="F2200" s="25" t="s">
        <v>4020</v>
      </c>
      <c r="G2200" s="25"/>
      <c r="H2200" s="25"/>
      <c r="I2200" s="25" t="s">
        <v>4061</v>
      </c>
      <c r="AK2200" s="10">
        <v>530351</v>
      </c>
      <c r="AL2200" s="10" t="s">
        <v>4063</v>
      </c>
      <c r="AM2200" s="10">
        <v>863318</v>
      </c>
    </row>
    <row r="2201" spans="1:39" ht="18" hidden="1" customHeight="1" outlineLevel="2" x14ac:dyDescent="0.2">
      <c r="A2201" s="25"/>
      <c r="B2201" s="25"/>
      <c r="C2201" s="25"/>
      <c r="D2201" s="25"/>
      <c r="E2201" s="25" t="s">
        <v>4054</v>
      </c>
      <c r="F2201" s="25" t="s">
        <v>4022</v>
      </c>
      <c r="G2201" s="25"/>
      <c r="H2201" s="25"/>
      <c r="I2201" s="25" t="s">
        <v>4061</v>
      </c>
      <c r="AK2201" s="10">
        <v>530352</v>
      </c>
      <c r="AL2201" s="10" t="s">
        <v>4064</v>
      </c>
      <c r="AM2201" s="10">
        <v>863354</v>
      </c>
    </row>
    <row r="2202" spans="1:39" ht="18" hidden="1" customHeight="1" outlineLevel="2" x14ac:dyDescent="0.2">
      <c r="A2202" s="25"/>
      <c r="B2202" s="25"/>
      <c r="C2202" s="25"/>
      <c r="D2202" s="25"/>
      <c r="E2202" s="25" t="s">
        <v>4054</v>
      </c>
      <c r="F2202" s="25" t="s">
        <v>4055</v>
      </c>
      <c r="G2202" s="25"/>
      <c r="H2202" s="25"/>
      <c r="I2202" s="25" t="s">
        <v>4061</v>
      </c>
      <c r="AK2202" s="10">
        <v>530353</v>
      </c>
      <c r="AL2202" s="10" t="s">
        <v>4065</v>
      </c>
      <c r="AM2202" s="10">
        <v>865634</v>
      </c>
    </row>
    <row r="2203" spans="1:39" ht="18" hidden="1" customHeight="1" outlineLevel="2" x14ac:dyDescent="0.2">
      <c r="A2203" s="25"/>
      <c r="B2203" s="25"/>
      <c r="C2203" s="25"/>
      <c r="D2203" s="25"/>
      <c r="E2203" s="25" t="s">
        <v>4054</v>
      </c>
      <c r="F2203" s="25" t="s">
        <v>4056</v>
      </c>
      <c r="G2203" s="25"/>
      <c r="H2203" s="25"/>
      <c r="I2203" s="25" t="s">
        <v>4061</v>
      </c>
      <c r="AK2203" s="10">
        <v>530354</v>
      </c>
      <c r="AL2203" s="10" t="s">
        <v>4066</v>
      </c>
      <c r="AM2203" s="10">
        <v>865692</v>
      </c>
    </row>
    <row r="2204" spans="1:39" ht="18" hidden="1" customHeight="1" outlineLevel="2" x14ac:dyDescent="0.2">
      <c r="A2204" s="25"/>
      <c r="B2204" s="25"/>
      <c r="C2204" s="25"/>
      <c r="D2204" s="25"/>
      <c r="E2204" s="25" t="s">
        <v>4054</v>
      </c>
      <c r="F2204" s="25" t="s">
        <v>4057</v>
      </c>
      <c r="G2204" s="25"/>
      <c r="H2204" s="25"/>
      <c r="I2204" s="25" t="s">
        <v>4061</v>
      </c>
      <c r="AK2204" s="10">
        <v>530355</v>
      </c>
      <c r="AL2204" s="10" t="s">
        <v>4067</v>
      </c>
      <c r="AM2204" s="10">
        <v>867128</v>
      </c>
    </row>
    <row r="2205" spans="1:39" ht="18" hidden="1" customHeight="1" outlineLevel="2" x14ac:dyDescent="0.2">
      <c r="A2205" s="25"/>
      <c r="B2205" s="25"/>
      <c r="C2205" s="25"/>
      <c r="D2205" s="25"/>
      <c r="E2205" s="25" t="s">
        <v>4054</v>
      </c>
      <c r="F2205" s="25" t="s">
        <v>4058</v>
      </c>
      <c r="G2205" s="25"/>
      <c r="H2205" s="25"/>
      <c r="I2205" s="25" t="s">
        <v>4061</v>
      </c>
      <c r="AK2205" s="10">
        <v>530356</v>
      </c>
      <c r="AL2205" s="10" t="s">
        <v>4068</v>
      </c>
      <c r="AM2205" s="10">
        <v>867125</v>
      </c>
    </row>
    <row r="2206" spans="1:39" ht="18" hidden="1" customHeight="1" outlineLevel="2" x14ac:dyDescent="0.2">
      <c r="A2206" s="25"/>
      <c r="B2206" s="25"/>
      <c r="C2206" s="25"/>
      <c r="D2206" s="25"/>
      <c r="E2206" s="25"/>
      <c r="F2206" s="25"/>
      <c r="G2206" s="25"/>
      <c r="H2206" s="25"/>
      <c r="I2206" s="25"/>
      <c r="AK2206" s="10"/>
      <c r="AL2206" s="10"/>
      <c r="AM2206" s="10"/>
    </row>
    <row r="2207" spans="1:39" ht="18" hidden="1" customHeight="1" outlineLevel="1" collapsed="1" x14ac:dyDescent="0.2">
      <c r="A2207" s="119" t="s">
        <v>160</v>
      </c>
      <c r="B2207" s="120"/>
      <c r="C2207" s="120"/>
      <c r="D2207" s="120"/>
      <c r="E2207" s="120"/>
      <c r="F2207" s="120"/>
      <c r="G2207" s="120"/>
      <c r="H2207" s="120"/>
      <c r="I2207" s="120"/>
      <c r="J2207" s="120"/>
      <c r="K2207" s="120"/>
      <c r="L2207" s="160"/>
      <c r="AK2207" s="10"/>
      <c r="AL2207" s="10"/>
      <c r="AM2207" s="10"/>
    </row>
    <row r="2208" spans="1:39" ht="18" hidden="1" customHeight="1" outlineLevel="2" x14ac:dyDescent="0.2">
      <c r="A2208" s="25"/>
      <c r="B2208" s="25"/>
      <c r="C2208" s="25"/>
      <c r="D2208" s="25"/>
      <c r="E2208" s="25" t="s">
        <v>4069</v>
      </c>
      <c r="F2208" s="25" t="s">
        <v>4021</v>
      </c>
      <c r="G2208" s="25"/>
      <c r="H2208" s="25"/>
      <c r="I2208" s="25" t="s">
        <v>4074</v>
      </c>
      <c r="AK2208" s="10">
        <v>532670</v>
      </c>
      <c r="AL2208" s="10" t="s">
        <v>4176</v>
      </c>
      <c r="AM2208" s="10">
        <v>267701</v>
      </c>
    </row>
    <row r="2209" spans="1:39" ht="18" hidden="1" customHeight="1" outlineLevel="2" x14ac:dyDescent="0.2">
      <c r="A2209" s="25"/>
      <c r="B2209" s="25"/>
      <c r="C2209" s="25"/>
      <c r="D2209" s="25"/>
      <c r="E2209" s="25" t="s">
        <v>4069</v>
      </c>
      <c r="F2209" s="25" t="s">
        <v>4020</v>
      </c>
      <c r="G2209" s="25"/>
      <c r="H2209" s="25"/>
      <c r="I2209" s="25" t="s">
        <v>4074</v>
      </c>
      <c r="AK2209" s="10">
        <v>532671</v>
      </c>
      <c r="AL2209" s="10" t="s">
        <v>4177</v>
      </c>
      <c r="AM2209" s="10">
        <v>267702</v>
      </c>
    </row>
    <row r="2210" spans="1:39" ht="18" hidden="1" customHeight="1" outlineLevel="2" x14ac:dyDescent="0.2">
      <c r="A2210" s="25"/>
      <c r="B2210" s="25"/>
      <c r="C2210" s="25"/>
      <c r="D2210" s="25"/>
      <c r="E2210" s="25" t="s">
        <v>4069</v>
      </c>
      <c r="F2210" s="25" t="s">
        <v>4022</v>
      </c>
      <c r="G2210" s="25"/>
      <c r="H2210" s="25"/>
      <c r="I2210" s="25" t="s">
        <v>4074</v>
      </c>
      <c r="AK2210" s="10">
        <v>532672</v>
      </c>
      <c r="AL2210" s="10" t="s">
        <v>4178</v>
      </c>
      <c r="AM2210" s="10">
        <v>267703</v>
      </c>
    </row>
    <row r="2211" spans="1:39" ht="18" hidden="1" customHeight="1" outlineLevel="2" x14ac:dyDescent="0.2">
      <c r="A2211" s="25"/>
      <c r="B2211" s="25"/>
      <c r="C2211" s="25"/>
      <c r="D2211" s="25"/>
      <c r="E2211" s="25" t="s">
        <v>4069</v>
      </c>
      <c r="F2211" s="25" t="s">
        <v>4055</v>
      </c>
      <c r="G2211" s="25"/>
      <c r="H2211" s="25"/>
      <c r="I2211" s="25" t="s">
        <v>4074</v>
      </c>
      <c r="AK2211" s="10">
        <v>532673</v>
      </c>
      <c r="AL2211" s="10" t="s">
        <v>4179</v>
      </c>
      <c r="AM2211" s="10">
        <v>267704</v>
      </c>
    </row>
    <row r="2212" spans="1:39" ht="18" hidden="1" customHeight="1" outlineLevel="2" x14ac:dyDescent="0.2">
      <c r="A2212" s="25"/>
      <c r="B2212" s="25"/>
      <c r="C2212" s="25"/>
      <c r="D2212" s="25"/>
      <c r="E2212" s="25" t="s">
        <v>4069</v>
      </c>
      <c r="F2212" s="25" t="s">
        <v>4056</v>
      </c>
      <c r="G2212" s="25"/>
      <c r="H2212" s="25"/>
      <c r="I2212" s="25" t="s">
        <v>4074</v>
      </c>
      <c r="AK2212" s="10">
        <v>532674</v>
      </c>
      <c r="AL2212" s="10" t="s">
        <v>4180</v>
      </c>
      <c r="AM2212" s="10">
        <v>267705</v>
      </c>
    </row>
    <row r="2213" spans="1:39" ht="18" hidden="1" customHeight="1" outlineLevel="2" x14ac:dyDescent="0.2">
      <c r="A2213" s="25"/>
      <c r="B2213" s="25"/>
      <c r="C2213" s="25"/>
      <c r="D2213" s="25"/>
      <c r="E2213" s="25"/>
      <c r="F2213" s="25"/>
      <c r="G2213" s="25"/>
      <c r="H2213" s="25"/>
      <c r="I2213" s="25"/>
      <c r="AK2213" s="10"/>
      <c r="AL2213" s="10"/>
      <c r="AM2213" s="10"/>
    </row>
    <row r="2214" spans="1:39" ht="18" hidden="1" customHeight="1" outlineLevel="2" x14ac:dyDescent="0.2">
      <c r="A2214" s="25"/>
      <c r="B2214" s="25"/>
      <c r="C2214" s="25"/>
      <c r="D2214" s="25"/>
      <c r="E2214" s="25" t="s">
        <v>4070</v>
      </c>
      <c r="F2214" s="25" t="s">
        <v>4021</v>
      </c>
      <c r="G2214" s="25"/>
      <c r="H2214" s="25"/>
      <c r="I2214" s="25" t="s">
        <v>4075</v>
      </c>
      <c r="AK2214" s="10">
        <v>523676</v>
      </c>
      <c r="AL2214" s="10" t="s">
        <v>4181</v>
      </c>
      <c r="AM2214" s="10">
        <v>267707</v>
      </c>
    </row>
    <row r="2215" spans="1:39" ht="18" hidden="1" customHeight="1" outlineLevel="2" x14ac:dyDescent="0.2">
      <c r="A2215" s="25"/>
      <c r="B2215" s="25"/>
      <c r="C2215" s="25"/>
      <c r="D2215" s="25"/>
      <c r="E2215" s="25" t="s">
        <v>4070</v>
      </c>
      <c r="F2215" s="25" t="s">
        <v>4020</v>
      </c>
      <c r="G2215" s="25"/>
      <c r="H2215" s="25"/>
      <c r="I2215" s="25" t="s">
        <v>4075</v>
      </c>
      <c r="AK2215" s="10">
        <v>523677</v>
      </c>
      <c r="AL2215" s="10" t="s">
        <v>4182</v>
      </c>
      <c r="AM2215" s="10">
        <v>267708</v>
      </c>
    </row>
    <row r="2216" spans="1:39" ht="18" hidden="1" customHeight="1" outlineLevel="2" x14ac:dyDescent="0.2">
      <c r="A2216" s="25"/>
      <c r="B2216" s="25"/>
      <c r="C2216" s="25"/>
      <c r="D2216" s="25"/>
      <c r="E2216" s="25" t="s">
        <v>4070</v>
      </c>
      <c r="F2216" s="25" t="s">
        <v>4022</v>
      </c>
      <c r="G2216" s="25"/>
      <c r="H2216" s="25"/>
      <c r="I2216" s="25" t="s">
        <v>4075</v>
      </c>
      <c r="AK2216" s="10">
        <v>523678</v>
      </c>
      <c r="AL2216" s="10" t="s">
        <v>4183</v>
      </c>
      <c r="AM2216" s="10">
        <v>267709</v>
      </c>
    </row>
    <row r="2217" spans="1:39" ht="18" hidden="1" customHeight="1" outlineLevel="2" x14ac:dyDescent="0.2">
      <c r="A2217" s="25"/>
      <c r="B2217" s="25"/>
      <c r="C2217" s="25"/>
      <c r="D2217" s="25"/>
      <c r="E2217" s="25" t="s">
        <v>4070</v>
      </c>
      <c r="F2217" s="25" t="s">
        <v>4055</v>
      </c>
      <c r="G2217" s="25"/>
      <c r="H2217" s="25"/>
      <c r="I2217" s="25" t="s">
        <v>4075</v>
      </c>
      <c r="AK2217" s="10">
        <v>523679</v>
      </c>
      <c r="AL2217" s="10" t="s">
        <v>4184</v>
      </c>
      <c r="AM2217" s="10">
        <v>267710</v>
      </c>
    </row>
    <row r="2218" spans="1:39" ht="18" hidden="1" customHeight="1" outlineLevel="2" x14ac:dyDescent="0.2">
      <c r="A2218" s="25"/>
      <c r="B2218" s="25"/>
      <c r="C2218" s="25"/>
      <c r="D2218" s="25"/>
      <c r="E2218" s="25" t="s">
        <v>4070</v>
      </c>
      <c r="F2218" s="25" t="s">
        <v>4056</v>
      </c>
      <c r="G2218" s="25"/>
      <c r="H2218" s="25"/>
      <c r="I2218" s="25" t="s">
        <v>4075</v>
      </c>
      <c r="AK2218" s="10">
        <v>523680</v>
      </c>
      <c r="AL2218" s="10" t="s">
        <v>4185</v>
      </c>
      <c r="AM2218" s="10">
        <v>267711</v>
      </c>
    </row>
    <row r="2219" spans="1:39" ht="18" hidden="1" customHeight="1" outlineLevel="2" x14ac:dyDescent="0.2">
      <c r="A2219" s="25"/>
      <c r="B2219" s="25"/>
      <c r="C2219" s="25"/>
      <c r="D2219" s="25"/>
      <c r="E2219" s="25"/>
      <c r="F2219" s="25"/>
      <c r="G2219" s="25"/>
      <c r="H2219" s="25"/>
      <c r="I2219" s="25"/>
      <c r="AK2219" s="10"/>
      <c r="AL2219" s="10"/>
      <c r="AM2219" s="10"/>
    </row>
    <row r="2220" spans="1:39" ht="18" hidden="1" customHeight="1" outlineLevel="2" x14ac:dyDescent="0.2">
      <c r="A2220" s="25"/>
      <c r="B2220" s="25"/>
      <c r="C2220" s="25"/>
      <c r="D2220" s="25"/>
      <c r="E2220" s="25" t="s">
        <v>4071</v>
      </c>
      <c r="F2220" s="25" t="s">
        <v>4021</v>
      </c>
      <c r="G2220" s="25"/>
      <c r="H2220" s="25"/>
      <c r="I2220" s="25" t="s">
        <v>4073</v>
      </c>
      <c r="AK2220" s="10">
        <v>532917</v>
      </c>
      <c r="AL2220" s="10" t="s">
        <v>4186</v>
      </c>
      <c r="AM2220" s="10" t="s">
        <v>223</v>
      </c>
    </row>
    <row r="2221" spans="1:39" ht="18" hidden="1" customHeight="1" outlineLevel="2" x14ac:dyDescent="0.2">
      <c r="A2221" s="25"/>
      <c r="B2221" s="25"/>
      <c r="C2221" s="25"/>
      <c r="D2221" s="25"/>
      <c r="E2221" s="25" t="s">
        <v>4071</v>
      </c>
      <c r="F2221" s="25" t="s">
        <v>4020</v>
      </c>
      <c r="G2221" s="25"/>
      <c r="H2221" s="25"/>
      <c r="I2221" s="25" t="s">
        <v>4073</v>
      </c>
      <c r="AK2221" s="10">
        <v>532918</v>
      </c>
      <c r="AL2221" s="10" t="s">
        <v>4187</v>
      </c>
      <c r="AM2221" s="10" t="s">
        <v>223</v>
      </c>
    </row>
    <row r="2222" spans="1:39" ht="18" hidden="1" customHeight="1" outlineLevel="2" x14ac:dyDescent="0.2">
      <c r="A2222" s="25"/>
      <c r="B2222" s="25"/>
      <c r="C2222" s="25"/>
      <c r="D2222" s="25"/>
      <c r="E2222" s="25" t="s">
        <v>4071</v>
      </c>
      <c r="F2222" s="25" t="s">
        <v>4022</v>
      </c>
      <c r="G2222" s="25"/>
      <c r="H2222" s="25"/>
      <c r="I2222" s="25" t="s">
        <v>4073</v>
      </c>
      <c r="AK2222" s="10">
        <v>532919</v>
      </c>
      <c r="AL2222" s="10" t="s">
        <v>4188</v>
      </c>
      <c r="AM2222" s="10">
        <v>267800</v>
      </c>
    </row>
    <row r="2223" spans="1:39" ht="18" hidden="1" customHeight="1" outlineLevel="2" x14ac:dyDescent="0.2">
      <c r="A2223" s="25"/>
      <c r="B2223" s="25"/>
      <c r="C2223" s="25"/>
      <c r="D2223" s="25"/>
      <c r="E2223" s="25" t="s">
        <v>4071</v>
      </c>
      <c r="F2223" s="25" t="s">
        <v>4055</v>
      </c>
      <c r="G2223" s="25"/>
      <c r="H2223" s="25"/>
      <c r="I2223" s="25" t="s">
        <v>4073</v>
      </c>
      <c r="AK2223" s="10">
        <v>532920</v>
      </c>
      <c r="AL2223" s="10" t="s">
        <v>4189</v>
      </c>
      <c r="AM2223" s="10">
        <v>267801</v>
      </c>
    </row>
    <row r="2224" spans="1:39" ht="18" hidden="1" customHeight="1" outlineLevel="2" x14ac:dyDescent="0.2">
      <c r="A2224" s="25"/>
      <c r="B2224" s="25"/>
      <c r="C2224" s="25"/>
      <c r="D2224" s="25"/>
      <c r="E2224" s="25" t="s">
        <v>4071</v>
      </c>
      <c r="F2224" s="25" t="s">
        <v>4056</v>
      </c>
      <c r="G2224" s="25"/>
      <c r="H2224" s="25"/>
      <c r="I2224" s="25" t="s">
        <v>4073</v>
      </c>
      <c r="AK2224" s="10">
        <v>532921</v>
      </c>
      <c r="AL2224" s="10" t="s">
        <v>4190</v>
      </c>
      <c r="AM2224" s="10">
        <v>267802</v>
      </c>
    </row>
    <row r="2225" spans="1:39" ht="18" hidden="1" customHeight="1" outlineLevel="2" x14ac:dyDescent="0.2">
      <c r="A2225" s="25"/>
      <c r="B2225" s="25"/>
      <c r="C2225" s="25"/>
      <c r="D2225" s="25"/>
      <c r="E2225" s="25" t="s">
        <v>4071</v>
      </c>
      <c r="F2225" s="25" t="s">
        <v>4057</v>
      </c>
      <c r="G2225" s="25"/>
      <c r="H2225" s="25"/>
      <c r="I2225" s="25" t="s">
        <v>4073</v>
      </c>
      <c r="AK2225" s="10">
        <v>532922</v>
      </c>
      <c r="AL2225" s="10" t="s">
        <v>4191</v>
      </c>
      <c r="AM2225" s="10">
        <v>267803</v>
      </c>
    </row>
    <row r="2226" spans="1:39" ht="18" hidden="1" customHeight="1" outlineLevel="2" x14ac:dyDescent="0.2">
      <c r="A2226" s="25"/>
      <c r="B2226" s="25"/>
      <c r="C2226" s="25"/>
      <c r="D2226" s="25"/>
      <c r="E2226" s="25" t="s">
        <v>4071</v>
      </c>
      <c r="F2226" s="25" t="s">
        <v>4058</v>
      </c>
      <c r="G2226" s="25"/>
      <c r="H2226" s="25"/>
      <c r="I2226" s="25" t="s">
        <v>4073</v>
      </c>
      <c r="AK2226" s="10">
        <v>532923</v>
      </c>
      <c r="AL2226" s="10" t="s">
        <v>4192</v>
      </c>
      <c r="AM2226" s="10">
        <v>267804</v>
      </c>
    </row>
    <row r="2227" spans="1:39" ht="18" hidden="1" customHeight="1" outlineLevel="2" x14ac:dyDescent="0.2">
      <c r="A2227" s="25"/>
      <c r="B2227" s="25"/>
      <c r="C2227" s="25"/>
      <c r="D2227" s="25"/>
      <c r="E2227" s="25"/>
      <c r="F2227" s="25"/>
      <c r="G2227" s="25"/>
      <c r="H2227" s="25"/>
      <c r="I2227" s="25"/>
      <c r="AK2227" s="10"/>
      <c r="AL2227" s="10"/>
      <c r="AM2227" s="10"/>
    </row>
    <row r="2228" spans="1:39" ht="18" hidden="1" customHeight="1" outlineLevel="2" x14ac:dyDescent="0.2">
      <c r="A2228" s="25"/>
      <c r="B2228" s="25"/>
      <c r="C2228" s="25"/>
      <c r="D2228" s="25"/>
      <c r="E2228" s="25" t="s">
        <v>4072</v>
      </c>
      <c r="F2228" s="25" t="s">
        <v>4021</v>
      </c>
      <c r="G2228" s="25"/>
      <c r="H2228" s="25"/>
      <c r="I2228" s="65" t="s">
        <v>4076</v>
      </c>
      <c r="AK2228" s="10">
        <v>532683</v>
      </c>
      <c r="AL2228" s="10" t="s">
        <v>4193</v>
      </c>
      <c r="AM2228" s="10" t="s">
        <v>223</v>
      </c>
    </row>
    <row r="2229" spans="1:39" ht="18" hidden="1" customHeight="1" outlineLevel="2" x14ac:dyDescent="0.2">
      <c r="A2229" s="25"/>
      <c r="B2229" s="25"/>
      <c r="C2229" s="25"/>
      <c r="D2229" s="25"/>
      <c r="E2229" s="25" t="s">
        <v>4072</v>
      </c>
      <c r="F2229" s="25" t="s">
        <v>4020</v>
      </c>
      <c r="G2229" s="25"/>
      <c r="H2229" s="25"/>
      <c r="I2229" s="65" t="s">
        <v>4076</v>
      </c>
      <c r="AK2229" s="10">
        <v>532684</v>
      </c>
      <c r="AL2229" s="10" t="s">
        <v>4194</v>
      </c>
      <c r="AM2229" s="10" t="s">
        <v>223</v>
      </c>
    </row>
    <row r="2230" spans="1:39" ht="18" hidden="1" customHeight="1" outlineLevel="2" x14ac:dyDescent="0.2">
      <c r="A2230" s="25"/>
      <c r="B2230" s="25"/>
      <c r="C2230" s="25"/>
      <c r="D2230" s="25"/>
      <c r="E2230" s="25" t="s">
        <v>4072</v>
      </c>
      <c r="F2230" s="25" t="s">
        <v>4022</v>
      </c>
      <c r="G2230" s="25"/>
      <c r="H2230" s="25"/>
      <c r="I2230" s="65" t="s">
        <v>4076</v>
      </c>
      <c r="AK2230" s="10">
        <v>532685</v>
      </c>
      <c r="AL2230" s="10" t="s">
        <v>4195</v>
      </c>
      <c r="AM2230" s="10">
        <v>267809</v>
      </c>
    </row>
    <row r="2231" spans="1:39" ht="18" hidden="1" customHeight="1" outlineLevel="2" x14ac:dyDescent="0.2">
      <c r="A2231" s="25"/>
      <c r="B2231" s="25"/>
      <c r="C2231" s="25"/>
      <c r="D2231" s="25"/>
      <c r="E2231" s="25" t="s">
        <v>4072</v>
      </c>
      <c r="F2231" s="25" t="s">
        <v>4055</v>
      </c>
      <c r="G2231" s="25"/>
      <c r="H2231" s="25"/>
      <c r="I2231" s="65" t="s">
        <v>4076</v>
      </c>
      <c r="AK2231" s="10">
        <v>532686</v>
      </c>
      <c r="AL2231" s="10" t="s">
        <v>4196</v>
      </c>
      <c r="AM2231" s="10">
        <v>267810</v>
      </c>
    </row>
    <row r="2232" spans="1:39" ht="18" hidden="1" customHeight="1" outlineLevel="2" x14ac:dyDescent="0.2">
      <c r="A2232" s="25"/>
      <c r="B2232" s="25"/>
      <c r="C2232" s="25"/>
      <c r="D2232" s="25"/>
      <c r="E2232" s="25" t="s">
        <v>4072</v>
      </c>
      <c r="F2232" s="25" t="s">
        <v>4056</v>
      </c>
      <c r="G2232" s="25"/>
      <c r="H2232" s="25"/>
      <c r="I2232" s="65" t="s">
        <v>4076</v>
      </c>
      <c r="AK2232" s="10">
        <v>532687</v>
      </c>
      <c r="AL2232" s="10" t="s">
        <v>4197</v>
      </c>
      <c r="AM2232" s="10">
        <v>267811</v>
      </c>
    </row>
    <row r="2233" spans="1:39" ht="18" hidden="1" customHeight="1" outlineLevel="2" x14ac:dyDescent="0.2">
      <c r="A2233" s="25"/>
      <c r="B2233" s="25"/>
      <c r="C2233" s="25"/>
      <c r="D2233" s="25"/>
      <c r="E2233" s="25" t="s">
        <v>4072</v>
      </c>
      <c r="F2233" s="25" t="s">
        <v>4057</v>
      </c>
      <c r="G2233" s="25"/>
      <c r="H2233" s="25"/>
      <c r="I2233" s="65" t="s">
        <v>4076</v>
      </c>
      <c r="AK2233" s="10">
        <v>532688</v>
      </c>
      <c r="AL2233" s="10" t="s">
        <v>4198</v>
      </c>
      <c r="AM2233" s="10">
        <v>267812</v>
      </c>
    </row>
    <row r="2234" spans="1:39" ht="18" hidden="1" customHeight="1" outlineLevel="2" x14ac:dyDescent="0.2">
      <c r="A2234" s="25"/>
      <c r="B2234" s="25"/>
      <c r="C2234" s="25"/>
      <c r="D2234" s="25"/>
      <c r="E2234" s="25" t="s">
        <v>4072</v>
      </c>
      <c r="F2234" s="25" t="s">
        <v>4058</v>
      </c>
      <c r="G2234" s="25"/>
      <c r="H2234" s="25"/>
      <c r="I2234" s="65" t="s">
        <v>4076</v>
      </c>
      <c r="AK2234" s="10">
        <v>532689</v>
      </c>
      <c r="AL2234" s="10" t="s">
        <v>4199</v>
      </c>
      <c r="AM2234" s="10">
        <v>267813</v>
      </c>
    </row>
    <row r="2235" spans="1:39" ht="18" hidden="1" customHeight="1" outlineLevel="2" x14ac:dyDescent="0.2">
      <c r="A2235" s="25"/>
      <c r="B2235" s="25"/>
      <c r="C2235" s="25"/>
      <c r="D2235" s="25"/>
      <c r="E2235" s="25"/>
      <c r="F2235" s="25"/>
      <c r="G2235" s="25"/>
      <c r="H2235" s="25"/>
      <c r="I2235" s="25"/>
      <c r="AK2235" s="10"/>
      <c r="AL2235" s="10"/>
      <c r="AM2235" s="10"/>
    </row>
    <row r="2236" spans="1:39" ht="18" customHeight="1" x14ac:dyDescent="0.2">
      <c r="A2236" s="25"/>
      <c r="B2236" s="25"/>
      <c r="C2236" s="25"/>
      <c r="D2236" s="25"/>
      <c r="E2236" s="25"/>
      <c r="F2236" s="25"/>
      <c r="G2236" s="25"/>
      <c r="H2236" s="25"/>
      <c r="I2236" s="25"/>
      <c r="AK2236" s="10"/>
      <c r="AL2236" s="10"/>
      <c r="AM2236" s="10"/>
    </row>
    <row r="2237" spans="1:39" ht="18" customHeight="1" x14ac:dyDescent="0.2">
      <c r="A2237" s="25"/>
      <c r="B2237" s="25"/>
      <c r="C2237" s="25"/>
      <c r="D2237" s="25"/>
      <c r="E2237" s="25"/>
      <c r="F2237" s="25"/>
      <c r="G2237" s="25"/>
      <c r="H2237" s="25"/>
      <c r="I2237" s="25"/>
      <c r="AK2237" s="10"/>
      <c r="AL2237" s="10"/>
      <c r="AM2237" s="10"/>
    </row>
    <row r="2238" spans="1:39" ht="18" customHeight="1" x14ac:dyDescent="0.2">
      <c r="A2238" s="25"/>
      <c r="B2238" s="25"/>
      <c r="C2238" s="25"/>
      <c r="D2238" s="25"/>
      <c r="E2238" s="25"/>
      <c r="F2238" s="25"/>
      <c r="G2238" s="25"/>
      <c r="H2238" s="25"/>
      <c r="I2238" s="25"/>
      <c r="AK2238" s="10"/>
      <c r="AL2238" s="10"/>
      <c r="AM2238" s="10"/>
    </row>
    <row r="2239" spans="1:39" ht="18" customHeight="1" x14ac:dyDescent="0.2">
      <c r="A2239" s="25"/>
      <c r="B2239" s="25"/>
      <c r="C2239" s="25"/>
      <c r="D2239" s="25"/>
      <c r="E2239" s="25"/>
      <c r="F2239" s="25"/>
      <c r="G2239" s="25"/>
      <c r="H2239" s="25"/>
      <c r="I2239" s="25"/>
      <c r="AK2239" s="10"/>
      <c r="AL2239" s="10"/>
      <c r="AM2239" s="10"/>
    </row>
    <row r="2240" spans="1:39" ht="18" customHeight="1" x14ac:dyDescent="0.2">
      <c r="A2240" s="25"/>
      <c r="B2240" s="25"/>
      <c r="C2240" s="25"/>
      <c r="D2240" s="25"/>
      <c r="E2240" s="25"/>
      <c r="F2240" s="25"/>
      <c r="G2240" s="25"/>
      <c r="H2240" s="25"/>
      <c r="I2240" s="25"/>
      <c r="AK2240" s="10"/>
      <c r="AL2240" s="10"/>
      <c r="AM2240" s="10"/>
    </row>
    <row r="2241" spans="1:39" ht="18" customHeight="1" x14ac:dyDescent="0.2">
      <c r="A2241" s="25"/>
      <c r="B2241" s="25"/>
      <c r="C2241" s="25"/>
      <c r="D2241" s="25"/>
      <c r="E2241" s="25"/>
      <c r="F2241" s="25"/>
      <c r="G2241" s="25"/>
      <c r="H2241" s="25"/>
      <c r="I2241" s="25"/>
      <c r="AK2241" s="10"/>
      <c r="AL2241" s="10"/>
      <c r="AM2241" s="10"/>
    </row>
    <row r="2242" spans="1:39" ht="18" customHeight="1" x14ac:dyDescent="0.2">
      <c r="A2242" s="25"/>
      <c r="B2242" s="25"/>
      <c r="C2242" s="25"/>
      <c r="D2242" s="25"/>
      <c r="E2242" s="25"/>
      <c r="F2242" s="25"/>
      <c r="G2242" s="25"/>
      <c r="H2242" s="25"/>
      <c r="I2242" s="25"/>
    </row>
    <row r="2243" spans="1:39" ht="18" customHeight="1" x14ac:dyDescent="0.2">
      <c r="A2243" s="25"/>
      <c r="B2243" s="25"/>
      <c r="C2243" s="25"/>
      <c r="D2243" s="25"/>
      <c r="E2243" s="25"/>
      <c r="F2243" s="25"/>
      <c r="G2243" s="25"/>
      <c r="H2243" s="25"/>
      <c r="I2243" s="25"/>
    </row>
    <row r="2244" spans="1:39" ht="18" customHeight="1" x14ac:dyDescent="0.2">
      <c r="A2244" s="25"/>
      <c r="B2244" s="25"/>
      <c r="C2244" s="25"/>
      <c r="D2244" s="25"/>
      <c r="E2244" s="25"/>
      <c r="F2244" s="25"/>
      <c r="G2244" s="25"/>
      <c r="H2244" s="25"/>
      <c r="I2244" s="25"/>
    </row>
    <row r="2245" spans="1:39" ht="18" customHeight="1" x14ac:dyDescent="0.2">
      <c r="A2245" s="25"/>
      <c r="B2245" s="25"/>
      <c r="C2245" s="25"/>
      <c r="D2245" s="25"/>
      <c r="E2245" s="25"/>
      <c r="F2245" s="25"/>
      <c r="G2245" s="25"/>
      <c r="H2245" s="25"/>
      <c r="I2245" s="25"/>
    </row>
    <row r="2246" spans="1:39" ht="18" customHeight="1" x14ac:dyDescent="0.2">
      <c r="A2246" s="25"/>
      <c r="B2246" s="25"/>
      <c r="C2246" s="25"/>
      <c r="D2246" s="25"/>
      <c r="E2246" s="25"/>
      <c r="F2246" s="25"/>
      <c r="G2246" s="25"/>
      <c r="H2246" s="25"/>
      <c r="I2246" s="25"/>
    </row>
    <row r="2247" spans="1:39" ht="18" customHeight="1" x14ac:dyDescent="0.2">
      <c r="A2247" s="25"/>
      <c r="B2247" s="25"/>
      <c r="C2247" s="25"/>
      <c r="D2247" s="25"/>
      <c r="E2247" s="25"/>
      <c r="F2247" s="25"/>
      <c r="G2247" s="25"/>
      <c r="H2247" s="25"/>
      <c r="I2247" s="25"/>
    </row>
    <row r="2248" spans="1:39" ht="18" customHeight="1" x14ac:dyDescent="0.2">
      <c r="A2248" s="25"/>
      <c r="B2248" s="25"/>
      <c r="C2248" s="25"/>
      <c r="D2248" s="25"/>
      <c r="E2248" s="25"/>
      <c r="F2248" s="25"/>
      <c r="G2248" s="25"/>
      <c r="H2248" s="25"/>
      <c r="I2248" s="25"/>
    </row>
    <row r="2249" spans="1:39" ht="18" customHeight="1" x14ac:dyDescent="0.2">
      <c r="A2249" s="25"/>
      <c r="B2249" s="25"/>
      <c r="C2249" s="25"/>
      <c r="D2249" s="25"/>
      <c r="E2249" s="25"/>
      <c r="F2249" s="25"/>
      <c r="G2249" s="25"/>
      <c r="H2249" s="25"/>
      <c r="I2249" s="25"/>
    </row>
    <row r="2250" spans="1:39" ht="18" customHeight="1" x14ac:dyDescent="0.2">
      <c r="A2250" s="25"/>
      <c r="B2250" s="25"/>
      <c r="C2250" s="25"/>
      <c r="D2250" s="25"/>
      <c r="E2250" s="25"/>
      <c r="F2250" s="25"/>
      <c r="G2250" s="25"/>
      <c r="H2250" s="25"/>
      <c r="I2250" s="25"/>
    </row>
    <row r="2251" spans="1:39" ht="18" customHeight="1" x14ac:dyDescent="0.2">
      <c r="A2251" s="25"/>
      <c r="B2251" s="25"/>
      <c r="C2251" s="25"/>
      <c r="D2251" s="25"/>
      <c r="E2251" s="25"/>
      <c r="F2251" s="25"/>
      <c r="G2251" s="25"/>
      <c r="H2251" s="25"/>
      <c r="I2251" s="25"/>
    </row>
    <row r="2252" spans="1:39" ht="18" customHeight="1" x14ac:dyDescent="0.2">
      <c r="A2252" s="25"/>
      <c r="B2252" s="25"/>
      <c r="C2252" s="25"/>
      <c r="D2252" s="25"/>
      <c r="E2252" s="25"/>
      <c r="F2252" s="25"/>
      <c r="G2252" s="25"/>
      <c r="H2252" s="25"/>
      <c r="I2252" s="25"/>
    </row>
    <row r="2253" spans="1:39" ht="18" customHeight="1" x14ac:dyDescent="0.2">
      <c r="A2253" s="25"/>
      <c r="B2253" s="25"/>
      <c r="C2253" s="25"/>
      <c r="D2253" s="25"/>
      <c r="E2253" s="25"/>
      <c r="F2253" s="25"/>
      <c r="G2253" s="25"/>
      <c r="H2253" s="25"/>
      <c r="I2253" s="25"/>
    </row>
    <row r="2254" spans="1:39" ht="18" customHeight="1" x14ac:dyDescent="0.2">
      <c r="A2254" s="25"/>
      <c r="B2254" s="25"/>
      <c r="C2254" s="25"/>
      <c r="D2254" s="25"/>
      <c r="E2254" s="25"/>
      <c r="F2254" s="25"/>
      <c r="G2254" s="25"/>
      <c r="H2254" s="25"/>
      <c r="I2254" s="25"/>
    </row>
    <row r="2255" spans="1:39" ht="18" customHeight="1" x14ac:dyDescent="0.2">
      <c r="A2255" s="25"/>
      <c r="B2255" s="25"/>
      <c r="C2255" s="25"/>
      <c r="D2255" s="25"/>
      <c r="E2255" s="25"/>
      <c r="F2255" s="25"/>
      <c r="G2255" s="25"/>
      <c r="H2255" s="25"/>
      <c r="I2255" s="25"/>
    </row>
    <row r="2256" spans="1:39" ht="18" customHeight="1" x14ac:dyDescent="0.2">
      <c r="A2256" s="25"/>
      <c r="B2256" s="25"/>
      <c r="C2256" s="25"/>
      <c r="D2256" s="25"/>
      <c r="E2256" s="25"/>
      <c r="F2256" s="25"/>
      <c r="G2256" s="25"/>
      <c r="H2256" s="25"/>
      <c r="I2256" s="25"/>
    </row>
    <row r="2257" spans="1:9" ht="18" customHeight="1" x14ac:dyDescent="0.2">
      <c r="A2257" s="25"/>
      <c r="B2257" s="25"/>
      <c r="C2257" s="25"/>
      <c r="D2257" s="25"/>
      <c r="E2257" s="25"/>
      <c r="F2257" s="25"/>
      <c r="G2257" s="25"/>
      <c r="H2257" s="25"/>
      <c r="I2257" s="25"/>
    </row>
    <row r="2258" spans="1:9" ht="18" customHeight="1" x14ac:dyDescent="0.2">
      <c r="A2258" s="25"/>
      <c r="B2258" s="25"/>
      <c r="C2258" s="25"/>
      <c r="D2258" s="25"/>
      <c r="E2258" s="25"/>
      <c r="F2258" s="25"/>
      <c r="G2258" s="25"/>
      <c r="H2258" s="25"/>
      <c r="I2258" s="25"/>
    </row>
    <row r="2259" spans="1:9" ht="18" customHeight="1" x14ac:dyDescent="0.2">
      <c r="A2259" s="25"/>
      <c r="B2259" s="25"/>
      <c r="C2259" s="25"/>
      <c r="D2259" s="25"/>
      <c r="E2259" s="25"/>
      <c r="F2259" s="25"/>
      <c r="G2259" s="25"/>
      <c r="H2259" s="25"/>
      <c r="I2259" s="25"/>
    </row>
    <row r="2260" spans="1:9" ht="18" customHeight="1" x14ac:dyDescent="0.2">
      <c r="A2260" s="25"/>
      <c r="B2260" s="25"/>
      <c r="C2260" s="25"/>
      <c r="D2260" s="25"/>
      <c r="E2260" s="25"/>
      <c r="F2260" s="25"/>
      <c r="G2260" s="25"/>
      <c r="H2260" s="25"/>
      <c r="I2260" s="25"/>
    </row>
    <row r="2261" spans="1:9" ht="18" customHeight="1" x14ac:dyDescent="0.2">
      <c r="A2261" s="25"/>
      <c r="B2261" s="25"/>
      <c r="C2261" s="25"/>
      <c r="D2261" s="25"/>
      <c r="E2261" s="25"/>
      <c r="F2261" s="25"/>
      <c r="G2261" s="25"/>
      <c r="H2261" s="25"/>
      <c r="I2261" s="25"/>
    </row>
    <row r="2262" spans="1:9" ht="18" customHeight="1" x14ac:dyDescent="0.2">
      <c r="A2262" s="25"/>
      <c r="B2262" s="25"/>
      <c r="C2262" s="25"/>
      <c r="D2262" s="25"/>
      <c r="E2262" s="25"/>
      <c r="F2262" s="25"/>
      <c r="G2262" s="25"/>
      <c r="H2262" s="25"/>
      <c r="I2262" s="25"/>
    </row>
    <row r="2263" spans="1:9" ht="18" customHeight="1" x14ac:dyDescent="0.2">
      <c r="A2263" s="25"/>
      <c r="B2263" s="25"/>
      <c r="C2263" s="25"/>
      <c r="D2263" s="25"/>
      <c r="E2263" s="25"/>
      <c r="F2263" s="25"/>
      <c r="G2263" s="25"/>
      <c r="H2263" s="25"/>
      <c r="I2263" s="25"/>
    </row>
    <row r="2264" spans="1:9" ht="18" customHeight="1" x14ac:dyDescent="0.2">
      <c r="A2264" s="25"/>
      <c r="B2264" s="25"/>
      <c r="C2264" s="25"/>
      <c r="D2264" s="25"/>
      <c r="E2264" s="25"/>
      <c r="F2264" s="25"/>
      <c r="G2264" s="25"/>
      <c r="H2264" s="25"/>
      <c r="I2264" s="25"/>
    </row>
    <row r="2265" spans="1:9" ht="18" customHeight="1" x14ac:dyDescent="0.2">
      <c r="A2265" s="25"/>
      <c r="B2265" s="25"/>
      <c r="C2265" s="25"/>
      <c r="D2265" s="25"/>
      <c r="E2265" s="25"/>
      <c r="F2265" s="25"/>
      <c r="G2265" s="25"/>
      <c r="H2265" s="25"/>
      <c r="I2265" s="25"/>
    </row>
    <row r="2266" spans="1:9" ht="18" customHeight="1" x14ac:dyDescent="0.2">
      <c r="A2266" s="25"/>
      <c r="B2266" s="25"/>
      <c r="C2266" s="25"/>
      <c r="D2266" s="25"/>
      <c r="E2266" s="25"/>
      <c r="F2266" s="25"/>
      <c r="G2266" s="25"/>
      <c r="H2266" s="25"/>
      <c r="I2266" s="25"/>
    </row>
    <row r="2267" spans="1:9" ht="18" customHeight="1" x14ac:dyDescent="0.2">
      <c r="A2267" s="25"/>
      <c r="B2267" s="25"/>
      <c r="C2267" s="25"/>
      <c r="D2267" s="25"/>
      <c r="E2267" s="25"/>
      <c r="F2267" s="25"/>
      <c r="G2267" s="25"/>
      <c r="H2267" s="25"/>
      <c r="I2267" s="25"/>
    </row>
    <row r="2268" spans="1:9" ht="18" customHeight="1" x14ac:dyDescent="0.2">
      <c r="A2268" s="25"/>
      <c r="B2268" s="25"/>
      <c r="C2268" s="25"/>
      <c r="D2268" s="25"/>
      <c r="E2268" s="25"/>
      <c r="F2268" s="25"/>
      <c r="G2268" s="25"/>
      <c r="H2268" s="25"/>
      <c r="I2268" s="25"/>
    </row>
    <row r="2269" spans="1:9" ht="18" customHeight="1" x14ac:dyDescent="0.2">
      <c r="A2269" s="25"/>
      <c r="B2269" s="25"/>
      <c r="C2269" s="25"/>
      <c r="D2269" s="25"/>
      <c r="E2269" s="25"/>
      <c r="F2269" s="25"/>
      <c r="G2269" s="25"/>
      <c r="H2269" s="25"/>
      <c r="I2269" s="25"/>
    </row>
    <row r="2270" spans="1:9" ht="18" customHeight="1" x14ac:dyDescent="0.2">
      <c r="A2270" s="25"/>
      <c r="B2270" s="25"/>
      <c r="C2270" s="25"/>
      <c r="D2270" s="25"/>
      <c r="E2270" s="25"/>
      <c r="F2270" s="25"/>
      <c r="G2270" s="25"/>
      <c r="H2270" s="25"/>
      <c r="I2270" s="25"/>
    </row>
    <row r="2271" spans="1:9" ht="18" customHeight="1" x14ac:dyDescent="0.2">
      <c r="A2271" s="25"/>
      <c r="B2271" s="25"/>
      <c r="C2271" s="25"/>
      <c r="D2271" s="25"/>
      <c r="E2271" s="25"/>
      <c r="F2271" s="25"/>
      <c r="G2271" s="25"/>
      <c r="H2271" s="25"/>
      <c r="I2271" s="25"/>
    </row>
    <row r="2272" spans="1:9" ht="18" customHeight="1" x14ac:dyDescent="0.2">
      <c r="A2272" s="25"/>
      <c r="B2272" s="25"/>
      <c r="C2272" s="25"/>
      <c r="D2272" s="25"/>
      <c r="E2272" s="25"/>
      <c r="F2272" s="25"/>
      <c r="G2272" s="25"/>
      <c r="H2272" s="25"/>
      <c r="I2272" s="25"/>
    </row>
    <row r="2273" spans="1:9" ht="18" customHeight="1" x14ac:dyDescent="0.2">
      <c r="A2273" s="25"/>
      <c r="B2273" s="25"/>
      <c r="C2273" s="25"/>
      <c r="D2273" s="25"/>
      <c r="E2273" s="25"/>
      <c r="F2273" s="25"/>
      <c r="G2273" s="25"/>
      <c r="H2273" s="25"/>
      <c r="I2273" s="25"/>
    </row>
    <row r="2274" spans="1:9" ht="18" customHeight="1" x14ac:dyDescent="0.2">
      <c r="A2274" s="25"/>
      <c r="B2274" s="25"/>
      <c r="C2274" s="25"/>
      <c r="D2274" s="25"/>
      <c r="E2274" s="25"/>
      <c r="F2274" s="25"/>
      <c r="G2274" s="25"/>
      <c r="H2274" s="25"/>
      <c r="I2274" s="25"/>
    </row>
    <row r="2275" spans="1:9" ht="18" customHeight="1" x14ac:dyDescent="0.2">
      <c r="A2275" s="25"/>
      <c r="B2275" s="25"/>
      <c r="C2275" s="25"/>
      <c r="D2275" s="25"/>
      <c r="E2275" s="25"/>
      <c r="F2275" s="25"/>
      <c r="G2275" s="25"/>
      <c r="H2275" s="25"/>
      <c r="I2275" s="25"/>
    </row>
    <row r="2276" spans="1:9" ht="18" customHeight="1" x14ac:dyDescent="0.2">
      <c r="A2276" s="25"/>
      <c r="B2276" s="25"/>
      <c r="C2276" s="25"/>
      <c r="D2276" s="25"/>
      <c r="E2276" s="25"/>
      <c r="F2276" s="25"/>
      <c r="G2276" s="25"/>
      <c r="H2276" s="25"/>
      <c r="I2276" s="25"/>
    </row>
    <row r="2277" spans="1:9" ht="18" customHeight="1" x14ac:dyDescent="0.2">
      <c r="A2277" s="25"/>
      <c r="B2277" s="25"/>
      <c r="C2277" s="25"/>
      <c r="D2277" s="25"/>
      <c r="E2277" s="25"/>
      <c r="F2277" s="25"/>
      <c r="G2277" s="25"/>
      <c r="H2277" s="25"/>
      <c r="I2277" s="25"/>
    </row>
    <row r="2278" spans="1:9" ht="18" customHeight="1" x14ac:dyDescent="0.2">
      <c r="A2278" s="25"/>
      <c r="B2278" s="25"/>
      <c r="C2278" s="25"/>
      <c r="D2278" s="25"/>
      <c r="E2278" s="25"/>
      <c r="F2278" s="25"/>
      <c r="G2278" s="25"/>
      <c r="H2278" s="25"/>
      <c r="I2278" s="25"/>
    </row>
    <row r="2279" spans="1:9" ht="18" customHeight="1" x14ac:dyDescent="0.2">
      <c r="A2279" s="25"/>
      <c r="B2279" s="25"/>
      <c r="C2279" s="25"/>
      <c r="D2279" s="25"/>
      <c r="E2279" s="25"/>
      <c r="F2279" s="25"/>
      <c r="G2279" s="25"/>
      <c r="H2279" s="25"/>
      <c r="I2279" s="25"/>
    </row>
    <row r="2280" spans="1:9" ht="18" customHeight="1" x14ac:dyDescent="0.2">
      <c r="A2280" s="25"/>
      <c r="B2280" s="25"/>
      <c r="C2280" s="25"/>
      <c r="D2280" s="25"/>
      <c r="E2280" s="25"/>
      <c r="F2280" s="25"/>
      <c r="G2280" s="25"/>
      <c r="H2280" s="25"/>
      <c r="I2280" s="25"/>
    </row>
    <row r="2281" spans="1:9" ht="18" customHeight="1" x14ac:dyDescent="0.2">
      <c r="A2281" s="25"/>
      <c r="B2281" s="25"/>
      <c r="C2281" s="25"/>
      <c r="D2281" s="25"/>
      <c r="E2281" s="25"/>
      <c r="F2281" s="25"/>
      <c r="G2281" s="25"/>
      <c r="H2281" s="25"/>
      <c r="I2281" s="25"/>
    </row>
    <row r="2282" spans="1:9" ht="18" customHeight="1" x14ac:dyDescent="0.2">
      <c r="A2282" s="25"/>
      <c r="B2282" s="25"/>
      <c r="C2282" s="25"/>
      <c r="D2282" s="25"/>
      <c r="E2282" s="25"/>
      <c r="F2282" s="25"/>
      <c r="G2282" s="25"/>
      <c r="H2282" s="25"/>
      <c r="I2282" s="25"/>
    </row>
    <row r="2283" spans="1:9" ht="18" customHeight="1" x14ac:dyDescent="0.2">
      <c r="A2283" s="25"/>
      <c r="B2283" s="25"/>
      <c r="C2283" s="25"/>
      <c r="D2283" s="25"/>
      <c r="E2283" s="25"/>
      <c r="F2283" s="25"/>
      <c r="G2283" s="25"/>
      <c r="H2283" s="25"/>
      <c r="I2283" s="25"/>
    </row>
    <row r="2284" spans="1:9" ht="18" customHeight="1" x14ac:dyDescent="0.2">
      <c r="A2284" s="25"/>
      <c r="B2284" s="25"/>
      <c r="C2284" s="25"/>
      <c r="D2284" s="25"/>
      <c r="E2284" s="25"/>
      <c r="F2284" s="25"/>
      <c r="G2284" s="25"/>
      <c r="H2284" s="25"/>
      <c r="I2284" s="25"/>
    </row>
    <row r="2285" spans="1:9" ht="18" customHeight="1" x14ac:dyDescent="0.2">
      <c r="A2285" s="25"/>
      <c r="B2285" s="25"/>
      <c r="C2285" s="25"/>
      <c r="D2285" s="25"/>
      <c r="E2285" s="25"/>
      <c r="F2285" s="25"/>
      <c r="G2285" s="25"/>
      <c r="H2285" s="25"/>
      <c r="I2285" s="25"/>
    </row>
    <row r="2286" spans="1:9" ht="18" customHeight="1" x14ac:dyDescent="0.2">
      <c r="A2286" s="25"/>
      <c r="B2286" s="25"/>
      <c r="C2286" s="25"/>
      <c r="D2286" s="25"/>
      <c r="E2286" s="25"/>
      <c r="F2286" s="25"/>
      <c r="G2286" s="25"/>
      <c r="H2286" s="25"/>
      <c r="I2286" s="25"/>
    </row>
    <row r="2287" spans="1:9" ht="18" customHeight="1" x14ac:dyDescent="0.2">
      <c r="A2287" s="25"/>
      <c r="B2287" s="25"/>
      <c r="C2287" s="25"/>
      <c r="D2287" s="25"/>
      <c r="E2287" s="25"/>
      <c r="F2287" s="25"/>
      <c r="G2287" s="25"/>
      <c r="H2287" s="25"/>
      <c r="I2287" s="25"/>
    </row>
    <row r="2288" spans="1:9" ht="18" customHeight="1" x14ac:dyDescent="0.2">
      <c r="A2288" s="25"/>
      <c r="B2288" s="25"/>
      <c r="C2288" s="25"/>
      <c r="D2288" s="25"/>
      <c r="E2288" s="25"/>
      <c r="F2288" s="25"/>
      <c r="G2288" s="25"/>
      <c r="H2288" s="25"/>
      <c r="I2288" s="25"/>
    </row>
    <row r="2289" spans="1:9" ht="18" customHeight="1" x14ac:dyDescent="0.2">
      <c r="A2289" s="25"/>
      <c r="B2289" s="25"/>
      <c r="C2289" s="25"/>
      <c r="D2289" s="25"/>
      <c r="E2289" s="25"/>
      <c r="F2289" s="25"/>
      <c r="G2289" s="25"/>
      <c r="H2289" s="25"/>
      <c r="I2289" s="25"/>
    </row>
    <row r="2290" spans="1:9" ht="18" customHeight="1" x14ac:dyDescent="0.2">
      <c r="A2290" s="25"/>
      <c r="B2290" s="25"/>
      <c r="C2290" s="25"/>
      <c r="D2290" s="25"/>
      <c r="E2290" s="25"/>
      <c r="F2290" s="25"/>
      <c r="G2290" s="25"/>
      <c r="H2290" s="25"/>
      <c r="I2290" s="25"/>
    </row>
    <row r="2291" spans="1:9" ht="18" customHeight="1" x14ac:dyDescent="0.2">
      <c r="A2291" s="25"/>
      <c r="B2291" s="25"/>
      <c r="C2291" s="25"/>
      <c r="D2291" s="25"/>
      <c r="E2291" s="25"/>
      <c r="F2291" s="25"/>
      <c r="G2291" s="25"/>
      <c r="H2291" s="25"/>
      <c r="I2291" s="25"/>
    </row>
    <row r="2292" spans="1:9" ht="18" customHeight="1" x14ac:dyDescent="0.2">
      <c r="A2292" s="25"/>
      <c r="B2292" s="25"/>
      <c r="C2292" s="25"/>
      <c r="D2292" s="25"/>
      <c r="E2292" s="25"/>
      <c r="F2292" s="25"/>
      <c r="G2292" s="25"/>
      <c r="H2292" s="25"/>
      <c r="I2292" s="25"/>
    </row>
    <row r="2293" spans="1:9" ht="18" customHeight="1" x14ac:dyDescent="0.2">
      <c r="A2293" s="25"/>
      <c r="B2293" s="25"/>
      <c r="C2293" s="25"/>
      <c r="D2293" s="25"/>
      <c r="E2293" s="25"/>
      <c r="F2293" s="25"/>
      <c r="G2293" s="25"/>
      <c r="H2293" s="25"/>
      <c r="I2293" s="25"/>
    </row>
    <row r="2294" spans="1:9" ht="18" customHeight="1" x14ac:dyDescent="0.2">
      <c r="A2294" s="25"/>
      <c r="B2294" s="25"/>
      <c r="C2294" s="25"/>
      <c r="D2294" s="25"/>
      <c r="E2294" s="25"/>
      <c r="F2294" s="25"/>
      <c r="G2294" s="25"/>
      <c r="H2294" s="25"/>
      <c r="I2294" s="25"/>
    </row>
    <row r="2295" spans="1:9" ht="18" customHeight="1" x14ac:dyDescent="0.2">
      <c r="A2295" s="25"/>
      <c r="B2295" s="25"/>
      <c r="C2295" s="25"/>
      <c r="D2295" s="25"/>
      <c r="E2295" s="25"/>
      <c r="F2295" s="25"/>
      <c r="G2295" s="25"/>
      <c r="H2295" s="25"/>
      <c r="I2295" s="25"/>
    </row>
    <row r="2296" spans="1:9" ht="18" customHeight="1" x14ac:dyDescent="0.2">
      <c r="A2296" s="25"/>
      <c r="B2296" s="25"/>
      <c r="C2296" s="25"/>
      <c r="D2296" s="25"/>
      <c r="E2296" s="25"/>
      <c r="F2296" s="25"/>
      <c r="G2296" s="25"/>
      <c r="H2296" s="25"/>
      <c r="I2296" s="25"/>
    </row>
    <row r="2297" spans="1:9" ht="18" customHeight="1" x14ac:dyDescent="0.2">
      <c r="A2297" s="25"/>
      <c r="B2297" s="25"/>
      <c r="C2297" s="25"/>
      <c r="D2297" s="25"/>
      <c r="E2297" s="25"/>
      <c r="F2297" s="25"/>
      <c r="G2297" s="25"/>
      <c r="H2297" s="25"/>
      <c r="I2297" s="25"/>
    </row>
    <row r="2298" spans="1:9" ht="18" customHeight="1" x14ac:dyDescent="0.2">
      <c r="A2298" s="25"/>
      <c r="B2298" s="25"/>
      <c r="C2298" s="25"/>
      <c r="D2298" s="25"/>
      <c r="E2298" s="25"/>
      <c r="F2298" s="25"/>
      <c r="G2298" s="25"/>
      <c r="H2298" s="25"/>
      <c r="I2298" s="25"/>
    </row>
    <row r="2299" spans="1:9" ht="18" customHeight="1" x14ac:dyDescent="0.2">
      <c r="A2299" s="25"/>
      <c r="B2299" s="25"/>
      <c r="C2299" s="25"/>
      <c r="D2299" s="25"/>
      <c r="E2299" s="25"/>
      <c r="F2299" s="25"/>
      <c r="G2299" s="25"/>
      <c r="H2299" s="25"/>
      <c r="I2299" s="25"/>
    </row>
    <row r="2300" spans="1:9" ht="18" customHeight="1" x14ac:dyDescent="0.2">
      <c r="A2300" s="25"/>
      <c r="B2300" s="25"/>
      <c r="C2300" s="25"/>
      <c r="D2300" s="25"/>
      <c r="E2300" s="25"/>
      <c r="F2300" s="25"/>
      <c r="G2300" s="25"/>
      <c r="H2300" s="25"/>
      <c r="I2300" s="25"/>
    </row>
    <row r="2301" spans="1:9" ht="18" customHeight="1" x14ac:dyDescent="0.2">
      <c r="A2301" s="25"/>
      <c r="B2301" s="25"/>
      <c r="C2301" s="25"/>
      <c r="D2301" s="25"/>
      <c r="E2301" s="25"/>
      <c r="F2301" s="25"/>
      <c r="G2301" s="25"/>
      <c r="H2301" s="25"/>
      <c r="I2301" s="25"/>
    </row>
    <row r="2302" spans="1:9" ht="18" customHeight="1" x14ac:dyDescent="0.2">
      <c r="A2302" s="25"/>
      <c r="B2302" s="25"/>
      <c r="C2302" s="25"/>
      <c r="D2302" s="25"/>
      <c r="E2302" s="25"/>
      <c r="F2302" s="25"/>
      <c r="G2302" s="25"/>
      <c r="H2302" s="25"/>
      <c r="I2302" s="25"/>
    </row>
    <row r="2303" spans="1:9" ht="18" customHeight="1" x14ac:dyDescent="0.2">
      <c r="A2303" s="25"/>
      <c r="B2303" s="25"/>
      <c r="C2303" s="25"/>
      <c r="D2303" s="25"/>
      <c r="E2303" s="25"/>
      <c r="F2303" s="25"/>
      <c r="G2303" s="25"/>
      <c r="H2303" s="25"/>
      <c r="I2303" s="25"/>
    </row>
    <row r="2304" spans="1:9" ht="18" customHeight="1" x14ac:dyDescent="0.2">
      <c r="A2304" s="25"/>
      <c r="B2304" s="25"/>
      <c r="C2304" s="25"/>
      <c r="D2304" s="25"/>
      <c r="E2304" s="25"/>
      <c r="F2304" s="25"/>
      <c r="G2304" s="25"/>
      <c r="H2304" s="25"/>
      <c r="I2304" s="25"/>
    </row>
    <row r="2305" spans="1:9" ht="18" customHeight="1" x14ac:dyDescent="0.2">
      <c r="A2305" s="25"/>
      <c r="B2305" s="25"/>
      <c r="C2305" s="25"/>
      <c r="D2305" s="25"/>
      <c r="E2305" s="25"/>
      <c r="F2305" s="25"/>
      <c r="G2305" s="25"/>
      <c r="H2305" s="25"/>
      <c r="I2305" s="25"/>
    </row>
    <row r="2306" spans="1:9" ht="18" customHeight="1" x14ac:dyDescent="0.2">
      <c r="A2306" s="25"/>
      <c r="B2306" s="25"/>
      <c r="C2306" s="25"/>
      <c r="D2306" s="25"/>
      <c r="E2306" s="25"/>
      <c r="F2306" s="25"/>
      <c r="G2306" s="25"/>
      <c r="H2306" s="25"/>
      <c r="I2306" s="25"/>
    </row>
    <row r="2307" spans="1:9" ht="18" customHeight="1" x14ac:dyDescent="0.2">
      <c r="A2307" s="25"/>
      <c r="B2307" s="25"/>
      <c r="C2307" s="25"/>
      <c r="D2307" s="25"/>
      <c r="E2307" s="25"/>
      <c r="F2307" s="25"/>
      <c r="G2307" s="25"/>
      <c r="H2307" s="25"/>
      <c r="I2307" s="25"/>
    </row>
    <row r="2308" spans="1:9" ht="18" customHeight="1" x14ac:dyDescent="0.2">
      <c r="A2308" s="25"/>
      <c r="B2308" s="25"/>
      <c r="C2308" s="25"/>
      <c r="D2308" s="25"/>
      <c r="E2308" s="25"/>
      <c r="F2308" s="25"/>
      <c r="G2308" s="25"/>
      <c r="H2308" s="25"/>
      <c r="I2308" s="25"/>
    </row>
    <row r="2309" spans="1:9" ht="18" customHeight="1" x14ac:dyDescent="0.2">
      <c r="A2309" s="25"/>
      <c r="B2309" s="25"/>
      <c r="C2309" s="25"/>
      <c r="D2309" s="25"/>
      <c r="E2309" s="25"/>
      <c r="F2309" s="25"/>
      <c r="G2309" s="25"/>
      <c r="H2309" s="25"/>
      <c r="I2309" s="25"/>
    </row>
    <row r="2310" spans="1:9" ht="18" customHeight="1" x14ac:dyDescent="0.2">
      <c r="A2310" s="25"/>
      <c r="B2310" s="25"/>
      <c r="C2310" s="25"/>
      <c r="D2310" s="25"/>
      <c r="E2310" s="25"/>
      <c r="F2310" s="25"/>
      <c r="G2310" s="25"/>
      <c r="H2310" s="25"/>
      <c r="I2310" s="25"/>
    </row>
    <row r="2311" spans="1:9" ht="18" customHeight="1" x14ac:dyDescent="0.2">
      <c r="A2311" s="25"/>
      <c r="B2311" s="25"/>
      <c r="C2311" s="25"/>
      <c r="D2311" s="25"/>
      <c r="E2311" s="25"/>
      <c r="F2311" s="25"/>
      <c r="G2311" s="25"/>
      <c r="H2311" s="25"/>
      <c r="I2311" s="25"/>
    </row>
    <row r="2312" spans="1:9" ht="18" customHeight="1" x14ac:dyDescent="0.2">
      <c r="A2312" s="25"/>
      <c r="B2312" s="25"/>
      <c r="C2312" s="25"/>
      <c r="D2312" s="25"/>
      <c r="E2312" s="25"/>
      <c r="F2312" s="25"/>
      <c r="G2312" s="25"/>
      <c r="H2312" s="25"/>
      <c r="I2312" s="25"/>
    </row>
    <row r="2313" spans="1:9" ht="18" customHeight="1" x14ac:dyDescent="0.2">
      <c r="A2313" s="25"/>
      <c r="B2313" s="25"/>
      <c r="C2313" s="25"/>
      <c r="D2313" s="25"/>
      <c r="E2313" s="25"/>
      <c r="F2313" s="25"/>
      <c r="G2313" s="25"/>
      <c r="H2313" s="25"/>
      <c r="I2313" s="25"/>
    </row>
    <row r="2314" spans="1:9" ht="18" customHeight="1" x14ac:dyDescent="0.2">
      <c r="A2314" s="25"/>
      <c r="B2314" s="25"/>
      <c r="C2314" s="25"/>
      <c r="D2314" s="25"/>
      <c r="E2314" s="25"/>
      <c r="F2314" s="25"/>
      <c r="G2314" s="25"/>
      <c r="H2314" s="25"/>
      <c r="I2314" s="25"/>
    </row>
    <row r="2315" spans="1:9" ht="18" customHeight="1" x14ac:dyDescent="0.2">
      <c r="A2315" s="25"/>
      <c r="B2315" s="25"/>
      <c r="C2315" s="25"/>
      <c r="D2315" s="25"/>
      <c r="E2315" s="25"/>
      <c r="F2315" s="25"/>
      <c r="G2315" s="25"/>
      <c r="H2315" s="25"/>
      <c r="I2315" s="25"/>
    </row>
    <row r="2316" spans="1:9" ht="18" customHeight="1" x14ac:dyDescent="0.2">
      <c r="A2316" s="25"/>
      <c r="B2316" s="25"/>
      <c r="C2316" s="25"/>
      <c r="D2316" s="25"/>
      <c r="E2316" s="25"/>
      <c r="F2316" s="25"/>
      <c r="G2316" s="25"/>
      <c r="H2316" s="25"/>
      <c r="I2316" s="25"/>
    </row>
    <row r="2317" spans="1:9" ht="18" customHeight="1" x14ac:dyDescent="0.2">
      <c r="A2317" s="25"/>
      <c r="B2317" s="25"/>
      <c r="C2317" s="25"/>
      <c r="D2317" s="25"/>
      <c r="E2317" s="25"/>
      <c r="F2317" s="25"/>
      <c r="G2317" s="25"/>
      <c r="H2317" s="25"/>
      <c r="I2317" s="25"/>
    </row>
    <row r="2318" spans="1:9" ht="18" customHeight="1" x14ac:dyDescent="0.2">
      <c r="A2318" s="25"/>
      <c r="B2318" s="25"/>
      <c r="C2318" s="25"/>
      <c r="D2318" s="25"/>
      <c r="E2318" s="25"/>
      <c r="F2318" s="25"/>
      <c r="G2318" s="25"/>
      <c r="H2318" s="25"/>
      <c r="I2318" s="25"/>
    </row>
    <row r="2319" spans="1:9" ht="18" customHeight="1" x14ac:dyDescent="0.2">
      <c r="A2319" s="25"/>
      <c r="B2319" s="25"/>
      <c r="C2319" s="25"/>
      <c r="D2319" s="25"/>
      <c r="E2319" s="25"/>
      <c r="F2319" s="25"/>
      <c r="G2319" s="25"/>
      <c r="H2319" s="25"/>
      <c r="I2319" s="25"/>
    </row>
    <row r="2320" spans="1:9" ht="18" customHeight="1" x14ac:dyDescent="0.2">
      <c r="A2320" s="25"/>
      <c r="B2320" s="25"/>
      <c r="C2320" s="25"/>
      <c r="D2320" s="25"/>
      <c r="E2320" s="25"/>
      <c r="F2320" s="25"/>
      <c r="G2320" s="25"/>
      <c r="H2320" s="25"/>
      <c r="I2320" s="25"/>
    </row>
    <row r="2321" spans="1:9" ht="18" customHeight="1" x14ac:dyDescent="0.2">
      <c r="A2321" s="25"/>
      <c r="B2321" s="25"/>
      <c r="C2321" s="25"/>
      <c r="D2321" s="25"/>
      <c r="E2321" s="25"/>
      <c r="F2321" s="25"/>
      <c r="G2321" s="25"/>
      <c r="H2321" s="25"/>
      <c r="I2321" s="25"/>
    </row>
    <row r="2322" spans="1:9" ht="18" customHeight="1" x14ac:dyDescent="0.2">
      <c r="A2322" s="25"/>
      <c r="B2322" s="25"/>
      <c r="C2322" s="25"/>
      <c r="D2322" s="25"/>
      <c r="E2322" s="25"/>
      <c r="F2322" s="25"/>
      <c r="G2322" s="25"/>
      <c r="H2322" s="25"/>
      <c r="I2322" s="25"/>
    </row>
    <row r="2323" spans="1:9" ht="18" customHeight="1" x14ac:dyDescent="0.2">
      <c r="A2323" s="25"/>
      <c r="B2323" s="25"/>
      <c r="C2323" s="25"/>
      <c r="D2323" s="25"/>
      <c r="E2323" s="25"/>
      <c r="F2323" s="25"/>
      <c r="G2323" s="25"/>
      <c r="H2323" s="25"/>
      <c r="I2323" s="25"/>
    </row>
    <row r="2324" spans="1:9" ht="18" customHeight="1" x14ac:dyDescent="0.2">
      <c r="A2324" s="25"/>
      <c r="B2324" s="25"/>
      <c r="C2324" s="25"/>
      <c r="D2324" s="25"/>
      <c r="E2324" s="25"/>
      <c r="F2324" s="25"/>
      <c r="G2324" s="25"/>
      <c r="H2324" s="25"/>
      <c r="I2324" s="25"/>
    </row>
    <row r="2325" spans="1:9" ht="18" customHeight="1" x14ac:dyDescent="0.2">
      <c r="A2325" s="25"/>
      <c r="B2325" s="25"/>
      <c r="C2325" s="25"/>
      <c r="D2325" s="25"/>
      <c r="E2325" s="25"/>
      <c r="F2325" s="25"/>
      <c r="G2325" s="25"/>
      <c r="H2325" s="25"/>
      <c r="I2325" s="25"/>
    </row>
    <row r="2326" spans="1:9" ht="18" customHeight="1" x14ac:dyDescent="0.2">
      <c r="A2326" s="25"/>
      <c r="B2326" s="25"/>
      <c r="C2326" s="25"/>
      <c r="D2326" s="25"/>
      <c r="E2326" s="25"/>
      <c r="F2326" s="25"/>
      <c r="G2326" s="25"/>
      <c r="H2326" s="25"/>
      <c r="I2326" s="25"/>
    </row>
    <row r="2327" spans="1:9" ht="18" customHeight="1" x14ac:dyDescent="0.2">
      <c r="A2327" s="25"/>
      <c r="B2327" s="25"/>
      <c r="C2327" s="25"/>
      <c r="D2327" s="25"/>
      <c r="E2327" s="25"/>
      <c r="F2327" s="25"/>
      <c r="G2327" s="25"/>
      <c r="H2327" s="25"/>
      <c r="I2327" s="25"/>
    </row>
    <row r="2328" spans="1:9" ht="18" customHeight="1" x14ac:dyDescent="0.2">
      <c r="A2328" s="25"/>
      <c r="B2328" s="25"/>
      <c r="C2328" s="25"/>
      <c r="D2328" s="25"/>
      <c r="E2328" s="25"/>
      <c r="F2328" s="25"/>
      <c r="G2328" s="25"/>
      <c r="H2328" s="25"/>
      <c r="I2328" s="25"/>
    </row>
    <row r="2329" spans="1:9" ht="18" customHeight="1" x14ac:dyDescent="0.2">
      <c r="A2329" s="25"/>
      <c r="B2329" s="25"/>
      <c r="C2329" s="25"/>
      <c r="D2329" s="25"/>
      <c r="E2329" s="25"/>
      <c r="F2329" s="25"/>
      <c r="G2329" s="25"/>
      <c r="H2329" s="25"/>
      <c r="I2329" s="25"/>
    </row>
    <row r="2330" spans="1:9" ht="18" customHeight="1" x14ac:dyDescent="0.2">
      <c r="A2330" s="25"/>
      <c r="B2330" s="25"/>
      <c r="C2330" s="25"/>
      <c r="D2330" s="25"/>
      <c r="E2330" s="25"/>
      <c r="F2330" s="25"/>
      <c r="G2330" s="25"/>
      <c r="H2330" s="25"/>
      <c r="I2330" s="25"/>
    </row>
    <row r="2331" spans="1:9" ht="18" customHeight="1" x14ac:dyDescent="0.2">
      <c r="A2331" s="25"/>
      <c r="B2331" s="25"/>
      <c r="C2331" s="25"/>
      <c r="D2331" s="25"/>
      <c r="E2331" s="25"/>
      <c r="F2331" s="25"/>
      <c r="G2331" s="25"/>
      <c r="H2331" s="25"/>
      <c r="I2331" s="25"/>
    </row>
    <row r="2332" spans="1:9" ht="18" customHeight="1" x14ac:dyDescent="0.2">
      <c r="A2332" s="25"/>
      <c r="B2332" s="25"/>
      <c r="C2332" s="25"/>
      <c r="D2332" s="25"/>
      <c r="E2332" s="25"/>
      <c r="F2332" s="25"/>
      <c r="G2332" s="25"/>
      <c r="H2332" s="25"/>
      <c r="I2332" s="25"/>
    </row>
    <row r="2333" spans="1:9" ht="18" customHeight="1" x14ac:dyDescent="0.2">
      <c r="A2333" s="25"/>
      <c r="B2333" s="25"/>
      <c r="C2333" s="25"/>
      <c r="D2333" s="25"/>
      <c r="E2333" s="25"/>
      <c r="F2333" s="25"/>
      <c r="G2333" s="25"/>
      <c r="H2333" s="25"/>
      <c r="I2333" s="25"/>
    </row>
    <row r="2334" spans="1:9" ht="18" customHeight="1" x14ac:dyDescent="0.2">
      <c r="A2334" s="25"/>
      <c r="B2334" s="25"/>
      <c r="C2334" s="25"/>
      <c r="D2334" s="25"/>
      <c r="E2334" s="25"/>
      <c r="F2334" s="25"/>
      <c r="G2334" s="25"/>
      <c r="H2334" s="25"/>
      <c r="I2334" s="25"/>
    </row>
    <row r="2335" spans="1:9" ht="18" customHeight="1" x14ac:dyDescent="0.2">
      <c r="A2335" s="25"/>
      <c r="B2335" s="25"/>
      <c r="C2335" s="25"/>
      <c r="D2335" s="25"/>
      <c r="E2335" s="25"/>
      <c r="F2335" s="25"/>
      <c r="G2335" s="25"/>
      <c r="H2335" s="25"/>
      <c r="I2335" s="25"/>
    </row>
    <row r="2336" spans="1:9" ht="18" customHeight="1" x14ac:dyDescent="0.2">
      <c r="A2336" s="25"/>
      <c r="B2336" s="25"/>
      <c r="C2336" s="25"/>
      <c r="D2336" s="25"/>
      <c r="E2336" s="25"/>
      <c r="F2336" s="25"/>
      <c r="G2336" s="25"/>
      <c r="H2336" s="25"/>
      <c r="I2336" s="25"/>
    </row>
    <row r="2337" spans="1:9" ht="18" customHeight="1" x14ac:dyDescent="0.2">
      <c r="A2337" s="25"/>
      <c r="B2337" s="25"/>
      <c r="C2337" s="25"/>
      <c r="D2337" s="25"/>
      <c r="E2337" s="25"/>
      <c r="F2337" s="25"/>
      <c r="G2337" s="25"/>
      <c r="H2337" s="25"/>
      <c r="I2337" s="25"/>
    </row>
    <row r="2338" spans="1:9" ht="18" customHeight="1" x14ac:dyDescent="0.2">
      <c r="A2338" s="25"/>
      <c r="B2338" s="25"/>
      <c r="C2338" s="25"/>
      <c r="D2338" s="25"/>
      <c r="E2338" s="25"/>
      <c r="F2338" s="25"/>
      <c r="G2338" s="25"/>
      <c r="H2338" s="25"/>
      <c r="I2338" s="25"/>
    </row>
    <row r="2339" spans="1:9" ht="18" customHeight="1" x14ac:dyDescent="0.2">
      <c r="A2339" s="25"/>
      <c r="B2339" s="25"/>
      <c r="C2339" s="25"/>
      <c r="D2339" s="25"/>
      <c r="E2339" s="25"/>
      <c r="F2339" s="25"/>
      <c r="G2339" s="25"/>
      <c r="H2339" s="25"/>
      <c r="I2339" s="25"/>
    </row>
    <row r="2340" spans="1:9" ht="18" customHeight="1" x14ac:dyDescent="0.2">
      <c r="A2340" s="25"/>
      <c r="B2340" s="25"/>
      <c r="C2340" s="25"/>
      <c r="D2340" s="25"/>
      <c r="E2340" s="25"/>
      <c r="F2340" s="25"/>
      <c r="G2340" s="25"/>
      <c r="H2340" s="25"/>
      <c r="I2340" s="25"/>
    </row>
    <row r="2341" spans="1:9" ht="18" customHeight="1" x14ac:dyDescent="0.2">
      <c r="A2341" s="25"/>
      <c r="B2341" s="25"/>
      <c r="C2341" s="25"/>
      <c r="D2341" s="25"/>
      <c r="E2341" s="25"/>
      <c r="F2341" s="25"/>
      <c r="G2341" s="25"/>
      <c r="H2341" s="25"/>
      <c r="I2341" s="25"/>
    </row>
    <row r="2342" spans="1:9" ht="18" customHeight="1" x14ac:dyDescent="0.2">
      <c r="A2342" s="25"/>
      <c r="B2342" s="25"/>
      <c r="C2342" s="25"/>
      <c r="D2342" s="25"/>
      <c r="E2342" s="25"/>
      <c r="F2342" s="25"/>
      <c r="G2342" s="25"/>
      <c r="H2342" s="25"/>
      <c r="I2342" s="25"/>
    </row>
    <row r="2343" spans="1:9" ht="18" customHeight="1" x14ac:dyDescent="0.2">
      <c r="A2343" s="25"/>
      <c r="B2343" s="25"/>
      <c r="C2343" s="25"/>
      <c r="D2343" s="25"/>
      <c r="E2343" s="25"/>
      <c r="F2343" s="25"/>
      <c r="G2343" s="25"/>
      <c r="H2343" s="25"/>
      <c r="I2343" s="25"/>
    </row>
    <row r="2344" spans="1:9" ht="18" customHeight="1" x14ac:dyDescent="0.2">
      <c r="A2344" s="25"/>
      <c r="B2344" s="25"/>
      <c r="C2344" s="25"/>
      <c r="D2344" s="25"/>
      <c r="E2344" s="25"/>
      <c r="F2344" s="25"/>
      <c r="G2344" s="25"/>
      <c r="H2344" s="25"/>
      <c r="I2344" s="25"/>
    </row>
    <row r="2345" spans="1:9" ht="18" customHeight="1" x14ac:dyDescent="0.2">
      <c r="A2345" s="25"/>
      <c r="B2345" s="25"/>
      <c r="C2345" s="25"/>
      <c r="D2345" s="25"/>
      <c r="E2345" s="25"/>
      <c r="F2345" s="25"/>
      <c r="G2345" s="25"/>
      <c r="H2345" s="25"/>
      <c r="I2345" s="25"/>
    </row>
    <row r="2346" spans="1:9" ht="18" customHeight="1" x14ac:dyDescent="0.2">
      <c r="A2346" s="25"/>
      <c r="B2346" s="25"/>
      <c r="C2346" s="25"/>
      <c r="D2346" s="25"/>
      <c r="E2346" s="25"/>
      <c r="F2346" s="25"/>
      <c r="G2346" s="25"/>
      <c r="H2346" s="25"/>
      <c r="I2346" s="25"/>
    </row>
    <row r="2347" spans="1:9" ht="18" customHeight="1" x14ac:dyDescent="0.2">
      <c r="A2347" s="25"/>
      <c r="B2347" s="25"/>
      <c r="C2347" s="25"/>
      <c r="D2347" s="25"/>
      <c r="E2347" s="25"/>
      <c r="F2347" s="25"/>
      <c r="G2347" s="25"/>
      <c r="H2347" s="25"/>
      <c r="I2347" s="25"/>
    </row>
    <row r="2348" spans="1:9" ht="18" customHeight="1" x14ac:dyDescent="0.2">
      <c r="A2348" s="25"/>
      <c r="B2348" s="25"/>
      <c r="C2348" s="25"/>
      <c r="D2348" s="25"/>
      <c r="E2348" s="25"/>
      <c r="F2348" s="25"/>
      <c r="G2348" s="25"/>
      <c r="H2348" s="25"/>
      <c r="I2348" s="25"/>
    </row>
    <row r="2349" spans="1:9" ht="18" customHeight="1" x14ac:dyDescent="0.2">
      <c r="A2349" s="25"/>
      <c r="B2349" s="25"/>
      <c r="C2349" s="25"/>
      <c r="D2349" s="25"/>
      <c r="E2349" s="25"/>
      <c r="F2349" s="25"/>
      <c r="G2349" s="25"/>
      <c r="H2349" s="25"/>
      <c r="I2349" s="25"/>
    </row>
    <row r="2350" spans="1:9" ht="18" customHeight="1" x14ac:dyDescent="0.2">
      <c r="A2350" s="25"/>
      <c r="B2350" s="25"/>
      <c r="C2350" s="25"/>
      <c r="D2350" s="25"/>
      <c r="E2350" s="25"/>
      <c r="F2350" s="25"/>
      <c r="G2350" s="25"/>
      <c r="H2350" s="25"/>
      <c r="I2350" s="25"/>
    </row>
    <row r="2351" spans="1:9" ht="18" customHeight="1" x14ac:dyDescent="0.2">
      <c r="A2351" s="25"/>
      <c r="B2351" s="25"/>
      <c r="C2351" s="25"/>
      <c r="D2351" s="25"/>
      <c r="E2351" s="25"/>
      <c r="F2351" s="25"/>
      <c r="G2351" s="25"/>
      <c r="H2351" s="25"/>
      <c r="I2351" s="25"/>
    </row>
    <row r="2352" spans="1:9" ht="18" customHeight="1" x14ac:dyDescent="0.2">
      <c r="A2352" s="25"/>
      <c r="B2352" s="25"/>
      <c r="C2352" s="25"/>
      <c r="D2352" s="25"/>
      <c r="E2352" s="25"/>
      <c r="F2352" s="25"/>
      <c r="G2352" s="25"/>
      <c r="H2352" s="25"/>
      <c r="I2352" s="25"/>
    </row>
    <row r="2353" spans="1:9" ht="18" customHeight="1" x14ac:dyDescent="0.2">
      <c r="A2353" s="25"/>
      <c r="B2353" s="25"/>
      <c r="C2353" s="25"/>
      <c r="D2353" s="25"/>
      <c r="E2353" s="25"/>
      <c r="F2353" s="25"/>
      <c r="G2353" s="25"/>
      <c r="H2353" s="25"/>
      <c r="I2353" s="25"/>
    </row>
    <row r="2354" spans="1:9" ht="18" customHeight="1" x14ac:dyDescent="0.2">
      <c r="A2354" s="25"/>
      <c r="B2354" s="25"/>
      <c r="C2354" s="25"/>
      <c r="D2354" s="25"/>
      <c r="E2354" s="25"/>
      <c r="F2354" s="25"/>
      <c r="G2354" s="25"/>
      <c r="H2354" s="25"/>
      <c r="I2354" s="25"/>
    </row>
    <row r="2355" spans="1:9" ht="18" customHeight="1" x14ac:dyDescent="0.2">
      <c r="A2355" s="25"/>
      <c r="B2355" s="25"/>
      <c r="C2355" s="25"/>
      <c r="D2355" s="25"/>
      <c r="E2355" s="25"/>
      <c r="F2355" s="25"/>
      <c r="G2355" s="25"/>
      <c r="H2355" s="25"/>
      <c r="I2355" s="25"/>
    </row>
    <row r="2356" spans="1:9" ht="18" customHeight="1" x14ac:dyDescent="0.2">
      <c r="A2356" s="25"/>
      <c r="B2356" s="25"/>
      <c r="C2356" s="25"/>
      <c r="D2356" s="25"/>
      <c r="E2356" s="25"/>
      <c r="F2356" s="25"/>
      <c r="G2356" s="25"/>
      <c r="H2356" s="25"/>
      <c r="I2356" s="25"/>
    </row>
    <row r="2357" spans="1:9" ht="18" customHeight="1" x14ac:dyDescent="0.2">
      <c r="A2357" s="25"/>
      <c r="B2357" s="25"/>
      <c r="C2357" s="25"/>
      <c r="D2357" s="25"/>
      <c r="E2357" s="25"/>
      <c r="F2357" s="25"/>
      <c r="G2357" s="25"/>
      <c r="H2357" s="25"/>
      <c r="I2357" s="25"/>
    </row>
    <row r="2358" spans="1:9" ht="18" customHeight="1" x14ac:dyDescent="0.2">
      <c r="A2358" s="25"/>
      <c r="B2358" s="25"/>
      <c r="C2358" s="25"/>
      <c r="D2358" s="25"/>
      <c r="E2358" s="25"/>
      <c r="F2358" s="25"/>
      <c r="G2358" s="25"/>
      <c r="H2358" s="25"/>
      <c r="I2358" s="25"/>
    </row>
    <row r="2359" spans="1:9" ht="18" customHeight="1" x14ac:dyDescent="0.2">
      <c r="A2359" s="25"/>
      <c r="B2359" s="25"/>
      <c r="C2359" s="25"/>
      <c r="D2359" s="25"/>
      <c r="E2359" s="25"/>
      <c r="F2359" s="25"/>
      <c r="G2359" s="25"/>
      <c r="H2359" s="25"/>
      <c r="I2359" s="25"/>
    </row>
    <row r="2360" spans="1:9" ht="18" customHeight="1" x14ac:dyDescent="0.2">
      <c r="A2360" s="25"/>
      <c r="B2360" s="25"/>
      <c r="C2360" s="25"/>
      <c r="D2360" s="25"/>
      <c r="E2360" s="25"/>
      <c r="F2360" s="25"/>
      <c r="G2360" s="25"/>
      <c r="H2360" s="25"/>
      <c r="I2360" s="25"/>
    </row>
    <row r="2361" spans="1:9" ht="18" customHeight="1" x14ac:dyDescent="0.2">
      <c r="A2361" s="25"/>
      <c r="B2361" s="25"/>
      <c r="C2361" s="25"/>
      <c r="D2361" s="25"/>
      <c r="E2361" s="25"/>
      <c r="F2361" s="25"/>
      <c r="G2361" s="25"/>
      <c r="H2361" s="25"/>
      <c r="I2361" s="25"/>
    </row>
    <row r="2362" spans="1:9" ht="18" customHeight="1" x14ac:dyDescent="0.2">
      <c r="A2362" s="25"/>
      <c r="B2362" s="25"/>
      <c r="C2362" s="25"/>
      <c r="D2362" s="25"/>
      <c r="E2362" s="25"/>
      <c r="F2362" s="25"/>
      <c r="G2362" s="25"/>
      <c r="H2362" s="25"/>
      <c r="I2362" s="25"/>
    </row>
    <row r="2363" spans="1:9" ht="18" customHeight="1" x14ac:dyDescent="0.2">
      <c r="A2363" s="25"/>
      <c r="B2363" s="25"/>
      <c r="C2363" s="25"/>
      <c r="D2363" s="25"/>
      <c r="E2363" s="25"/>
      <c r="F2363" s="25"/>
      <c r="G2363" s="25"/>
      <c r="H2363" s="25"/>
      <c r="I2363" s="25"/>
    </row>
    <row r="2364" spans="1:9" ht="18" customHeight="1" x14ac:dyDescent="0.2">
      <c r="A2364" s="25"/>
      <c r="B2364" s="25"/>
      <c r="C2364" s="25"/>
      <c r="D2364" s="25"/>
      <c r="E2364" s="25"/>
      <c r="F2364" s="25"/>
      <c r="G2364" s="25"/>
      <c r="H2364" s="25"/>
      <c r="I2364" s="25"/>
    </row>
    <row r="2365" spans="1:9" ht="18" customHeight="1" x14ac:dyDescent="0.2">
      <c r="A2365" s="25"/>
      <c r="B2365" s="25"/>
      <c r="C2365" s="25"/>
      <c r="D2365" s="25"/>
      <c r="E2365" s="25"/>
      <c r="F2365" s="25"/>
      <c r="G2365" s="25"/>
      <c r="H2365" s="25"/>
      <c r="I2365" s="25"/>
    </row>
    <row r="2366" spans="1:9" ht="18" customHeight="1" x14ac:dyDescent="0.2">
      <c r="A2366" s="25"/>
      <c r="B2366" s="25"/>
      <c r="C2366" s="25"/>
      <c r="D2366" s="25"/>
      <c r="E2366" s="25"/>
      <c r="F2366" s="25"/>
      <c r="G2366" s="25"/>
      <c r="H2366" s="25"/>
      <c r="I2366" s="25"/>
    </row>
    <row r="2367" spans="1:9" ht="18" customHeight="1" x14ac:dyDescent="0.2">
      <c r="A2367" s="25"/>
      <c r="B2367" s="25"/>
      <c r="C2367" s="25"/>
      <c r="D2367" s="25"/>
      <c r="E2367" s="25"/>
      <c r="F2367" s="25"/>
      <c r="G2367" s="25"/>
      <c r="H2367" s="25"/>
      <c r="I2367" s="25"/>
    </row>
    <row r="2368" spans="1:9" ht="18" customHeight="1" x14ac:dyDescent="0.2">
      <c r="A2368" s="25"/>
      <c r="B2368" s="25"/>
      <c r="C2368" s="25"/>
      <c r="D2368" s="25"/>
      <c r="E2368" s="25"/>
      <c r="F2368" s="25"/>
      <c r="G2368" s="25"/>
      <c r="H2368" s="25"/>
      <c r="I2368" s="25"/>
    </row>
    <row r="2369" spans="1:9" ht="18" customHeight="1" x14ac:dyDescent="0.2">
      <c r="A2369" s="25"/>
      <c r="B2369" s="25"/>
      <c r="C2369" s="25"/>
      <c r="D2369" s="25"/>
      <c r="E2369" s="25"/>
      <c r="F2369" s="25"/>
      <c r="G2369" s="25"/>
      <c r="H2369" s="25"/>
      <c r="I2369" s="25"/>
    </row>
    <row r="2370" spans="1:9" ht="18" customHeight="1" x14ac:dyDescent="0.2">
      <c r="A2370" s="25"/>
      <c r="B2370" s="25"/>
      <c r="C2370" s="25"/>
      <c r="D2370" s="25"/>
      <c r="E2370" s="25"/>
      <c r="F2370" s="25"/>
      <c r="G2370" s="25"/>
      <c r="H2370" s="25"/>
      <c r="I2370" s="25"/>
    </row>
    <row r="2371" spans="1:9" ht="18" customHeight="1" x14ac:dyDescent="0.2">
      <c r="A2371" s="25"/>
      <c r="B2371" s="25"/>
      <c r="C2371" s="25"/>
      <c r="D2371" s="25"/>
      <c r="E2371" s="25"/>
      <c r="F2371" s="25"/>
      <c r="G2371" s="25"/>
      <c r="H2371" s="25"/>
      <c r="I2371" s="25"/>
    </row>
    <row r="2372" spans="1:9" ht="18" customHeight="1" x14ac:dyDescent="0.2">
      <c r="A2372" s="25"/>
      <c r="B2372" s="25"/>
      <c r="C2372" s="25"/>
      <c r="D2372" s="25"/>
      <c r="E2372" s="25"/>
      <c r="F2372" s="25"/>
      <c r="G2372" s="25"/>
      <c r="H2372" s="25"/>
      <c r="I2372" s="25"/>
    </row>
    <row r="2373" spans="1:9" ht="18" customHeight="1" x14ac:dyDescent="0.2">
      <c r="A2373" s="25"/>
      <c r="B2373" s="25"/>
      <c r="C2373" s="25"/>
      <c r="D2373" s="25"/>
      <c r="E2373" s="25"/>
      <c r="F2373" s="25"/>
      <c r="G2373" s="25"/>
      <c r="H2373" s="25"/>
      <c r="I2373" s="25"/>
    </row>
    <row r="2374" spans="1:9" ht="18" customHeight="1" x14ac:dyDescent="0.2">
      <c r="A2374" s="25"/>
      <c r="B2374" s="25"/>
      <c r="C2374" s="25"/>
      <c r="D2374" s="25"/>
      <c r="E2374" s="25"/>
      <c r="F2374" s="25"/>
      <c r="G2374" s="25"/>
      <c r="H2374" s="25"/>
      <c r="I2374" s="25"/>
    </row>
    <row r="2375" spans="1:9" ht="18" customHeight="1" x14ac:dyDescent="0.2">
      <c r="A2375" s="25"/>
      <c r="B2375" s="25"/>
      <c r="C2375" s="25"/>
      <c r="D2375" s="25"/>
      <c r="E2375" s="25"/>
      <c r="F2375" s="25"/>
      <c r="G2375" s="25"/>
      <c r="H2375" s="25"/>
      <c r="I2375" s="25"/>
    </row>
    <row r="2376" spans="1:9" ht="18" customHeight="1" x14ac:dyDescent="0.2">
      <c r="A2376" s="25"/>
      <c r="B2376" s="25"/>
      <c r="C2376" s="25"/>
      <c r="D2376" s="25"/>
      <c r="E2376" s="25"/>
      <c r="F2376" s="25"/>
      <c r="G2376" s="25"/>
      <c r="H2376" s="25"/>
      <c r="I2376" s="25"/>
    </row>
    <row r="2377" spans="1:9" ht="18" customHeight="1" x14ac:dyDescent="0.2">
      <c r="A2377" s="25"/>
      <c r="B2377" s="25"/>
      <c r="C2377" s="25"/>
      <c r="D2377" s="25"/>
      <c r="E2377" s="25"/>
      <c r="F2377" s="25"/>
      <c r="G2377" s="25"/>
      <c r="H2377" s="25"/>
      <c r="I2377" s="25"/>
    </row>
    <row r="2378" spans="1:9" ht="18" customHeight="1" x14ac:dyDescent="0.2">
      <c r="A2378" s="25"/>
      <c r="B2378" s="25"/>
      <c r="C2378" s="25"/>
      <c r="D2378" s="25"/>
      <c r="E2378" s="25"/>
      <c r="F2378" s="25"/>
      <c r="G2378" s="25"/>
      <c r="H2378" s="25"/>
      <c r="I2378" s="25"/>
    </row>
    <row r="2379" spans="1:9" ht="18" customHeight="1" x14ac:dyDescent="0.2">
      <c r="A2379" s="25"/>
      <c r="B2379" s="25"/>
      <c r="C2379" s="25"/>
      <c r="D2379" s="25"/>
      <c r="E2379" s="25"/>
      <c r="F2379" s="25"/>
      <c r="G2379" s="25"/>
      <c r="H2379" s="25"/>
      <c r="I2379" s="25"/>
    </row>
    <row r="2380" spans="1:9" ht="18" customHeight="1" x14ac:dyDescent="0.2">
      <c r="A2380" s="25"/>
      <c r="B2380" s="25"/>
      <c r="C2380" s="25"/>
      <c r="D2380" s="25"/>
      <c r="E2380" s="25"/>
      <c r="F2380" s="25"/>
      <c r="G2380" s="25"/>
      <c r="H2380" s="25"/>
      <c r="I2380" s="25"/>
    </row>
    <row r="2381" spans="1:9" ht="18" customHeight="1" x14ac:dyDescent="0.2">
      <c r="A2381" s="25"/>
      <c r="B2381" s="25"/>
      <c r="C2381" s="25"/>
      <c r="D2381" s="25"/>
      <c r="E2381" s="25"/>
      <c r="F2381" s="25"/>
      <c r="G2381" s="25"/>
      <c r="H2381" s="25"/>
      <c r="I2381" s="25"/>
    </row>
    <row r="2382" spans="1:9" ht="18" customHeight="1" x14ac:dyDescent="0.2">
      <c r="A2382" s="25"/>
      <c r="B2382" s="25"/>
      <c r="C2382" s="25"/>
      <c r="D2382" s="25"/>
      <c r="E2382" s="25"/>
      <c r="F2382" s="25"/>
      <c r="G2382" s="25"/>
      <c r="H2382" s="25"/>
      <c r="I2382" s="25"/>
    </row>
    <row r="2383" spans="1:9" ht="18" customHeight="1" x14ac:dyDescent="0.2">
      <c r="A2383" s="25"/>
      <c r="B2383" s="25"/>
      <c r="C2383" s="25"/>
      <c r="D2383" s="25"/>
      <c r="E2383" s="25"/>
      <c r="F2383" s="25"/>
      <c r="G2383" s="25"/>
      <c r="H2383" s="25"/>
      <c r="I2383" s="25"/>
    </row>
    <row r="2384" spans="1:9" ht="18" customHeight="1" x14ac:dyDescent="0.2">
      <c r="A2384" s="25"/>
      <c r="B2384" s="25"/>
      <c r="C2384" s="25"/>
      <c r="D2384" s="25"/>
      <c r="E2384" s="25"/>
      <c r="F2384" s="25"/>
      <c r="G2384" s="25"/>
      <c r="H2384" s="25"/>
      <c r="I2384" s="25"/>
    </row>
    <row r="2385" spans="1:9" ht="18" customHeight="1" x14ac:dyDescent="0.2">
      <c r="A2385" s="25"/>
      <c r="B2385" s="25"/>
      <c r="C2385" s="25"/>
      <c r="D2385" s="25"/>
      <c r="E2385" s="25"/>
      <c r="F2385" s="25"/>
      <c r="G2385" s="25"/>
      <c r="H2385" s="25"/>
      <c r="I2385" s="25"/>
    </row>
    <row r="2386" spans="1:9" ht="18" customHeight="1" x14ac:dyDescent="0.2">
      <c r="A2386" s="25"/>
      <c r="B2386" s="25"/>
      <c r="C2386" s="25"/>
      <c r="D2386" s="25"/>
      <c r="E2386" s="25"/>
      <c r="F2386" s="25"/>
      <c r="G2386" s="25"/>
      <c r="H2386" s="25"/>
      <c r="I2386" s="25"/>
    </row>
    <row r="2387" spans="1:9" ht="18" customHeight="1" x14ac:dyDescent="0.2">
      <c r="A2387" s="25"/>
      <c r="B2387" s="25"/>
      <c r="C2387" s="25"/>
      <c r="D2387" s="25"/>
      <c r="E2387" s="25"/>
      <c r="F2387" s="25"/>
      <c r="G2387" s="25"/>
      <c r="H2387" s="25"/>
      <c r="I2387" s="25"/>
    </row>
    <row r="2388" spans="1:9" ht="18" customHeight="1" x14ac:dyDescent="0.2">
      <c r="A2388" s="25"/>
      <c r="B2388" s="25"/>
      <c r="C2388" s="25"/>
      <c r="D2388" s="25"/>
      <c r="E2388" s="25"/>
      <c r="F2388" s="25"/>
      <c r="G2388" s="25"/>
      <c r="H2388" s="25"/>
      <c r="I2388" s="25"/>
    </row>
    <row r="2389" spans="1:9" ht="18" customHeight="1" x14ac:dyDescent="0.2">
      <c r="A2389" s="25"/>
      <c r="B2389" s="25"/>
      <c r="C2389" s="25"/>
      <c r="D2389" s="25"/>
      <c r="E2389" s="25"/>
      <c r="F2389" s="25"/>
      <c r="G2389" s="25"/>
      <c r="H2389" s="25"/>
      <c r="I2389" s="25"/>
    </row>
    <row r="2390" spans="1:9" ht="18" customHeight="1" x14ac:dyDescent="0.2">
      <c r="A2390" s="25"/>
      <c r="B2390" s="25"/>
      <c r="C2390" s="25"/>
      <c r="D2390" s="25"/>
      <c r="E2390" s="25"/>
      <c r="F2390" s="25"/>
      <c r="G2390" s="25"/>
      <c r="H2390" s="25"/>
      <c r="I2390" s="25"/>
    </row>
    <row r="2391" spans="1:9" ht="18" customHeight="1" x14ac:dyDescent="0.2">
      <c r="A2391" s="25"/>
      <c r="B2391" s="25"/>
      <c r="C2391" s="25"/>
      <c r="D2391" s="25"/>
      <c r="E2391" s="25"/>
      <c r="F2391" s="25"/>
      <c r="G2391" s="25"/>
      <c r="H2391" s="25"/>
      <c r="I2391" s="25"/>
    </row>
    <row r="2392" spans="1:9" ht="18" customHeight="1" x14ac:dyDescent="0.2">
      <c r="A2392" s="25"/>
      <c r="B2392" s="25"/>
      <c r="C2392" s="25"/>
      <c r="D2392" s="25"/>
      <c r="E2392" s="25"/>
      <c r="F2392" s="25"/>
      <c r="G2392" s="25"/>
      <c r="H2392" s="25"/>
      <c r="I2392" s="25"/>
    </row>
    <row r="2393" spans="1:9" ht="18" customHeight="1" x14ac:dyDescent="0.2">
      <c r="A2393" s="25"/>
      <c r="B2393" s="25"/>
      <c r="C2393" s="25"/>
      <c r="D2393" s="25"/>
      <c r="E2393" s="25"/>
      <c r="F2393" s="25"/>
      <c r="G2393" s="25"/>
      <c r="H2393" s="25"/>
      <c r="I2393" s="25"/>
    </row>
    <row r="2394" spans="1:9" ht="18" customHeight="1" x14ac:dyDescent="0.2">
      <c r="A2394" s="25"/>
      <c r="B2394" s="25"/>
      <c r="C2394" s="25"/>
      <c r="D2394" s="25"/>
      <c r="E2394" s="25"/>
      <c r="F2394" s="25"/>
      <c r="G2394" s="25"/>
      <c r="H2394" s="25"/>
      <c r="I2394" s="25"/>
    </row>
    <row r="2395" spans="1:9" ht="18" customHeight="1" x14ac:dyDescent="0.2">
      <c r="A2395" s="25"/>
      <c r="B2395" s="25"/>
      <c r="C2395" s="25"/>
      <c r="D2395" s="25"/>
      <c r="E2395" s="25"/>
      <c r="F2395" s="25"/>
      <c r="G2395" s="25"/>
      <c r="H2395" s="25"/>
      <c r="I2395" s="25"/>
    </row>
    <row r="2396" spans="1:9" ht="18" customHeight="1" x14ac:dyDescent="0.2">
      <c r="A2396" s="25"/>
      <c r="B2396" s="25"/>
      <c r="C2396" s="25"/>
      <c r="D2396" s="25"/>
      <c r="E2396" s="25"/>
      <c r="F2396" s="25"/>
      <c r="G2396" s="25"/>
      <c r="H2396" s="25"/>
      <c r="I2396" s="25"/>
    </row>
    <row r="2397" spans="1:9" ht="18" customHeight="1" x14ac:dyDescent="0.2">
      <c r="A2397" s="25"/>
      <c r="B2397" s="25"/>
      <c r="C2397" s="25"/>
      <c r="D2397" s="25"/>
      <c r="E2397" s="25"/>
      <c r="F2397" s="25"/>
      <c r="G2397" s="25"/>
      <c r="H2397" s="25"/>
      <c r="I2397" s="25"/>
    </row>
    <row r="2398" spans="1:9" ht="18" customHeight="1" x14ac:dyDescent="0.2">
      <c r="A2398" s="25"/>
      <c r="B2398" s="25"/>
      <c r="C2398" s="25"/>
      <c r="D2398" s="25"/>
      <c r="E2398" s="25"/>
      <c r="F2398" s="25"/>
      <c r="G2398" s="25"/>
      <c r="H2398" s="25"/>
      <c r="I2398" s="25"/>
    </row>
    <row r="2399" spans="1:9" ht="18" customHeight="1" x14ac:dyDescent="0.2">
      <c r="A2399" s="25"/>
      <c r="B2399" s="25"/>
      <c r="C2399" s="25"/>
      <c r="D2399" s="25"/>
      <c r="E2399" s="25"/>
      <c r="F2399" s="25"/>
      <c r="G2399" s="25"/>
      <c r="H2399" s="25"/>
      <c r="I2399" s="25"/>
    </row>
    <row r="2400" spans="1:9" ht="18" customHeight="1" x14ac:dyDescent="0.2">
      <c r="A2400" s="25"/>
      <c r="B2400" s="25"/>
      <c r="C2400" s="25"/>
      <c r="D2400" s="25"/>
      <c r="E2400" s="25"/>
      <c r="F2400" s="25"/>
      <c r="G2400" s="25"/>
      <c r="H2400" s="25"/>
      <c r="I2400" s="25"/>
    </row>
    <row r="2401" spans="1:9" ht="18" customHeight="1" x14ac:dyDescent="0.2">
      <c r="A2401" s="25"/>
      <c r="B2401" s="25"/>
      <c r="C2401" s="25"/>
      <c r="D2401" s="25"/>
      <c r="E2401" s="25"/>
      <c r="F2401" s="25"/>
      <c r="G2401" s="25"/>
      <c r="H2401" s="25"/>
      <c r="I2401" s="25"/>
    </row>
    <row r="2402" spans="1:9" ht="18" customHeight="1" x14ac:dyDescent="0.2">
      <c r="A2402" s="25"/>
      <c r="B2402" s="25"/>
      <c r="C2402" s="25"/>
      <c r="D2402" s="25"/>
      <c r="E2402" s="25"/>
      <c r="F2402" s="25"/>
      <c r="G2402" s="25"/>
      <c r="H2402" s="25"/>
      <c r="I2402" s="25"/>
    </row>
    <row r="2403" spans="1:9" ht="18" customHeight="1" x14ac:dyDescent="0.2">
      <c r="A2403" s="25"/>
      <c r="B2403" s="25"/>
      <c r="C2403" s="25"/>
      <c r="D2403" s="25"/>
      <c r="E2403" s="25"/>
      <c r="F2403" s="25"/>
      <c r="G2403" s="25"/>
      <c r="H2403" s="25"/>
      <c r="I2403" s="25"/>
    </row>
    <row r="2404" spans="1:9" ht="18" customHeight="1" x14ac:dyDescent="0.2">
      <c r="A2404" s="25"/>
      <c r="B2404" s="25"/>
      <c r="C2404" s="25"/>
      <c r="D2404" s="25"/>
      <c r="E2404" s="25"/>
      <c r="F2404" s="25"/>
      <c r="G2404" s="25"/>
      <c r="H2404" s="25"/>
      <c r="I2404" s="25"/>
    </row>
    <row r="2405" spans="1:9" ht="18" customHeight="1" x14ac:dyDescent="0.2">
      <c r="A2405" s="25"/>
      <c r="B2405" s="25"/>
      <c r="C2405" s="25"/>
      <c r="D2405" s="25"/>
      <c r="E2405" s="25"/>
      <c r="F2405" s="25"/>
      <c r="G2405" s="25"/>
      <c r="H2405" s="25"/>
      <c r="I2405" s="25"/>
    </row>
    <row r="2406" spans="1:9" ht="18" customHeight="1" x14ac:dyDescent="0.2">
      <c r="A2406" s="25"/>
      <c r="B2406" s="25"/>
      <c r="C2406" s="25"/>
      <c r="D2406" s="25"/>
      <c r="E2406" s="25"/>
      <c r="F2406" s="25"/>
      <c r="G2406" s="25"/>
      <c r="H2406" s="25"/>
      <c r="I2406" s="25"/>
    </row>
    <row r="2407" spans="1:9" ht="18" customHeight="1" x14ac:dyDescent="0.2">
      <c r="A2407" s="25"/>
      <c r="B2407" s="25"/>
      <c r="C2407" s="25"/>
      <c r="D2407" s="25"/>
      <c r="E2407" s="25"/>
      <c r="F2407" s="25"/>
      <c r="G2407" s="25"/>
      <c r="H2407" s="25"/>
      <c r="I2407" s="25"/>
    </row>
    <row r="2408" spans="1:9" ht="18" customHeight="1" x14ac:dyDescent="0.2">
      <c r="A2408" s="25"/>
      <c r="B2408" s="25"/>
      <c r="C2408" s="25"/>
      <c r="D2408" s="25"/>
      <c r="E2408" s="25"/>
      <c r="F2408" s="25"/>
      <c r="G2408" s="25"/>
      <c r="H2408" s="25"/>
      <c r="I2408" s="25"/>
    </row>
    <row r="2409" spans="1:9" ht="18" customHeight="1" x14ac:dyDescent="0.2">
      <c r="A2409" s="25"/>
      <c r="B2409" s="25"/>
      <c r="C2409" s="25"/>
      <c r="D2409" s="25"/>
      <c r="E2409" s="25"/>
      <c r="F2409" s="25"/>
      <c r="G2409" s="25"/>
      <c r="H2409" s="25"/>
      <c r="I2409" s="25"/>
    </row>
    <row r="2410" spans="1:9" ht="18" customHeight="1" x14ac:dyDescent="0.2">
      <c r="A2410" s="25"/>
      <c r="B2410" s="25"/>
      <c r="C2410" s="25"/>
      <c r="D2410" s="25"/>
      <c r="E2410" s="25"/>
      <c r="F2410" s="25"/>
      <c r="G2410" s="25"/>
      <c r="H2410" s="25"/>
      <c r="I2410" s="25"/>
    </row>
    <row r="2411" spans="1:9" ht="18" customHeight="1" x14ac:dyDescent="0.2">
      <c r="A2411" s="25"/>
      <c r="B2411" s="25"/>
      <c r="C2411" s="25"/>
      <c r="D2411" s="25"/>
      <c r="E2411" s="25"/>
      <c r="F2411" s="25"/>
      <c r="G2411" s="25"/>
      <c r="H2411" s="25"/>
      <c r="I2411" s="25"/>
    </row>
    <row r="2412" spans="1:9" ht="18" customHeight="1" x14ac:dyDescent="0.2">
      <c r="A2412" s="25"/>
      <c r="B2412" s="25"/>
      <c r="C2412" s="25"/>
      <c r="D2412" s="25"/>
      <c r="E2412" s="25"/>
      <c r="F2412" s="25"/>
      <c r="G2412" s="25"/>
      <c r="H2412" s="25"/>
      <c r="I2412" s="25"/>
    </row>
    <row r="2413" spans="1:9" ht="18" customHeight="1" x14ac:dyDescent="0.2">
      <c r="A2413" s="25"/>
      <c r="B2413" s="25"/>
      <c r="C2413" s="25"/>
      <c r="D2413" s="25"/>
      <c r="E2413" s="25"/>
      <c r="F2413" s="25"/>
      <c r="G2413" s="25"/>
      <c r="H2413" s="25"/>
      <c r="I2413" s="25"/>
    </row>
    <row r="2414" spans="1:9" ht="18" customHeight="1" x14ac:dyDescent="0.2">
      <c r="A2414" s="25"/>
      <c r="B2414" s="25"/>
      <c r="C2414" s="25"/>
      <c r="D2414" s="25"/>
      <c r="E2414" s="25"/>
      <c r="F2414" s="25"/>
      <c r="G2414" s="25"/>
      <c r="H2414" s="25"/>
      <c r="I2414" s="25"/>
    </row>
    <row r="2415" spans="1:9" ht="18" customHeight="1" x14ac:dyDescent="0.2">
      <c r="A2415" s="25"/>
      <c r="B2415" s="25"/>
      <c r="C2415" s="25"/>
      <c r="D2415" s="25"/>
      <c r="E2415" s="25"/>
      <c r="F2415" s="25"/>
      <c r="G2415" s="25"/>
      <c r="H2415" s="25"/>
      <c r="I2415" s="25"/>
    </row>
    <row r="2416" spans="1:9" ht="18" customHeight="1" x14ac:dyDescent="0.2">
      <c r="A2416" s="25"/>
      <c r="B2416" s="25"/>
      <c r="C2416" s="25"/>
      <c r="D2416" s="25"/>
      <c r="E2416" s="25"/>
      <c r="F2416" s="25"/>
      <c r="G2416" s="25"/>
      <c r="H2416" s="25"/>
      <c r="I2416" s="25"/>
    </row>
    <row r="2417" spans="1:9" ht="18" customHeight="1" x14ac:dyDescent="0.2">
      <c r="A2417" s="25"/>
      <c r="B2417" s="25"/>
      <c r="C2417" s="25"/>
      <c r="D2417" s="25"/>
      <c r="E2417" s="25"/>
      <c r="F2417" s="25"/>
      <c r="G2417" s="25"/>
      <c r="H2417" s="25"/>
      <c r="I2417" s="25"/>
    </row>
    <row r="2418" spans="1:9" ht="18" customHeight="1" x14ac:dyDescent="0.2">
      <c r="A2418" s="25"/>
      <c r="B2418" s="25"/>
      <c r="C2418" s="25"/>
      <c r="D2418" s="25"/>
      <c r="E2418" s="25"/>
      <c r="F2418" s="25"/>
      <c r="G2418" s="25"/>
      <c r="H2418" s="25"/>
      <c r="I2418" s="25"/>
    </row>
    <row r="2419" spans="1:9" ht="18" customHeight="1" x14ac:dyDescent="0.2">
      <c r="A2419" s="25"/>
      <c r="B2419" s="25"/>
      <c r="C2419" s="25"/>
      <c r="D2419" s="25"/>
      <c r="E2419" s="25"/>
      <c r="F2419" s="25"/>
      <c r="G2419" s="25"/>
      <c r="H2419" s="25"/>
      <c r="I2419" s="25"/>
    </row>
    <row r="2420" spans="1:9" ht="18" customHeight="1" x14ac:dyDescent="0.2">
      <c r="A2420" s="25"/>
      <c r="B2420" s="25"/>
      <c r="C2420" s="25"/>
      <c r="D2420" s="25"/>
      <c r="E2420" s="25"/>
      <c r="F2420" s="25"/>
      <c r="G2420" s="25"/>
      <c r="H2420" s="25"/>
      <c r="I2420" s="25"/>
    </row>
    <row r="2421" spans="1:9" ht="18" customHeight="1" x14ac:dyDescent="0.2">
      <c r="A2421" s="25"/>
      <c r="B2421" s="25"/>
      <c r="C2421" s="25"/>
      <c r="D2421" s="25"/>
      <c r="E2421" s="25"/>
      <c r="F2421" s="25"/>
      <c r="G2421" s="25"/>
      <c r="H2421" s="25"/>
      <c r="I2421" s="25"/>
    </row>
    <row r="2422" spans="1:9" ht="18" customHeight="1" x14ac:dyDescent="0.2">
      <c r="A2422" s="25"/>
      <c r="B2422" s="25"/>
      <c r="C2422" s="25"/>
      <c r="D2422" s="25"/>
      <c r="E2422" s="25"/>
      <c r="F2422" s="25"/>
      <c r="G2422" s="25"/>
      <c r="H2422" s="25"/>
      <c r="I2422" s="25"/>
    </row>
    <row r="2423" spans="1:9" ht="18" customHeight="1" x14ac:dyDescent="0.2">
      <c r="A2423" s="25"/>
      <c r="B2423" s="25"/>
      <c r="C2423" s="25"/>
      <c r="D2423" s="25"/>
      <c r="E2423" s="25"/>
      <c r="F2423" s="25"/>
      <c r="G2423" s="25"/>
      <c r="H2423" s="25"/>
      <c r="I2423" s="25"/>
    </row>
    <row r="2424" spans="1:9" ht="18" customHeight="1" x14ac:dyDescent="0.2">
      <c r="A2424" s="25"/>
      <c r="B2424" s="25"/>
      <c r="C2424" s="25"/>
      <c r="D2424" s="25"/>
      <c r="E2424" s="25"/>
      <c r="F2424" s="25"/>
      <c r="G2424" s="25"/>
      <c r="H2424" s="25"/>
      <c r="I2424" s="25"/>
    </row>
    <row r="2425" spans="1:9" ht="18" customHeight="1" x14ac:dyDescent="0.2">
      <c r="A2425" s="25"/>
      <c r="B2425" s="25"/>
      <c r="C2425" s="25"/>
      <c r="D2425" s="25"/>
      <c r="E2425" s="25"/>
      <c r="F2425" s="25"/>
      <c r="G2425" s="25"/>
      <c r="H2425" s="25"/>
      <c r="I2425" s="25"/>
    </row>
    <row r="2426" spans="1:9" ht="18" customHeight="1" x14ac:dyDescent="0.2">
      <c r="A2426" s="25"/>
      <c r="B2426" s="25"/>
      <c r="C2426" s="25"/>
      <c r="D2426" s="25"/>
      <c r="E2426" s="25"/>
      <c r="F2426" s="25"/>
      <c r="G2426" s="25"/>
      <c r="H2426" s="25"/>
      <c r="I2426" s="25"/>
    </row>
    <row r="2427" spans="1:9" ht="18" customHeight="1" x14ac:dyDescent="0.2">
      <c r="A2427" s="25"/>
      <c r="B2427" s="25"/>
      <c r="C2427" s="25"/>
      <c r="D2427" s="25"/>
      <c r="E2427" s="25"/>
      <c r="F2427" s="25"/>
      <c r="G2427" s="25"/>
      <c r="H2427" s="25"/>
      <c r="I2427" s="25"/>
    </row>
    <row r="2428" spans="1:9" ht="18" customHeight="1" x14ac:dyDescent="0.2">
      <c r="A2428" s="25"/>
      <c r="B2428" s="25"/>
      <c r="C2428" s="25"/>
      <c r="D2428" s="25"/>
      <c r="E2428" s="25"/>
      <c r="F2428" s="25"/>
      <c r="G2428" s="25"/>
      <c r="H2428" s="25"/>
      <c r="I2428" s="25"/>
    </row>
    <row r="2429" spans="1:9" ht="18" customHeight="1" x14ac:dyDescent="0.2">
      <c r="A2429" s="25"/>
      <c r="B2429" s="25"/>
      <c r="C2429" s="25"/>
      <c r="D2429" s="25"/>
      <c r="E2429" s="25"/>
      <c r="F2429" s="25"/>
      <c r="G2429" s="25"/>
      <c r="H2429" s="25"/>
      <c r="I2429" s="25"/>
    </row>
    <row r="2430" spans="1:9" ht="18" customHeight="1" x14ac:dyDescent="0.2">
      <c r="A2430" s="25"/>
      <c r="B2430" s="25"/>
      <c r="C2430" s="25"/>
      <c r="D2430" s="25"/>
      <c r="E2430" s="25"/>
      <c r="F2430" s="25"/>
      <c r="G2430" s="25"/>
      <c r="H2430" s="25"/>
      <c r="I2430" s="25"/>
    </row>
    <row r="2431" spans="1:9" ht="18" customHeight="1" x14ac:dyDescent="0.2">
      <c r="A2431" s="25"/>
      <c r="B2431" s="25"/>
      <c r="C2431" s="25"/>
      <c r="D2431" s="25"/>
      <c r="E2431" s="25"/>
      <c r="F2431" s="25"/>
      <c r="G2431" s="25"/>
      <c r="H2431" s="25"/>
      <c r="I2431" s="25"/>
    </row>
    <row r="2432" spans="1:9" ht="18" customHeight="1" x14ac:dyDescent="0.2">
      <c r="A2432" s="25"/>
      <c r="B2432" s="25"/>
      <c r="C2432" s="25"/>
      <c r="D2432" s="25"/>
      <c r="E2432" s="25"/>
      <c r="F2432" s="25"/>
      <c r="G2432" s="25"/>
      <c r="H2432" s="25"/>
      <c r="I2432" s="25"/>
    </row>
    <row r="2433" spans="1:9" ht="18" customHeight="1" x14ac:dyDescent="0.2">
      <c r="A2433" s="25"/>
      <c r="B2433" s="25"/>
      <c r="C2433" s="25"/>
      <c r="D2433" s="25"/>
      <c r="E2433" s="25"/>
      <c r="F2433" s="25"/>
      <c r="G2433" s="25"/>
      <c r="H2433" s="25"/>
      <c r="I2433" s="25"/>
    </row>
    <row r="2434" spans="1:9" ht="18" customHeight="1" x14ac:dyDescent="0.2">
      <c r="A2434" s="25"/>
      <c r="B2434" s="25"/>
      <c r="C2434" s="25"/>
      <c r="D2434" s="25"/>
      <c r="E2434" s="25"/>
      <c r="F2434" s="25"/>
      <c r="G2434" s="25"/>
      <c r="H2434" s="25"/>
      <c r="I2434" s="25"/>
    </row>
    <row r="2435" spans="1:9" ht="18" customHeight="1" x14ac:dyDescent="0.2">
      <c r="A2435" s="25"/>
      <c r="B2435" s="25"/>
      <c r="C2435" s="25"/>
      <c r="D2435" s="25"/>
      <c r="E2435" s="25"/>
      <c r="F2435" s="25"/>
      <c r="G2435" s="25"/>
      <c r="H2435" s="25"/>
      <c r="I2435" s="25"/>
    </row>
    <row r="2436" spans="1:9" ht="18" customHeight="1" x14ac:dyDescent="0.2">
      <c r="A2436" s="25"/>
      <c r="B2436" s="25"/>
      <c r="C2436" s="25"/>
      <c r="D2436" s="25"/>
      <c r="E2436" s="25"/>
      <c r="F2436" s="25"/>
      <c r="G2436" s="25"/>
      <c r="H2436" s="25"/>
      <c r="I2436" s="25"/>
    </row>
    <row r="2437" spans="1:9" ht="18" customHeight="1" x14ac:dyDescent="0.2">
      <c r="A2437" s="25"/>
      <c r="B2437" s="25"/>
      <c r="C2437" s="25"/>
      <c r="D2437" s="25"/>
      <c r="E2437" s="25"/>
      <c r="F2437" s="25"/>
      <c r="G2437" s="25"/>
      <c r="H2437" s="25"/>
      <c r="I2437" s="25"/>
    </row>
    <row r="2438" spans="1:9" ht="18" customHeight="1" x14ac:dyDescent="0.2">
      <c r="A2438" s="25"/>
      <c r="B2438" s="25"/>
      <c r="C2438" s="25"/>
      <c r="D2438" s="25"/>
      <c r="E2438" s="25"/>
      <c r="F2438" s="25"/>
      <c r="G2438" s="25"/>
      <c r="H2438" s="25"/>
      <c r="I2438" s="25"/>
    </row>
    <row r="2439" spans="1:9" ht="18" customHeight="1" x14ac:dyDescent="0.2">
      <c r="A2439" s="25"/>
      <c r="B2439" s="25"/>
      <c r="C2439" s="25"/>
      <c r="D2439" s="25"/>
      <c r="E2439" s="25"/>
      <c r="F2439" s="25"/>
      <c r="G2439" s="25"/>
      <c r="H2439" s="25"/>
      <c r="I2439" s="25"/>
    </row>
    <row r="2440" spans="1:9" ht="18" customHeight="1" x14ac:dyDescent="0.2">
      <c r="A2440" s="25"/>
      <c r="B2440" s="25"/>
      <c r="C2440" s="25"/>
      <c r="D2440" s="25"/>
      <c r="E2440" s="25"/>
      <c r="F2440" s="25"/>
      <c r="G2440" s="25"/>
      <c r="H2440" s="25"/>
      <c r="I2440" s="25"/>
    </row>
    <row r="2441" spans="1:9" ht="18" customHeight="1" x14ac:dyDescent="0.2">
      <c r="A2441" s="25"/>
      <c r="B2441" s="25"/>
      <c r="C2441" s="25"/>
      <c r="D2441" s="25"/>
      <c r="E2441" s="25"/>
      <c r="F2441" s="25"/>
      <c r="G2441" s="25"/>
      <c r="H2441" s="25"/>
      <c r="I2441" s="25"/>
    </row>
    <row r="2442" spans="1:9" ht="18" customHeight="1" x14ac:dyDescent="0.2">
      <c r="A2442" s="25"/>
      <c r="B2442" s="25"/>
      <c r="C2442" s="25"/>
      <c r="D2442" s="25"/>
      <c r="E2442" s="25"/>
      <c r="F2442" s="25"/>
      <c r="G2442" s="25"/>
      <c r="H2442" s="25"/>
      <c r="I2442" s="25"/>
    </row>
    <row r="2443" spans="1:9" ht="18" customHeight="1" x14ac:dyDescent="0.2">
      <c r="A2443" s="25"/>
      <c r="B2443" s="25"/>
      <c r="C2443" s="25"/>
      <c r="D2443" s="25"/>
      <c r="E2443" s="25"/>
      <c r="F2443" s="25"/>
      <c r="G2443" s="25"/>
      <c r="H2443" s="25"/>
      <c r="I2443" s="25"/>
    </row>
    <row r="2444" spans="1:9" ht="18" customHeight="1" x14ac:dyDescent="0.2">
      <c r="A2444" s="25"/>
      <c r="B2444" s="25"/>
      <c r="C2444" s="25"/>
      <c r="D2444" s="25"/>
      <c r="E2444" s="25"/>
      <c r="F2444" s="25"/>
      <c r="G2444" s="25"/>
      <c r="H2444" s="25"/>
      <c r="I2444" s="25"/>
    </row>
    <row r="2445" spans="1:9" ht="18" customHeight="1" x14ac:dyDescent="0.2">
      <c r="A2445" s="25"/>
      <c r="B2445" s="25"/>
      <c r="C2445" s="25"/>
      <c r="D2445" s="25"/>
      <c r="E2445" s="25"/>
      <c r="F2445" s="25"/>
      <c r="G2445" s="25"/>
      <c r="H2445" s="25"/>
      <c r="I2445" s="25"/>
    </row>
    <row r="2446" spans="1:9" ht="18" customHeight="1" x14ac:dyDescent="0.2">
      <c r="A2446" s="25"/>
      <c r="B2446" s="25"/>
      <c r="C2446" s="25"/>
      <c r="D2446" s="25"/>
      <c r="E2446" s="25"/>
      <c r="F2446" s="25"/>
      <c r="G2446" s="25"/>
      <c r="H2446" s="25"/>
      <c r="I2446" s="25"/>
    </row>
    <row r="2447" spans="1:9" ht="18" customHeight="1" x14ac:dyDescent="0.2">
      <c r="A2447" s="25"/>
      <c r="B2447" s="25"/>
      <c r="C2447" s="25"/>
      <c r="D2447" s="25"/>
      <c r="E2447" s="25"/>
      <c r="F2447" s="25"/>
      <c r="G2447" s="25"/>
      <c r="H2447" s="25"/>
      <c r="I2447" s="25"/>
    </row>
    <row r="2448" spans="1:9" ht="18" customHeight="1" x14ac:dyDescent="0.2">
      <c r="A2448" s="25"/>
      <c r="B2448" s="25"/>
      <c r="C2448" s="25"/>
      <c r="D2448" s="25"/>
      <c r="E2448" s="25"/>
      <c r="F2448" s="25"/>
      <c r="G2448" s="25"/>
      <c r="H2448" s="25"/>
      <c r="I2448" s="25"/>
    </row>
    <row r="2449" spans="1:9" ht="18" customHeight="1" x14ac:dyDescent="0.2">
      <c r="A2449" s="25"/>
      <c r="B2449" s="25"/>
      <c r="C2449" s="25"/>
      <c r="D2449" s="25"/>
      <c r="E2449" s="25"/>
      <c r="F2449" s="25"/>
      <c r="G2449" s="25"/>
      <c r="H2449" s="25"/>
      <c r="I2449" s="25"/>
    </row>
    <row r="2450" spans="1:9" ht="18" customHeight="1" x14ac:dyDescent="0.2">
      <c r="A2450" s="25"/>
      <c r="B2450" s="25"/>
      <c r="C2450" s="25"/>
      <c r="D2450" s="25"/>
      <c r="E2450" s="25"/>
      <c r="F2450" s="25"/>
      <c r="G2450" s="25"/>
      <c r="H2450" s="25"/>
      <c r="I2450" s="25"/>
    </row>
    <row r="2451" spans="1:9" ht="18" customHeight="1" x14ac:dyDescent="0.2">
      <c r="A2451" s="25"/>
      <c r="B2451" s="25"/>
      <c r="C2451" s="25"/>
      <c r="D2451" s="25"/>
      <c r="E2451" s="25"/>
      <c r="F2451" s="25"/>
      <c r="G2451" s="25"/>
      <c r="H2451" s="25"/>
      <c r="I2451" s="25"/>
    </row>
    <row r="2452" spans="1:9" ht="18" customHeight="1" x14ac:dyDescent="0.2">
      <c r="A2452" s="25"/>
      <c r="B2452" s="25"/>
      <c r="C2452" s="25"/>
      <c r="D2452" s="25"/>
      <c r="E2452" s="25"/>
      <c r="F2452" s="25"/>
      <c r="G2452" s="25"/>
      <c r="H2452" s="25"/>
      <c r="I2452" s="25"/>
    </row>
    <row r="2453" spans="1:9" ht="18" customHeight="1" x14ac:dyDescent="0.2">
      <c r="A2453" s="25"/>
      <c r="B2453" s="25"/>
      <c r="C2453" s="25"/>
      <c r="D2453" s="25"/>
      <c r="E2453" s="25"/>
      <c r="F2453" s="25"/>
      <c r="G2453" s="25"/>
      <c r="H2453" s="25"/>
      <c r="I2453" s="25"/>
    </row>
    <row r="2454" spans="1:9" ht="18" customHeight="1" x14ac:dyDescent="0.2">
      <c r="A2454" s="25"/>
      <c r="B2454" s="25"/>
      <c r="C2454" s="25"/>
      <c r="D2454" s="25"/>
      <c r="E2454" s="25"/>
      <c r="F2454" s="25"/>
      <c r="G2454" s="25"/>
      <c r="H2454" s="25"/>
      <c r="I2454" s="25"/>
    </row>
    <row r="2455" spans="1:9" ht="18" customHeight="1" x14ac:dyDescent="0.2">
      <c r="A2455" s="25"/>
      <c r="B2455" s="25"/>
      <c r="C2455" s="25"/>
      <c r="D2455" s="25"/>
      <c r="E2455" s="25"/>
      <c r="F2455" s="25"/>
      <c r="G2455" s="25"/>
      <c r="H2455" s="25"/>
      <c r="I2455" s="25"/>
    </row>
    <row r="2456" spans="1:9" ht="18" customHeight="1" x14ac:dyDescent="0.2">
      <c r="A2456" s="25"/>
      <c r="B2456" s="25"/>
      <c r="C2456" s="25"/>
      <c r="D2456" s="25"/>
      <c r="E2456" s="25"/>
      <c r="F2456" s="25"/>
      <c r="G2456" s="25"/>
      <c r="H2456" s="25"/>
      <c r="I2456" s="25"/>
    </row>
    <row r="2457" spans="1:9" ht="18" customHeight="1" x14ac:dyDescent="0.2">
      <c r="A2457" s="25"/>
      <c r="B2457" s="25"/>
      <c r="C2457" s="25"/>
      <c r="D2457" s="25"/>
      <c r="E2457" s="25"/>
      <c r="F2457" s="25"/>
      <c r="G2457" s="25"/>
      <c r="H2457" s="25"/>
      <c r="I2457" s="25"/>
    </row>
    <row r="2458" spans="1:9" ht="18" customHeight="1" x14ac:dyDescent="0.2">
      <c r="A2458" s="25"/>
      <c r="B2458" s="25"/>
      <c r="C2458" s="25"/>
      <c r="D2458" s="25"/>
      <c r="E2458" s="25"/>
      <c r="F2458" s="25"/>
      <c r="G2458" s="25"/>
      <c r="H2458" s="25"/>
      <c r="I2458" s="25"/>
    </row>
    <row r="2459" spans="1:9" ht="18" customHeight="1" x14ac:dyDescent="0.2">
      <c r="A2459" s="25"/>
      <c r="B2459" s="25"/>
      <c r="C2459" s="25"/>
      <c r="D2459" s="25"/>
      <c r="E2459" s="25"/>
      <c r="F2459" s="25"/>
      <c r="G2459" s="25"/>
      <c r="H2459" s="25"/>
      <c r="I2459" s="25"/>
    </row>
    <row r="2460" spans="1:9" ht="18" customHeight="1" x14ac:dyDescent="0.2">
      <c r="A2460" s="25"/>
      <c r="B2460" s="25"/>
      <c r="C2460" s="25"/>
      <c r="D2460" s="25"/>
      <c r="E2460" s="25"/>
      <c r="F2460" s="25"/>
      <c r="G2460" s="25"/>
      <c r="H2460" s="25"/>
      <c r="I2460" s="25"/>
    </row>
    <row r="2461" spans="1:9" ht="18" customHeight="1" x14ac:dyDescent="0.2">
      <c r="A2461" s="25"/>
      <c r="B2461" s="25"/>
      <c r="C2461" s="25"/>
      <c r="D2461" s="25"/>
      <c r="E2461" s="25"/>
      <c r="F2461" s="25"/>
      <c r="G2461" s="25"/>
      <c r="H2461" s="25"/>
      <c r="I2461" s="25"/>
    </row>
    <row r="2462" spans="1:9" ht="18" customHeight="1" x14ac:dyDescent="0.2">
      <c r="A2462" s="25"/>
      <c r="B2462" s="25"/>
      <c r="C2462" s="25"/>
      <c r="D2462" s="25"/>
      <c r="E2462" s="25"/>
      <c r="F2462" s="25"/>
      <c r="G2462" s="25"/>
      <c r="H2462" s="25"/>
      <c r="I2462" s="25"/>
    </row>
    <row r="2463" spans="1:9" ht="18" customHeight="1" x14ac:dyDescent="0.2">
      <c r="A2463" s="25"/>
      <c r="B2463" s="25"/>
      <c r="C2463" s="25"/>
      <c r="D2463" s="25"/>
      <c r="E2463" s="25"/>
      <c r="F2463" s="25"/>
      <c r="G2463" s="25"/>
      <c r="H2463" s="25"/>
      <c r="I2463" s="25"/>
    </row>
    <row r="2464" spans="1:9" ht="18" customHeight="1" x14ac:dyDescent="0.2">
      <c r="A2464" s="25"/>
      <c r="B2464" s="25"/>
      <c r="C2464" s="25"/>
      <c r="D2464" s="25"/>
      <c r="E2464" s="25"/>
      <c r="F2464" s="25"/>
      <c r="G2464" s="25"/>
      <c r="H2464" s="25"/>
      <c r="I2464" s="25"/>
    </row>
    <row r="2465" spans="1:9" ht="18" customHeight="1" x14ac:dyDescent="0.2">
      <c r="A2465" s="25"/>
      <c r="B2465" s="25"/>
      <c r="C2465" s="25"/>
      <c r="D2465" s="25"/>
      <c r="E2465" s="25"/>
      <c r="F2465" s="25"/>
      <c r="G2465" s="25"/>
      <c r="H2465" s="25"/>
      <c r="I2465" s="25"/>
    </row>
    <row r="2466" spans="1:9" ht="18" customHeight="1" x14ac:dyDescent="0.2">
      <c r="A2466" s="25"/>
      <c r="B2466" s="25"/>
      <c r="C2466" s="25"/>
      <c r="D2466" s="25"/>
      <c r="E2466" s="25"/>
      <c r="F2466" s="25"/>
      <c r="G2466" s="25"/>
      <c r="H2466" s="25"/>
      <c r="I2466" s="25"/>
    </row>
    <row r="2467" spans="1:9" ht="18" customHeight="1" x14ac:dyDescent="0.2">
      <c r="A2467" s="25"/>
      <c r="B2467" s="25"/>
      <c r="C2467" s="25"/>
      <c r="D2467" s="25"/>
      <c r="E2467" s="25"/>
      <c r="F2467" s="25"/>
      <c r="G2467" s="25"/>
      <c r="H2467" s="25"/>
      <c r="I2467" s="25"/>
    </row>
    <row r="2468" spans="1:9" ht="18" customHeight="1" x14ac:dyDescent="0.2">
      <c r="A2468" s="25"/>
      <c r="B2468" s="25"/>
      <c r="C2468" s="25"/>
      <c r="D2468" s="25"/>
      <c r="E2468" s="25"/>
      <c r="F2468" s="25"/>
      <c r="G2468" s="25"/>
      <c r="H2468" s="25"/>
      <c r="I2468" s="25"/>
    </row>
    <row r="2469" spans="1:9" ht="18" customHeight="1" x14ac:dyDescent="0.2">
      <c r="A2469" s="25"/>
      <c r="B2469" s="25"/>
      <c r="C2469" s="25"/>
      <c r="D2469" s="25"/>
      <c r="E2469" s="25"/>
      <c r="F2469" s="25"/>
      <c r="G2469" s="25"/>
      <c r="H2469" s="25"/>
      <c r="I2469" s="25"/>
    </row>
    <row r="2470" spans="1:9" ht="18" customHeight="1" x14ac:dyDescent="0.2">
      <c r="A2470" s="25"/>
      <c r="B2470" s="25"/>
      <c r="C2470" s="25"/>
      <c r="D2470" s="25"/>
      <c r="E2470" s="25"/>
      <c r="F2470" s="25"/>
      <c r="G2470" s="25"/>
      <c r="H2470" s="25"/>
      <c r="I2470" s="25"/>
    </row>
    <row r="2471" spans="1:9" ht="18" customHeight="1" x14ac:dyDescent="0.2">
      <c r="A2471" s="25"/>
      <c r="B2471" s="25"/>
      <c r="C2471" s="25"/>
      <c r="D2471" s="25"/>
      <c r="E2471" s="25"/>
      <c r="F2471" s="25"/>
      <c r="G2471" s="25"/>
      <c r="H2471" s="25"/>
      <c r="I2471" s="25"/>
    </row>
    <row r="2472" spans="1:9" ht="18" customHeight="1" x14ac:dyDescent="0.2">
      <c r="A2472" s="25"/>
      <c r="B2472" s="25"/>
      <c r="C2472" s="25"/>
      <c r="D2472" s="25"/>
      <c r="E2472" s="25"/>
      <c r="F2472" s="25"/>
      <c r="G2472" s="25"/>
      <c r="H2472" s="25"/>
      <c r="I2472" s="25"/>
    </row>
    <row r="2473" spans="1:9" ht="18" customHeight="1" x14ac:dyDescent="0.2">
      <c r="A2473" s="25"/>
      <c r="B2473" s="25"/>
      <c r="C2473" s="25"/>
      <c r="D2473" s="25"/>
      <c r="E2473" s="25"/>
      <c r="F2473" s="25"/>
      <c r="G2473" s="25"/>
      <c r="H2473" s="25"/>
      <c r="I2473" s="25"/>
    </row>
    <row r="2474" spans="1:9" ht="18" customHeight="1" x14ac:dyDescent="0.2">
      <c r="A2474" s="25"/>
      <c r="B2474" s="25"/>
      <c r="C2474" s="25"/>
      <c r="D2474" s="25"/>
      <c r="E2474" s="25"/>
      <c r="F2474" s="25"/>
      <c r="G2474" s="25"/>
      <c r="H2474" s="25"/>
      <c r="I2474" s="25"/>
    </row>
    <row r="2475" spans="1:9" ht="18" customHeight="1" x14ac:dyDescent="0.2">
      <c r="A2475" s="25"/>
      <c r="B2475" s="25"/>
      <c r="C2475" s="25"/>
      <c r="D2475" s="25"/>
      <c r="E2475" s="25"/>
      <c r="F2475" s="25"/>
      <c r="G2475" s="25"/>
      <c r="H2475" s="25"/>
      <c r="I2475" s="25"/>
    </row>
    <row r="2476" spans="1:9" ht="18" customHeight="1" x14ac:dyDescent="0.2">
      <c r="A2476" s="25"/>
      <c r="B2476" s="25"/>
      <c r="C2476" s="25"/>
      <c r="D2476" s="25"/>
      <c r="E2476" s="25"/>
      <c r="F2476" s="25"/>
      <c r="G2476" s="25"/>
      <c r="H2476" s="25"/>
      <c r="I2476" s="25"/>
    </row>
    <row r="2477" spans="1:9" ht="18" customHeight="1" x14ac:dyDescent="0.2">
      <c r="A2477" s="25"/>
      <c r="B2477" s="25"/>
      <c r="C2477" s="25"/>
      <c r="D2477" s="25"/>
      <c r="E2477" s="25"/>
      <c r="F2477" s="25"/>
      <c r="G2477" s="25"/>
      <c r="H2477" s="25"/>
      <c r="I2477" s="25"/>
    </row>
    <row r="2478" spans="1:9" ht="18" customHeight="1" x14ac:dyDescent="0.2">
      <c r="A2478" s="25"/>
      <c r="B2478" s="25"/>
      <c r="C2478" s="25"/>
      <c r="D2478" s="25"/>
      <c r="E2478" s="25"/>
      <c r="F2478" s="25"/>
      <c r="G2478" s="25"/>
      <c r="H2478" s="25"/>
      <c r="I2478" s="25"/>
    </row>
    <row r="2479" spans="1:9" ht="18" customHeight="1" x14ac:dyDescent="0.2">
      <c r="A2479" s="25"/>
      <c r="B2479" s="25"/>
      <c r="C2479" s="25"/>
      <c r="D2479" s="25"/>
      <c r="E2479" s="25"/>
      <c r="F2479" s="25"/>
      <c r="G2479" s="25"/>
      <c r="H2479" s="25"/>
      <c r="I2479" s="25"/>
    </row>
    <row r="2480" spans="1:9" ht="18" customHeight="1" x14ac:dyDescent="0.2">
      <c r="A2480" s="25"/>
      <c r="B2480" s="25"/>
      <c r="C2480" s="25"/>
      <c r="D2480" s="25"/>
      <c r="E2480" s="25"/>
      <c r="F2480" s="25"/>
      <c r="G2480" s="25"/>
      <c r="H2480" s="25"/>
      <c r="I2480" s="25"/>
    </row>
    <row r="2481" spans="1:9" ht="18" customHeight="1" x14ac:dyDescent="0.2">
      <c r="A2481" s="25"/>
      <c r="B2481" s="25"/>
      <c r="C2481" s="25"/>
      <c r="D2481" s="25"/>
      <c r="E2481" s="25"/>
      <c r="F2481" s="25"/>
      <c r="G2481" s="25"/>
      <c r="H2481" s="25"/>
      <c r="I2481" s="25"/>
    </row>
    <row r="2482" spans="1:9" ht="18" customHeight="1" x14ac:dyDescent="0.2">
      <c r="A2482" s="25"/>
      <c r="B2482" s="25"/>
      <c r="C2482" s="25"/>
      <c r="D2482" s="25"/>
      <c r="E2482" s="25"/>
      <c r="F2482" s="25"/>
      <c r="G2482" s="25"/>
      <c r="H2482" s="25"/>
      <c r="I2482" s="25"/>
    </row>
    <row r="2483" spans="1:9" ht="18" customHeight="1" x14ac:dyDescent="0.2">
      <c r="A2483" s="25"/>
      <c r="B2483" s="25"/>
      <c r="C2483" s="25"/>
      <c r="D2483" s="25"/>
      <c r="E2483" s="25"/>
      <c r="F2483" s="25"/>
      <c r="G2483" s="25"/>
      <c r="H2483" s="25"/>
      <c r="I2483" s="25"/>
    </row>
    <row r="2484" spans="1:9" ht="18" customHeight="1" x14ac:dyDescent="0.2">
      <c r="A2484" s="25"/>
      <c r="B2484" s="25"/>
      <c r="C2484" s="25"/>
      <c r="D2484" s="25"/>
      <c r="E2484" s="25"/>
      <c r="F2484" s="25"/>
      <c r="G2484" s="25"/>
      <c r="H2484" s="25"/>
      <c r="I2484" s="25"/>
    </row>
    <row r="2485" spans="1:9" ht="18" customHeight="1" x14ac:dyDescent="0.2">
      <c r="A2485" s="25"/>
      <c r="B2485" s="25"/>
      <c r="C2485" s="25"/>
      <c r="D2485" s="25"/>
      <c r="E2485" s="25"/>
      <c r="F2485" s="25"/>
      <c r="G2485" s="25"/>
      <c r="H2485" s="25"/>
      <c r="I2485" s="25"/>
    </row>
    <row r="2486" spans="1:9" ht="18" customHeight="1" x14ac:dyDescent="0.2">
      <c r="A2486" s="25"/>
      <c r="B2486" s="25"/>
      <c r="C2486" s="25"/>
      <c r="D2486" s="25"/>
      <c r="E2486" s="25"/>
      <c r="F2486" s="25"/>
      <c r="G2486" s="25"/>
      <c r="H2486" s="25"/>
      <c r="I2486" s="25"/>
    </row>
    <row r="2487" spans="1:9" ht="18" customHeight="1" x14ac:dyDescent="0.2">
      <c r="A2487" s="25"/>
      <c r="B2487" s="25"/>
      <c r="C2487" s="25"/>
      <c r="D2487" s="25"/>
      <c r="E2487" s="25"/>
      <c r="F2487" s="25"/>
      <c r="G2487" s="25"/>
      <c r="H2487" s="25"/>
      <c r="I2487" s="25"/>
    </row>
    <row r="2488" spans="1:9" ht="18" customHeight="1" x14ac:dyDescent="0.2">
      <c r="A2488" s="25"/>
      <c r="B2488" s="25"/>
      <c r="C2488" s="25"/>
      <c r="D2488" s="25"/>
      <c r="E2488" s="25"/>
      <c r="F2488" s="25"/>
      <c r="G2488" s="25"/>
      <c r="H2488" s="25"/>
      <c r="I2488" s="25"/>
    </row>
    <row r="2489" spans="1:9" ht="18" customHeight="1" x14ac:dyDescent="0.2">
      <c r="A2489" s="25"/>
      <c r="B2489" s="25"/>
      <c r="C2489" s="25"/>
      <c r="D2489" s="25"/>
      <c r="E2489" s="25"/>
      <c r="F2489" s="25"/>
      <c r="G2489" s="25"/>
      <c r="H2489" s="25"/>
      <c r="I2489" s="25"/>
    </row>
    <row r="2490" spans="1:9" ht="18" customHeight="1" x14ac:dyDescent="0.2">
      <c r="A2490" s="25"/>
      <c r="B2490" s="25"/>
      <c r="C2490" s="25"/>
      <c r="D2490" s="25"/>
      <c r="E2490" s="25"/>
      <c r="F2490" s="25"/>
      <c r="G2490" s="25"/>
      <c r="H2490" s="25"/>
      <c r="I2490" s="25"/>
    </row>
    <row r="2491" spans="1:9" ht="18" customHeight="1" x14ac:dyDescent="0.2">
      <c r="A2491" s="25"/>
      <c r="B2491" s="25"/>
      <c r="C2491" s="25"/>
      <c r="D2491" s="25"/>
      <c r="E2491" s="25"/>
      <c r="F2491" s="25"/>
      <c r="G2491" s="25"/>
      <c r="H2491" s="25"/>
      <c r="I2491" s="25"/>
    </row>
    <row r="2492" spans="1:9" ht="18" customHeight="1" x14ac:dyDescent="0.2">
      <c r="A2492" s="25"/>
      <c r="B2492" s="25"/>
      <c r="C2492" s="25"/>
      <c r="D2492" s="25"/>
      <c r="E2492" s="25"/>
      <c r="F2492" s="25"/>
      <c r="G2492" s="25"/>
      <c r="H2492" s="25"/>
      <c r="I2492" s="25"/>
    </row>
    <row r="2493" spans="1:9" ht="18" customHeight="1" x14ac:dyDescent="0.2">
      <c r="A2493" s="25"/>
      <c r="B2493" s="25"/>
      <c r="C2493" s="25"/>
      <c r="D2493" s="25"/>
      <c r="E2493" s="25"/>
      <c r="F2493" s="25"/>
      <c r="G2493" s="25"/>
      <c r="H2493" s="25"/>
      <c r="I2493" s="25"/>
    </row>
    <row r="2494" spans="1:9" ht="18" customHeight="1" x14ac:dyDescent="0.2">
      <c r="A2494" s="25"/>
      <c r="B2494" s="25"/>
      <c r="C2494" s="25"/>
      <c r="D2494" s="25"/>
      <c r="E2494" s="25"/>
      <c r="F2494" s="25"/>
      <c r="G2494" s="25"/>
      <c r="H2494" s="25"/>
      <c r="I2494" s="25"/>
    </row>
    <row r="2495" spans="1:9" ht="18" customHeight="1" x14ac:dyDescent="0.2">
      <c r="A2495" s="25"/>
      <c r="B2495" s="25"/>
      <c r="C2495" s="25"/>
      <c r="D2495" s="25"/>
      <c r="E2495" s="25"/>
      <c r="F2495" s="25"/>
      <c r="G2495" s="25"/>
      <c r="H2495" s="25"/>
      <c r="I2495" s="25"/>
    </row>
    <row r="2496" spans="1:9" ht="18" customHeight="1" x14ac:dyDescent="0.2">
      <c r="A2496" s="25"/>
      <c r="B2496" s="25"/>
      <c r="C2496" s="25"/>
      <c r="D2496" s="25"/>
      <c r="E2496" s="25"/>
      <c r="F2496" s="25"/>
      <c r="G2496" s="25"/>
      <c r="H2496" s="25"/>
      <c r="I2496" s="25"/>
    </row>
    <row r="2497" spans="1:9" ht="18" customHeight="1" x14ac:dyDescent="0.2">
      <c r="A2497" s="25"/>
      <c r="B2497" s="25"/>
      <c r="C2497" s="25"/>
      <c r="D2497" s="25"/>
      <c r="E2497" s="25"/>
      <c r="F2497" s="25"/>
      <c r="G2497" s="25"/>
      <c r="H2497" s="25"/>
      <c r="I2497" s="25"/>
    </row>
    <row r="2498" spans="1:9" ht="18" customHeight="1" x14ac:dyDescent="0.2">
      <c r="A2498" s="25"/>
      <c r="B2498" s="25"/>
      <c r="C2498" s="25"/>
      <c r="D2498" s="25"/>
      <c r="E2498" s="25"/>
      <c r="F2498" s="25"/>
      <c r="G2498" s="25"/>
      <c r="H2498" s="25"/>
      <c r="I2498" s="25"/>
    </row>
    <row r="2499" spans="1:9" ht="18" customHeight="1" x14ac:dyDescent="0.2">
      <c r="A2499" s="25"/>
      <c r="B2499" s="25"/>
      <c r="C2499" s="25"/>
      <c r="D2499" s="25"/>
      <c r="E2499" s="25"/>
      <c r="F2499" s="25"/>
      <c r="G2499" s="25"/>
      <c r="H2499" s="25"/>
      <c r="I2499" s="25"/>
    </row>
    <row r="2500" spans="1:9" ht="18" customHeight="1" x14ac:dyDescent="0.2">
      <c r="A2500" s="25"/>
      <c r="B2500" s="25"/>
      <c r="C2500" s="25"/>
      <c r="D2500" s="25"/>
      <c r="E2500" s="25"/>
      <c r="F2500" s="25"/>
      <c r="G2500" s="25"/>
      <c r="H2500" s="25"/>
      <c r="I2500" s="25"/>
    </row>
    <row r="2501" spans="1:9" ht="18" customHeight="1" x14ac:dyDescent="0.2">
      <c r="A2501" s="25"/>
      <c r="B2501" s="25"/>
      <c r="C2501" s="25"/>
      <c r="D2501" s="25"/>
      <c r="E2501" s="25"/>
      <c r="F2501" s="25"/>
      <c r="G2501" s="25"/>
      <c r="H2501" s="25"/>
      <c r="I2501" s="25"/>
    </row>
    <row r="2502" spans="1:9" ht="18" customHeight="1" x14ac:dyDescent="0.2">
      <c r="A2502" s="25"/>
      <c r="B2502" s="25"/>
      <c r="C2502" s="25"/>
      <c r="D2502" s="25"/>
      <c r="E2502" s="25"/>
      <c r="F2502" s="25"/>
      <c r="G2502" s="25"/>
      <c r="H2502" s="25"/>
      <c r="I2502" s="25"/>
    </row>
    <row r="2503" spans="1:9" ht="18" customHeight="1" x14ac:dyDescent="0.2">
      <c r="A2503" s="25"/>
      <c r="B2503" s="25"/>
      <c r="C2503" s="25"/>
      <c r="D2503" s="25"/>
      <c r="E2503" s="25"/>
      <c r="F2503" s="25"/>
      <c r="G2503" s="25"/>
      <c r="H2503" s="25"/>
      <c r="I2503" s="25"/>
    </row>
    <row r="2504" spans="1:9" ht="18" customHeight="1" x14ac:dyDescent="0.2">
      <c r="A2504" s="25"/>
      <c r="B2504" s="25"/>
      <c r="C2504" s="25"/>
      <c r="D2504" s="25"/>
      <c r="E2504" s="25"/>
      <c r="F2504" s="25"/>
      <c r="G2504" s="25"/>
      <c r="H2504" s="25"/>
      <c r="I2504" s="25"/>
    </row>
    <row r="2505" spans="1:9" ht="18" customHeight="1" x14ac:dyDescent="0.2">
      <c r="A2505" s="25"/>
      <c r="B2505" s="25"/>
      <c r="C2505" s="25"/>
      <c r="D2505" s="25"/>
      <c r="E2505" s="25"/>
      <c r="F2505" s="25"/>
      <c r="G2505" s="25"/>
      <c r="H2505" s="25"/>
      <c r="I2505" s="25"/>
    </row>
    <row r="2506" spans="1:9" ht="18" customHeight="1" x14ac:dyDescent="0.2">
      <c r="A2506" s="25"/>
      <c r="B2506" s="25"/>
      <c r="C2506" s="25"/>
      <c r="D2506" s="25"/>
      <c r="E2506" s="25"/>
      <c r="F2506" s="25"/>
      <c r="G2506" s="25"/>
      <c r="H2506" s="25"/>
      <c r="I2506" s="25"/>
    </row>
    <row r="2507" spans="1:9" ht="18" customHeight="1" x14ac:dyDescent="0.2">
      <c r="A2507" s="25"/>
      <c r="B2507" s="25"/>
      <c r="C2507" s="25"/>
      <c r="D2507" s="25"/>
      <c r="E2507" s="25"/>
      <c r="F2507" s="25"/>
      <c r="G2507" s="25"/>
      <c r="H2507" s="25"/>
      <c r="I2507" s="25"/>
    </row>
    <row r="2508" spans="1:9" ht="18" customHeight="1" x14ac:dyDescent="0.2">
      <c r="A2508" s="25"/>
      <c r="B2508" s="25"/>
      <c r="C2508" s="25"/>
      <c r="D2508" s="25"/>
      <c r="E2508" s="25"/>
      <c r="F2508" s="25"/>
      <c r="G2508" s="25"/>
      <c r="H2508" s="25"/>
      <c r="I2508" s="25"/>
    </row>
    <row r="2509" spans="1:9" ht="18" customHeight="1" x14ac:dyDescent="0.2">
      <c r="A2509" s="25"/>
      <c r="B2509" s="25"/>
      <c r="C2509" s="25"/>
      <c r="D2509" s="25"/>
      <c r="E2509" s="25"/>
      <c r="F2509" s="25"/>
      <c r="G2509" s="25"/>
      <c r="H2509" s="25"/>
      <c r="I2509" s="25"/>
    </row>
    <row r="2510" spans="1:9" ht="18" customHeight="1" x14ac:dyDescent="0.2">
      <c r="A2510" s="25"/>
      <c r="B2510" s="25"/>
      <c r="C2510" s="25"/>
      <c r="D2510" s="25"/>
      <c r="E2510" s="25"/>
      <c r="F2510" s="25"/>
      <c r="G2510" s="25"/>
      <c r="H2510" s="25"/>
      <c r="I2510" s="25"/>
    </row>
    <row r="2511" spans="1:9" ht="18" customHeight="1" x14ac:dyDescent="0.2">
      <c r="A2511" s="25"/>
      <c r="B2511" s="25"/>
      <c r="C2511" s="25"/>
      <c r="D2511" s="25"/>
      <c r="E2511" s="25"/>
      <c r="F2511" s="25"/>
      <c r="G2511" s="25"/>
      <c r="H2511" s="25"/>
      <c r="I2511" s="25"/>
    </row>
    <row r="2512" spans="1:9" ht="18" customHeight="1" x14ac:dyDescent="0.2">
      <c r="A2512" s="25"/>
      <c r="B2512" s="25"/>
      <c r="C2512" s="25"/>
      <c r="D2512" s="25"/>
      <c r="E2512" s="25"/>
      <c r="F2512" s="25"/>
      <c r="G2512" s="25"/>
      <c r="H2512" s="25"/>
      <c r="I2512" s="25"/>
    </row>
    <row r="2513" spans="1:9" ht="18" customHeight="1" x14ac:dyDescent="0.2">
      <c r="A2513" s="25"/>
      <c r="B2513" s="25"/>
      <c r="C2513" s="25"/>
      <c r="D2513" s="25"/>
      <c r="E2513" s="25"/>
      <c r="F2513" s="25"/>
      <c r="G2513" s="25"/>
      <c r="H2513" s="25"/>
      <c r="I2513" s="25"/>
    </row>
    <row r="2514" spans="1:9" ht="18" customHeight="1" x14ac:dyDescent="0.2">
      <c r="A2514" s="25"/>
      <c r="B2514" s="25"/>
      <c r="C2514" s="25"/>
      <c r="D2514" s="25"/>
      <c r="E2514" s="25"/>
      <c r="F2514" s="25"/>
      <c r="G2514" s="25"/>
      <c r="H2514" s="25"/>
      <c r="I2514" s="25"/>
    </row>
    <row r="2515" spans="1:9" ht="18" customHeight="1" x14ac:dyDescent="0.2">
      <c r="A2515" s="25"/>
      <c r="B2515" s="25"/>
      <c r="C2515" s="25"/>
      <c r="D2515" s="25"/>
      <c r="E2515" s="25"/>
      <c r="F2515" s="25"/>
      <c r="G2515" s="25"/>
      <c r="H2515" s="25"/>
      <c r="I2515" s="25"/>
    </row>
    <row r="2516" spans="1:9" ht="18" customHeight="1" x14ac:dyDescent="0.2">
      <c r="A2516" s="25"/>
      <c r="B2516" s="25"/>
      <c r="C2516" s="25"/>
      <c r="D2516" s="25"/>
      <c r="E2516" s="25"/>
      <c r="F2516" s="25"/>
      <c r="G2516" s="25"/>
      <c r="H2516" s="25"/>
      <c r="I2516" s="25"/>
    </row>
    <row r="2517" spans="1:9" ht="18" customHeight="1" x14ac:dyDescent="0.2">
      <c r="A2517" s="25"/>
      <c r="B2517" s="25"/>
      <c r="C2517" s="25"/>
      <c r="D2517" s="25"/>
      <c r="E2517" s="25"/>
      <c r="F2517" s="25"/>
      <c r="G2517" s="25"/>
      <c r="H2517" s="25"/>
      <c r="I2517" s="25"/>
    </row>
    <row r="2518" spans="1:9" ht="18" customHeight="1" x14ac:dyDescent="0.2">
      <c r="A2518" s="25"/>
      <c r="B2518" s="25"/>
      <c r="C2518" s="25"/>
      <c r="D2518" s="25"/>
      <c r="E2518" s="25"/>
      <c r="F2518" s="25"/>
      <c r="G2518" s="25"/>
      <c r="H2518" s="25"/>
      <c r="I2518" s="25"/>
    </row>
    <row r="2519" spans="1:9" ht="18" customHeight="1" x14ac:dyDescent="0.2">
      <c r="A2519" s="25"/>
      <c r="B2519" s="25"/>
      <c r="C2519" s="25"/>
      <c r="D2519" s="25"/>
      <c r="E2519" s="25"/>
      <c r="F2519" s="25"/>
      <c r="G2519" s="25"/>
      <c r="H2519" s="25"/>
      <c r="I2519" s="25"/>
    </row>
    <row r="2520" spans="1:9" ht="18" customHeight="1" x14ac:dyDescent="0.2">
      <c r="A2520" s="25"/>
      <c r="B2520" s="25"/>
      <c r="C2520" s="25"/>
      <c r="D2520" s="25"/>
      <c r="E2520" s="25"/>
      <c r="F2520" s="25"/>
      <c r="G2520" s="25"/>
      <c r="H2520" s="25"/>
      <c r="I2520" s="25"/>
    </row>
    <row r="2521" spans="1:9" ht="18" customHeight="1" x14ac:dyDescent="0.2">
      <c r="A2521" s="25"/>
      <c r="B2521" s="25"/>
      <c r="C2521" s="25"/>
      <c r="D2521" s="25"/>
      <c r="E2521" s="25"/>
      <c r="F2521" s="25"/>
      <c r="G2521" s="25"/>
      <c r="H2521" s="25"/>
      <c r="I2521" s="25"/>
    </row>
    <row r="2522" spans="1:9" ht="18" customHeight="1" x14ac:dyDescent="0.2">
      <c r="A2522" s="25"/>
      <c r="B2522" s="25"/>
      <c r="C2522" s="25"/>
      <c r="D2522" s="25"/>
      <c r="E2522" s="25"/>
      <c r="F2522" s="25"/>
      <c r="G2522" s="25"/>
      <c r="H2522" s="25"/>
      <c r="I2522" s="25"/>
    </row>
    <row r="2523" spans="1:9" ht="18" customHeight="1" x14ac:dyDescent="0.2">
      <c r="A2523" s="25"/>
      <c r="B2523" s="25"/>
      <c r="C2523" s="25"/>
      <c r="D2523" s="25"/>
      <c r="E2523" s="25"/>
      <c r="F2523" s="25"/>
      <c r="G2523" s="25"/>
      <c r="H2523" s="25"/>
      <c r="I2523" s="25"/>
    </row>
    <row r="2524" spans="1:9" ht="18" customHeight="1" x14ac:dyDescent="0.2">
      <c r="A2524" s="25"/>
      <c r="B2524" s="25"/>
      <c r="C2524" s="25"/>
      <c r="D2524" s="25"/>
      <c r="E2524" s="25"/>
      <c r="F2524" s="25"/>
      <c r="G2524" s="25"/>
      <c r="H2524" s="25"/>
      <c r="I2524" s="25"/>
    </row>
    <row r="2525" spans="1:9" ht="18" customHeight="1" x14ac:dyDescent="0.2">
      <c r="A2525" s="25"/>
      <c r="B2525" s="25"/>
      <c r="C2525" s="25"/>
      <c r="D2525" s="25"/>
      <c r="E2525" s="25"/>
      <c r="F2525" s="25"/>
      <c r="G2525" s="25"/>
      <c r="H2525" s="25"/>
      <c r="I2525" s="25"/>
    </row>
    <row r="2526" spans="1:9" ht="18" customHeight="1" x14ac:dyDescent="0.2">
      <c r="A2526" s="25"/>
      <c r="B2526" s="25"/>
      <c r="C2526" s="25"/>
      <c r="D2526" s="25"/>
      <c r="E2526" s="25"/>
      <c r="F2526" s="25"/>
      <c r="G2526" s="25"/>
      <c r="H2526" s="25"/>
      <c r="I2526" s="25"/>
    </row>
    <row r="2527" spans="1:9" ht="18" customHeight="1" x14ac:dyDescent="0.2">
      <c r="A2527" s="25"/>
      <c r="B2527" s="25"/>
      <c r="C2527" s="25"/>
      <c r="D2527" s="25"/>
      <c r="E2527" s="25"/>
      <c r="F2527" s="25"/>
      <c r="G2527" s="25"/>
      <c r="H2527" s="25"/>
      <c r="I2527" s="25"/>
    </row>
    <row r="2528" spans="1:9" ht="18" customHeight="1" x14ac:dyDescent="0.2">
      <c r="A2528" s="25"/>
      <c r="B2528" s="25"/>
      <c r="C2528" s="25"/>
      <c r="D2528" s="25"/>
      <c r="E2528" s="25"/>
      <c r="F2528" s="25"/>
      <c r="G2528" s="25"/>
      <c r="H2528" s="25"/>
      <c r="I2528" s="25"/>
    </row>
    <row r="2529" spans="1:9" ht="18" customHeight="1" x14ac:dyDescent="0.2">
      <c r="A2529" s="25"/>
      <c r="B2529" s="25"/>
      <c r="C2529" s="25"/>
      <c r="D2529" s="25"/>
      <c r="E2529" s="25"/>
      <c r="F2529" s="25"/>
      <c r="G2529" s="25"/>
      <c r="H2529" s="25"/>
      <c r="I2529" s="25"/>
    </row>
    <row r="2530" spans="1:9" ht="18" customHeight="1" x14ac:dyDescent="0.2">
      <c r="A2530" s="25"/>
      <c r="B2530" s="25"/>
      <c r="C2530" s="25"/>
      <c r="D2530" s="25"/>
      <c r="E2530" s="25"/>
      <c r="F2530" s="25"/>
      <c r="G2530" s="25"/>
      <c r="H2530" s="25"/>
      <c r="I2530" s="25"/>
    </row>
    <row r="2531" spans="1:9" ht="18" customHeight="1" x14ac:dyDescent="0.2">
      <c r="A2531" s="25"/>
      <c r="B2531" s="25"/>
      <c r="C2531" s="25"/>
      <c r="D2531" s="25"/>
      <c r="E2531" s="25"/>
      <c r="F2531" s="25"/>
      <c r="G2531" s="25"/>
      <c r="H2531" s="25"/>
      <c r="I2531" s="25"/>
    </row>
    <row r="2532" spans="1:9" ht="18" customHeight="1" x14ac:dyDescent="0.2">
      <c r="A2532" s="25"/>
      <c r="B2532" s="25"/>
      <c r="C2532" s="25"/>
      <c r="D2532" s="25"/>
      <c r="E2532" s="25"/>
      <c r="F2532" s="25"/>
      <c r="G2532" s="25"/>
      <c r="H2532" s="25"/>
      <c r="I2532" s="25"/>
    </row>
    <row r="2533" spans="1:9" ht="18" customHeight="1" x14ac:dyDescent="0.2">
      <c r="A2533" s="25"/>
      <c r="B2533" s="25"/>
      <c r="C2533" s="25"/>
      <c r="D2533" s="25"/>
      <c r="E2533" s="25"/>
      <c r="F2533" s="25"/>
      <c r="G2533" s="25"/>
      <c r="H2533" s="25"/>
      <c r="I2533" s="25"/>
    </row>
    <row r="2534" spans="1:9" ht="18" customHeight="1" x14ac:dyDescent="0.2">
      <c r="A2534" s="25"/>
      <c r="B2534" s="25"/>
      <c r="C2534" s="25"/>
      <c r="D2534" s="25"/>
      <c r="E2534" s="25"/>
      <c r="F2534" s="25"/>
      <c r="G2534" s="25"/>
      <c r="H2534" s="25"/>
      <c r="I2534" s="25"/>
    </row>
    <row r="2535" spans="1:9" ht="18" customHeight="1" x14ac:dyDescent="0.2">
      <c r="A2535" s="25"/>
      <c r="B2535" s="25"/>
      <c r="C2535" s="25"/>
      <c r="D2535" s="25"/>
      <c r="E2535" s="25"/>
      <c r="F2535" s="25"/>
      <c r="G2535" s="25"/>
      <c r="H2535" s="25"/>
      <c r="I2535" s="25"/>
    </row>
    <row r="2536" spans="1:9" ht="18" customHeight="1" x14ac:dyDescent="0.2">
      <c r="A2536" s="25"/>
      <c r="B2536" s="25"/>
      <c r="C2536" s="25"/>
      <c r="D2536" s="25"/>
      <c r="E2536" s="25"/>
      <c r="F2536" s="25"/>
      <c r="G2536" s="25"/>
      <c r="H2536" s="25"/>
      <c r="I2536" s="25"/>
    </row>
    <row r="2537" spans="1:9" ht="18" customHeight="1" x14ac:dyDescent="0.2">
      <c r="A2537" s="25"/>
      <c r="B2537" s="25"/>
      <c r="C2537" s="25"/>
      <c r="D2537" s="25"/>
      <c r="E2537" s="25"/>
      <c r="F2537" s="25"/>
      <c r="G2537" s="25"/>
      <c r="H2537" s="25"/>
      <c r="I2537" s="25"/>
    </row>
    <row r="2538" spans="1:9" ht="18" customHeight="1" x14ac:dyDescent="0.2">
      <c r="A2538" s="25"/>
      <c r="B2538" s="25"/>
      <c r="C2538" s="25"/>
      <c r="D2538" s="25"/>
      <c r="E2538" s="25"/>
      <c r="F2538" s="25"/>
      <c r="G2538" s="25"/>
      <c r="H2538" s="25"/>
      <c r="I2538" s="25"/>
    </row>
    <row r="2539" spans="1:9" ht="18" customHeight="1" x14ac:dyDescent="0.2">
      <c r="A2539" s="25"/>
      <c r="B2539" s="25"/>
      <c r="C2539" s="25"/>
      <c r="D2539" s="25"/>
      <c r="E2539" s="25"/>
      <c r="F2539" s="25"/>
      <c r="G2539" s="25"/>
      <c r="H2539" s="25"/>
      <c r="I2539" s="25"/>
    </row>
    <row r="2540" spans="1:9" ht="18" customHeight="1" x14ac:dyDescent="0.2">
      <c r="A2540" s="25"/>
      <c r="B2540" s="25"/>
      <c r="C2540" s="25"/>
      <c r="D2540" s="25"/>
      <c r="E2540" s="25"/>
      <c r="F2540" s="25"/>
      <c r="G2540" s="25"/>
      <c r="H2540" s="25"/>
      <c r="I2540" s="25"/>
    </row>
    <row r="2541" spans="1:9" ht="18" customHeight="1" x14ac:dyDescent="0.2">
      <c r="A2541" s="25"/>
      <c r="B2541" s="25"/>
      <c r="C2541" s="25"/>
      <c r="D2541" s="25"/>
      <c r="E2541" s="25"/>
      <c r="F2541" s="25"/>
      <c r="G2541" s="25"/>
      <c r="H2541" s="25"/>
      <c r="I2541" s="25"/>
    </row>
    <row r="2542" spans="1:9" ht="18" customHeight="1" x14ac:dyDescent="0.2">
      <c r="A2542" s="25"/>
      <c r="B2542" s="25"/>
      <c r="C2542" s="25"/>
      <c r="D2542" s="25"/>
      <c r="E2542" s="25"/>
      <c r="F2542" s="25"/>
      <c r="G2542" s="25"/>
      <c r="H2542" s="25"/>
      <c r="I2542" s="25"/>
    </row>
    <row r="2543" spans="1:9" ht="18" customHeight="1" x14ac:dyDescent="0.2">
      <c r="A2543" s="25"/>
      <c r="B2543" s="25"/>
      <c r="C2543" s="25"/>
      <c r="D2543" s="25"/>
      <c r="E2543" s="25"/>
      <c r="F2543" s="25"/>
      <c r="G2543" s="25"/>
      <c r="H2543" s="25"/>
      <c r="I2543" s="25"/>
    </row>
    <row r="2544" spans="1:9" ht="18" customHeight="1" x14ac:dyDescent="0.2">
      <c r="A2544" s="25"/>
      <c r="B2544" s="25"/>
      <c r="C2544" s="25"/>
      <c r="D2544" s="25"/>
      <c r="E2544" s="25"/>
      <c r="F2544" s="25"/>
      <c r="G2544" s="25"/>
      <c r="H2544" s="25"/>
      <c r="I2544" s="25"/>
    </row>
    <row r="2545" spans="1:9" ht="18" customHeight="1" x14ac:dyDescent="0.2">
      <c r="A2545" s="25"/>
      <c r="B2545" s="25"/>
      <c r="C2545" s="25"/>
      <c r="D2545" s="25"/>
      <c r="E2545" s="25"/>
      <c r="F2545" s="25"/>
      <c r="G2545" s="25"/>
      <c r="H2545" s="25"/>
      <c r="I2545" s="25"/>
    </row>
    <row r="2546" spans="1:9" ht="18" customHeight="1" x14ac:dyDescent="0.2">
      <c r="A2546" s="25"/>
      <c r="B2546" s="25"/>
      <c r="C2546" s="25"/>
      <c r="D2546" s="25"/>
      <c r="E2546" s="25"/>
      <c r="F2546" s="25"/>
      <c r="G2546" s="25"/>
      <c r="H2546" s="25"/>
      <c r="I2546" s="25"/>
    </row>
    <row r="2547" spans="1:9" ht="18" customHeight="1" x14ac:dyDescent="0.2">
      <c r="A2547" s="25"/>
      <c r="B2547" s="25"/>
      <c r="C2547" s="25"/>
      <c r="D2547" s="25"/>
      <c r="E2547" s="25"/>
      <c r="F2547" s="25"/>
      <c r="G2547" s="25"/>
      <c r="H2547" s="25"/>
      <c r="I2547" s="25"/>
    </row>
    <row r="2548" spans="1:9" ht="18" customHeight="1" x14ac:dyDescent="0.2">
      <c r="A2548" s="25"/>
      <c r="B2548" s="25"/>
      <c r="C2548" s="25"/>
      <c r="D2548" s="25"/>
      <c r="E2548" s="25"/>
      <c r="F2548" s="25"/>
      <c r="G2548" s="25"/>
      <c r="H2548" s="25"/>
      <c r="I2548" s="25"/>
    </row>
    <row r="2549" spans="1:9" ht="18" customHeight="1" x14ac:dyDescent="0.2">
      <c r="A2549" s="25"/>
      <c r="B2549" s="25"/>
      <c r="C2549" s="25"/>
      <c r="D2549" s="25"/>
      <c r="E2549" s="25"/>
      <c r="F2549" s="25"/>
      <c r="G2549" s="25"/>
      <c r="H2549" s="25"/>
      <c r="I2549" s="25"/>
    </row>
    <row r="2550" spans="1:9" ht="18" customHeight="1" x14ac:dyDescent="0.2">
      <c r="A2550" s="25"/>
      <c r="B2550" s="25"/>
      <c r="C2550" s="25"/>
      <c r="D2550" s="25"/>
      <c r="E2550" s="25"/>
      <c r="F2550" s="25"/>
      <c r="G2550" s="25"/>
      <c r="H2550" s="25"/>
      <c r="I2550" s="25"/>
    </row>
    <row r="2551" spans="1:9" ht="18" customHeight="1" x14ac:dyDescent="0.2">
      <c r="A2551" s="25"/>
      <c r="B2551" s="25"/>
      <c r="C2551" s="25"/>
      <c r="D2551" s="25"/>
      <c r="E2551" s="25"/>
      <c r="F2551" s="25"/>
      <c r="G2551" s="25"/>
      <c r="H2551" s="25"/>
      <c r="I2551" s="25"/>
    </row>
    <row r="2552" spans="1:9" ht="18" customHeight="1" x14ac:dyDescent="0.2">
      <c r="A2552" s="25"/>
      <c r="B2552" s="25"/>
      <c r="C2552" s="25"/>
      <c r="D2552" s="25"/>
      <c r="E2552" s="25"/>
      <c r="F2552" s="25"/>
      <c r="G2552" s="25"/>
      <c r="H2552" s="25"/>
      <c r="I2552" s="25"/>
    </row>
    <row r="2553" spans="1:9" ht="18" customHeight="1" x14ac:dyDescent="0.2">
      <c r="A2553" s="25"/>
      <c r="B2553" s="25"/>
      <c r="C2553" s="25"/>
      <c r="D2553" s="25"/>
      <c r="E2553" s="25"/>
      <c r="F2553" s="25"/>
      <c r="G2553" s="25"/>
      <c r="H2553" s="25"/>
      <c r="I2553" s="25"/>
    </row>
    <row r="2554" spans="1:9" ht="18" customHeight="1" x14ac:dyDescent="0.2">
      <c r="A2554" s="25"/>
      <c r="B2554" s="25"/>
      <c r="C2554" s="25"/>
      <c r="D2554" s="25"/>
      <c r="E2554" s="25"/>
      <c r="F2554" s="25"/>
      <c r="G2554" s="25"/>
      <c r="H2554" s="25"/>
      <c r="I2554" s="25"/>
    </row>
    <row r="2555" spans="1:9" ht="18" customHeight="1" x14ac:dyDescent="0.2">
      <c r="A2555" s="25"/>
      <c r="B2555" s="25"/>
      <c r="C2555" s="25"/>
      <c r="D2555" s="25"/>
      <c r="E2555" s="25"/>
      <c r="F2555" s="25"/>
      <c r="G2555" s="25"/>
      <c r="H2555" s="25"/>
      <c r="I2555" s="25"/>
    </row>
    <row r="2556" spans="1:9" ht="18" customHeight="1" x14ac:dyDescent="0.2">
      <c r="A2556" s="25"/>
      <c r="B2556" s="25"/>
      <c r="C2556" s="25"/>
      <c r="D2556" s="25"/>
      <c r="E2556" s="25"/>
      <c r="F2556" s="25"/>
      <c r="G2556" s="25"/>
      <c r="H2556" s="25"/>
      <c r="I2556" s="25"/>
    </row>
    <row r="2557" spans="1:9" ht="18" customHeight="1" x14ac:dyDescent="0.2">
      <c r="A2557" s="25"/>
      <c r="B2557" s="25"/>
      <c r="C2557" s="25"/>
      <c r="D2557" s="25"/>
      <c r="E2557" s="25"/>
      <c r="F2557" s="25"/>
      <c r="G2557" s="25"/>
      <c r="H2557" s="25"/>
      <c r="I2557" s="25"/>
    </row>
    <row r="2558" spans="1:9" ht="18" customHeight="1" x14ac:dyDescent="0.2">
      <c r="A2558" s="25"/>
      <c r="B2558" s="25"/>
      <c r="C2558" s="25"/>
      <c r="D2558" s="25"/>
      <c r="E2558" s="25"/>
      <c r="F2558" s="25"/>
      <c r="G2558" s="25"/>
      <c r="H2558" s="25"/>
      <c r="I2558" s="25"/>
    </row>
    <row r="2559" spans="1:9" ht="18" customHeight="1" x14ac:dyDescent="0.2">
      <c r="A2559" s="25"/>
      <c r="B2559" s="25"/>
      <c r="C2559" s="25"/>
      <c r="D2559" s="25"/>
      <c r="E2559" s="25"/>
      <c r="F2559" s="25"/>
      <c r="G2559" s="25"/>
      <c r="H2559" s="25"/>
      <c r="I2559" s="25"/>
    </row>
    <row r="2560" spans="1:9" ht="18" customHeight="1" x14ac:dyDescent="0.2">
      <c r="A2560" s="25"/>
      <c r="B2560" s="25"/>
      <c r="C2560" s="25"/>
      <c r="D2560" s="25"/>
      <c r="E2560" s="25"/>
      <c r="F2560" s="25"/>
      <c r="G2560" s="25"/>
      <c r="H2560" s="25"/>
      <c r="I2560" s="25"/>
    </row>
    <row r="2561" spans="1:9" ht="18" customHeight="1" x14ac:dyDescent="0.2">
      <c r="A2561" s="25"/>
      <c r="B2561" s="25"/>
      <c r="C2561" s="25"/>
      <c r="D2561" s="25"/>
      <c r="E2561" s="25"/>
      <c r="F2561" s="25"/>
      <c r="G2561" s="25"/>
      <c r="H2561" s="25"/>
      <c r="I2561" s="25"/>
    </row>
    <row r="2562" spans="1:9" ht="18" customHeight="1" x14ac:dyDescent="0.2">
      <c r="A2562" s="25"/>
      <c r="B2562" s="25"/>
      <c r="C2562" s="25"/>
      <c r="D2562" s="25"/>
      <c r="E2562" s="25"/>
      <c r="F2562" s="25"/>
      <c r="G2562" s="25"/>
      <c r="H2562" s="25"/>
      <c r="I2562" s="25"/>
    </row>
    <row r="2563" spans="1:9" ht="18" customHeight="1" x14ac:dyDescent="0.2">
      <c r="A2563" s="25"/>
      <c r="B2563" s="25"/>
      <c r="C2563" s="25"/>
      <c r="D2563" s="25"/>
      <c r="E2563" s="25"/>
      <c r="F2563" s="25"/>
      <c r="G2563" s="25"/>
      <c r="H2563" s="25"/>
      <c r="I2563" s="25"/>
    </row>
    <row r="2564" spans="1:9" ht="18" customHeight="1" x14ac:dyDescent="0.2">
      <c r="A2564" s="25"/>
      <c r="B2564" s="25"/>
      <c r="C2564" s="25"/>
      <c r="D2564" s="25"/>
      <c r="E2564" s="25"/>
      <c r="F2564" s="25"/>
      <c r="G2564" s="25"/>
      <c r="H2564" s="25"/>
      <c r="I2564" s="25"/>
    </row>
    <row r="2565" spans="1:9" ht="18" customHeight="1" x14ac:dyDescent="0.2">
      <c r="A2565" s="25"/>
      <c r="B2565" s="25"/>
      <c r="C2565" s="25"/>
      <c r="D2565" s="25"/>
      <c r="E2565" s="25"/>
      <c r="F2565" s="25"/>
      <c r="G2565" s="25"/>
      <c r="H2565" s="25"/>
      <c r="I2565" s="25"/>
    </row>
    <row r="2566" spans="1:9" ht="18" customHeight="1" x14ac:dyDescent="0.2">
      <c r="A2566" s="25"/>
      <c r="B2566" s="25"/>
      <c r="C2566" s="25"/>
      <c r="D2566" s="25"/>
      <c r="E2566" s="25"/>
      <c r="F2566" s="25"/>
      <c r="G2566" s="25"/>
      <c r="H2566" s="25"/>
      <c r="I2566" s="25"/>
    </row>
    <row r="2567" spans="1:9" ht="18" customHeight="1" x14ac:dyDescent="0.2">
      <c r="A2567" s="25"/>
      <c r="B2567" s="25"/>
      <c r="C2567" s="25"/>
      <c r="D2567" s="25"/>
      <c r="E2567" s="25"/>
      <c r="F2567" s="25"/>
      <c r="G2567" s="25"/>
      <c r="H2567" s="25"/>
      <c r="I2567" s="25"/>
    </row>
    <row r="2568" spans="1:9" ht="18" customHeight="1" x14ac:dyDescent="0.2">
      <c r="A2568" s="25"/>
      <c r="B2568" s="25"/>
      <c r="C2568" s="25"/>
      <c r="D2568" s="25"/>
      <c r="E2568" s="25"/>
      <c r="F2568" s="25"/>
      <c r="G2568" s="25"/>
      <c r="H2568" s="25"/>
      <c r="I2568" s="25"/>
    </row>
    <row r="2569" spans="1:9" ht="18" customHeight="1" x14ac:dyDescent="0.2">
      <c r="A2569" s="25"/>
      <c r="B2569" s="25"/>
      <c r="C2569" s="25"/>
      <c r="D2569" s="25"/>
      <c r="E2569" s="25"/>
      <c r="F2569" s="25"/>
      <c r="G2569" s="25"/>
      <c r="H2569" s="25"/>
      <c r="I2569" s="25"/>
    </row>
    <row r="2570" spans="1:9" ht="18" customHeight="1" x14ac:dyDescent="0.2">
      <c r="A2570" s="25"/>
      <c r="B2570" s="25"/>
      <c r="C2570" s="25"/>
      <c r="D2570" s="25"/>
      <c r="E2570" s="25"/>
      <c r="F2570" s="25"/>
      <c r="G2570" s="25"/>
      <c r="H2570" s="25"/>
      <c r="I2570" s="25"/>
    </row>
    <row r="2571" spans="1:9" ht="18" customHeight="1" x14ac:dyDescent="0.2">
      <c r="A2571" s="25"/>
      <c r="B2571" s="25"/>
      <c r="C2571" s="25"/>
      <c r="D2571" s="25"/>
      <c r="E2571" s="25"/>
      <c r="F2571" s="25"/>
      <c r="G2571" s="25"/>
      <c r="H2571" s="25"/>
      <c r="I2571" s="25"/>
    </row>
    <row r="2572" spans="1:9" ht="18" customHeight="1" x14ac:dyDescent="0.2">
      <c r="A2572" s="25"/>
      <c r="B2572" s="25"/>
      <c r="C2572" s="25"/>
      <c r="D2572" s="25"/>
      <c r="E2572" s="25"/>
      <c r="F2572" s="25"/>
      <c r="G2572" s="25"/>
      <c r="H2572" s="25"/>
      <c r="I2572" s="25"/>
    </row>
    <row r="2573" spans="1:9" ht="18" customHeight="1" x14ac:dyDescent="0.2">
      <c r="A2573" s="25"/>
      <c r="B2573" s="25"/>
      <c r="C2573" s="25"/>
      <c r="D2573" s="25"/>
      <c r="E2573" s="25"/>
      <c r="F2573" s="25"/>
      <c r="G2573" s="25"/>
      <c r="H2573" s="25"/>
      <c r="I2573" s="25"/>
    </row>
    <row r="2574" spans="1:9" ht="18" customHeight="1" x14ac:dyDescent="0.2">
      <c r="A2574" s="25"/>
      <c r="B2574" s="25"/>
      <c r="C2574" s="25"/>
      <c r="D2574" s="25"/>
      <c r="E2574" s="25"/>
      <c r="F2574" s="25"/>
      <c r="G2574" s="25"/>
      <c r="H2574" s="25"/>
      <c r="I2574" s="25"/>
    </row>
    <row r="2575" spans="1:9" ht="18" customHeight="1" x14ac:dyDescent="0.2">
      <c r="A2575" s="25"/>
      <c r="B2575" s="25"/>
      <c r="C2575" s="25"/>
      <c r="D2575" s="25"/>
      <c r="E2575" s="25"/>
      <c r="F2575" s="25"/>
      <c r="G2575" s="25"/>
      <c r="H2575" s="25"/>
      <c r="I2575" s="25"/>
    </row>
    <row r="2576" spans="1:9" ht="18" customHeight="1" x14ac:dyDescent="0.2">
      <c r="A2576" s="25"/>
      <c r="B2576" s="25"/>
      <c r="C2576" s="25"/>
      <c r="D2576" s="25"/>
      <c r="E2576" s="25"/>
      <c r="F2576" s="25"/>
      <c r="G2576" s="25"/>
      <c r="H2576" s="25"/>
      <c r="I2576" s="25"/>
    </row>
    <row r="2577" spans="1:9" ht="18" customHeight="1" x14ac:dyDescent="0.2">
      <c r="A2577" s="25"/>
      <c r="B2577" s="25"/>
      <c r="C2577" s="25"/>
      <c r="D2577" s="25"/>
      <c r="E2577" s="25"/>
      <c r="F2577" s="25"/>
      <c r="G2577" s="25"/>
      <c r="H2577" s="25"/>
      <c r="I2577" s="25"/>
    </row>
    <row r="2578" spans="1:9" ht="18" customHeight="1" x14ac:dyDescent="0.2">
      <c r="A2578" s="25"/>
      <c r="B2578" s="25"/>
      <c r="C2578" s="25"/>
      <c r="D2578" s="25"/>
      <c r="E2578" s="25"/>
      <c r="F2578" s="25"/>
      <c r="G2578" s="25"/>
      <c r="H2578" s="25"/>
      <c r="I2578" s="25"/>
    </row>
    <row r="2579" spans="1:9" ht="18" customHeight="1" x14ac:dyDescent="0.2">
      <c r="A2579" s="25"/>
      <c r="B2579" s="25"/>
      <c r="C2579" s="25"/>
      <c r="D2579" s="25"/>
      <c r="E2579" s="25"/>
      <c r="F2579" s="25"/>
      <c r="G2579" s="25"/>
      <c r="H2579" s="25"/>
      <c r="I2579" s="25"/>
    </row>
    <row r="2580" spans="1:9" ht="18" customHeight="1" x14ac:dyDescent="0.2">
      <c r="A2580" s="25"/>
      <c r="B2580" s="25"/>
      <c r="C2580" s="25"/>
      <c r="D2580" s="25"/>
      <c r="E2580" s="25"/>
      <c r="F2580" s="25"/>
      <c r="G2580" s="25"/>
      <c r="H2580" s="25"/>
      <c r="I2580" s="25"/>
    </row>
    <row r="2581" spans="1:9" ht="18" customHeight="1" x14ac:dyDescent="0.2">
      <c r="A2581" s="25"/>
      <c r="B2581" s="25"/>
      <c r="C2581" s="25"/>
      <c r="D2581" s="25"/>
      <c r="E2581" s="25"/>
      <c r="F2581" s="25"/>
      <c r="G2581" s="25"/>
      <c r="H2581" s="25"/>
      <c r="I2581" s="25"/>
    </row>
    <row r="2582" spans="1:9" ht="18" customHeight="1" x14ac:dyDescent="0.2">
      <c r="A2582" s="25"/>
      <c r="B2582" s="25"/>
      <c r="C2582" s="25"/>
      <c r="D2582" s="25"/>
      <c r="E2582" s="25"/>
      <c r="F2582" s="25"/>
      <c r="G2582" s="25"/>
      <c r="H2582" s="25"/>
      <c r="I2582" s="25"/>
    </row>
    <row r="2583" spans="1:9" ht="18" customHeight="1" x14ac:dyDescent="0.2">
      <c r="A2583" s="25"/>
      <c r="B2583" s="25"/>
      <c r="C2583" s="25"/>
      <c r="D2583" s="25"/>
      <c r="E2583" s="25"/>
      <c r="F2583" s="25"/>
      <c r="G2583" s="25"/>
      <c r="H2583" s="25"/>
      <c r="I2583" s="25"/>
    </row>
    <row r="2584" spans="1:9" ht="18" customHeight="1" x14ac:dyDescent="0.2">
      <c r="A2584" s="25"/>
      <c r="B2584" s="25"/>
      <c r="C2584" s="25"/>
      <c r="D2584" s="25"/>
      <c r="E2584" s="25"/>
      <c r="F2584" s="25"/>
      <c r="G2584" s="25"/>
      <c r="H2584" s="25"/>
      <c r="I2584" s="25"/>
    </row>
    <row r="2585" spans="1:9" ht="18" customHeight="1" x14ac:dyDescent="0.2">
      <c r="A2585" s="25"/>
      <c r="B2585" s="25"/>
      <c r="C2585" s="25"/>
      <c r="D2585" s="25"/>
      <c r="E2585" s="25"/>
      <c r="F2585" s="25"/>
      <c r="G2585" s="25"/>
      <c r="H2585" s="25"/>
      <c r="I2585" s="25"/>
    </row>
    <row r="2586" spans="1:9" ht="18" customHeight="1" x14ac:dyDescent="0.2">
      <c r="A2586" s="25"/>
      <c r="B2586" s="25"/>
      <c r="C2586" s="25"/>
      <c r="D2586" s="25"/>
      <c r="E2586" s="25"/>
      <c r="F2586" s="25"/>
      <c r="G2586" s="25"/>
      <c r="H2586" s="25"/>
      <c r="I2586" s="25"/>
    </row>
    <row r="2587" spans="1:9" ht="18" customHeight="1" x14ac:dyDescent="0.2">
      <c r="A2587" s="25"/>
      <c r="B2587" s="25"/>
      <c r="C2587" s="25"/>
      <c r="D2587" s="25"/>
      <c r="E2587" s="25"/>
      <c r="F2587" s="25"/>
      <c r="G2587" s="25"/>
      <c r="H2587" s="25"/>
      <c r="I2587" s="25"/>
    </row>
    <row r="2588" spans="1:9" ht="18" customHeight="1" x14ac:dyDescent="0.2">
      <c r="A2588" s="25"/>
      <c r="B2588" s="25"/>
      <c r="C2588" s="25"/>
      <c r="D2588" s="25"/>
      <c r="E2588" s="25"/>
      <c r="F2588" s="25"/>
      <c r="G2588" s="25"/>
      <c r="H2588" s="25"/>
      <c r="I2588" s="25"/>
    </row>
    <row r="2589" spans="1:9" ht="18" customHeight="1" x14ac:dyDescent="0.2">
      <c r="A2589" s="25"/>
      <c r="B2589" s="25"/>
      <c r="C2589" s="25"/>
      <c r="D2589" s="25"/>
      <c r="E2589" s="25"/>
      <c r="F2589" s="25"/>
      <c r="G2589" s="25"/>
      <c r="H2589" s="25"/>
      <c r="I2589" s="25"/>
    </row>
    <row r="2590" spans="1:9" ht="18" customHeight="1" x14ac:dyDescent="0.2">
      <c r="A2590" s="25"/>
      <c r="B2590" s="25"/>
      <c r="C2590" s="25"/>
      <c r="D2590" s="25"/>
      <c r="E2590" s="25"/>
      <c r="F2590" s="25"/>
      <c r="G2590" s="25"/>
      <c r="H2590" s="25"/>
      <c r="I2590" s="25"/>
    </row>
    <row r="2591" spans="1:9" ht="18" customHeight="1" x14ac:dyDescent="0.2">
      <c r="A2591" s="25"/>
      <c r="B2591" s="25"/>
      <c r="C2591" s="25"/>
      <c r="D2591" s="25"/>
      <c r="E2591" s="25"/>
      <c r="F2591" s="25"/>
      <c r="G2591" s="25"/>
      <c r="H2591" s="25"/>
      <c r="I2591" s="25"/>
    </row>
    <row r="2592" spans="1:9" ht="18" customHeight="1" x14ac:dyDescent="0.2">
      <c r="A2592" s="25"/>
      <c r="B2592" s="25"/>
      <c r="C2592" s="25"/>
      <c r="D2592" s="25"/>
      <c r="E2592" s="25"/>
      <c r="F2592" s="25"/>
      <c r="G2592" s="25"/>
      <c r="H2592" s="25"/>
      <c r="I2592" s="25"/>
    </row>
    <row r="2593" spans="1:9" ht="18" customHeight="1" x14ac:dyDescent="0.2">
      <c r="A2593" s="25"/>
      <c r="B2593" s="25"/>
      <c r="C2593" s="25"/>
      <c r="D2593" s="25"/>
      <c r="E2593" s="25"/>
      <c r="F2593" s="25"/>
      <c r="G2593" s="25"/>
      <c r="H2593" s="25"/>
      <c r="I2593" s="25"/>
    </row>
    <row r="2594" spans="1:9" ht="18" customHeight="1" x14ac:dyDescent="0.2">
      <c r="A2594" s="25"/>
      <c r="B2594" s="25"/>
      <c r="C2594" s="25"/>
      <c r="D2594" s="25"/>
      <c r="E2594" s="25"/>
      <c r="F2594" s="25"/>
      <c r="G2594" s="25"/>
      <c r="H2594" s="25"/>
      <c r="I2594" s="25"/>
    </row>
    <row r="2595" spans="1:9" ht="18" customHeight="1" x14ac:dyDescent="0.2">
      <c r="A2595" s="25"/>
      <c r="B2595" s="25"/>
      <c r="C2595" s="25"/>
      <c r="D2595" s="25"/>
      <c r="E2595" s="25"/>
      <c r="F2595" s="25"/>
      <c r="G2595" s="25"/>
      <c r="H2595" s="25"/>
      <c r="I2595" s="25"/>
    </row>
    <row r="2596" spans="1:9" ht="18" customHeight="1" x14ac:dyDescent="0.2">
      <c r="A2596" s="25"/>
      <c r="B2596" s="25"/>
      <c r="C2596" s="25"/>
      <c r="D2596" s="25"/>
      <c r="E2596" s="25"/>
      <c r="F2596" s="25"/>
      <c r="G2596" s="25"/>
      <c r="H2596" s="25"/>
      <c r="I2596" s="25"/>
    </row>
    <row r="2597" spans="1:9" ht="18" customHeight="1" x14ac:dyDescent="0.2">
      <c r="A2597" s="25"/>
      <c r="B2597" s="25"/>
      <c r="C2597" s="25"/>
      <c r="D2597" s="25"/>
      <c r="E2597" s="25"/>
      <c r="F2597" s="25"/>
      <c r="G2597" s="25"/>
      <c r="H2597" s="25"/>
      <c r="I2597" s="25"/>
    </row>
    <row r="2598" spans="1:9" ht="18" customHeight="1" x14ac:dyDescent="0.2">
      <c r="A2598" s="25"/>
      <c r="B2598" s="25"/>
      <c r="C2598" s="25"/>
      <c r="D2598" s="25"/>
      <c r="E2598" s="25"/>
      <c r="F2598" s="25"/>
      <c r="G2598" s="25"/>
      <c r="H2598" s="25"/>
      <c r="I2598" s="25"/>
    </row>
    <row r="2599" spans="1:9" ht="18" customHeight="1" x14ac:dyDescent="0.2">
      <c r="A2599" s="25"/>
      <c r="B2599" s="25"/>
      <c r="C2599" s="25"/>
      <c r="D2599" s="25"/>
      <c r="E2599" s="25"/>
      <c r="F2599" s="25"/>
      <c r="G2599" s="25"/>
      <c r="H2599" s="25"/>
      <c r="I2599" s="25"/>
    </row>
    <row r="2600" spans="1:9" ht="18" customHeight="1" x14ac:dyDescent="0.2">
      <c r="A2600" s="25"/>
      <c r="B2600" s="25"/>
      <c r="C2600" s="25"/>
      <c r="D2600" s="25"/>
      <c r="E2600" s="25"/>
      <c r="F2600" s="25"/>
      <c r="G2600" s="25"/>
      <c r="H2600" s="25"/>
      <c r="I2600" s="25"/>
    </row>
    <row r="2601" spans="1:9" ht="18" customHeight="1" x14ac:dyDescent="0.2">
      <c r="A2601" s="25"/>
      <c r="B2601" s="25"/>
      <c r="C2601" s="25"/>
      <c r="D2601" s="25"/>
      <c r="E2601" s="25"/>
      <c r="F2601" s="25"/>
      <c r="G2601" s="25"/>
      <c r="H2601" s="25"/>
      <c r="I2601" s="25"/>
    </row>
    <row r="2602" spans="1:9" ht="18" customHeight="1" x14ac:dyDescent="0.2">
      <c r="A2602" s="25"/>
      <c r="B2602" s="25"/>
      <c r="C2602" s="25"/>
      <c r="D2602" s="25"/>
      <c r="E2602" s="25"/>
      <c r="F2602" s="25"/>
      <c r="G2602" s="25"/>
      <c r="H2602" s="25"/>
      <c r="I2602" s="25"/>
    </row>
    <row r="2603" spans="1:9" ht="18" customHeight="1" x14ac:dyDescent="0.2">
      <c r="A2603" s="25"/>
      <c r="B2603" s="25"/>
      <c r="C2603" s="25"/>
      <c r="D2603" s="25"/>
      <c r="E2603" s="25"/>
      <c r="F2603" s="25"/>
      <c r="G2603" s="25"/>
      <c r="H2603" s="25"/>
      <c r="I2603" s="25"/>
    </row>
    <row r="2604" spans="1:9" ht="18" customHeight="1" x14ac:dyDescent="0.2">
      <c r="A2604" s="25"/>
      <c r="B2604" s="25"/>
      <c r="C2604" s="25"/>
      <c r="D2604" s="25"/>
      <c r="E2604" s="25"/>
      <c r="F2604" s="25"/>
      <c r="G2604" s="25"/>
      <c r="H2604" s="25"/>
      <c r="I2604" s="25"/>
    </row>
    <row r="2605" spans="1:9" ht="18" customHeight="1" x14ac:dyDescent="0.2">
      <c r="A2605" s="25"/>
      <c r="B2605" s="25"/>
      <c r="C2605" s="25"/>
      <c r="D2605" s="25"/>
      <c r="E2605" s="25"/>
      <c r="F2605" s="25"/>
      <c r="G2605" s="25"/>
      <c r="H2605" s="25"/>
      <c r="I2605" s="25"/>
    </row>
    <row r="2606" spans="1:9" ht="18" customHeight="1" x14ac:dyDescent="0.2">
      <c r="A2606" s="25"/>
      <c r="B2606" s="25"/>
      <c r="C2606" s="25"/>
      <c r="D2606" s="25"/>
      <c r="E2606" s="25"/>
      <c r="F2606" s="25"/>
      <c r="G2606" s="25"/>
      <c r="H2606" s="25"/>
      <c r="I2606" s="25"/>
    </row>
    <row r="2607" spans="1:9" ht="18" customHeight="1" x14ac:dyDescent="0.2">
      <c r="A2607" s="25"/>
      <c r="B2607" s="25"/>
      <c r="C2607" s="25"/>
      <c r="D2607" s="25"/>
      <c r="E2607" s="25"/>
      <c r="F2607" s="25"/>
      <c r="G2607" s="25"/>
      <c r="H2607" s="25"/>
      <c r="I2607" s="25"/>
    </row>
    <row r="2608" spans="1:9" ht="18" customHeight="1" x14ac:dyDescent="0.2">
      <c r="A2608" s="25"/>
      <c r="B2608" s="25"/>
      <c r="C2608" s="25"/>
      <c r="D2608" s="25"/>
      <c r="E2608" s="25"/>
      <c r="F2608" s="25"/>
      <c r="G2608" s="25"/>
      <c r="H2608" s="25"/>
      <c r="I2608" s="25"/>
    </row>
    <row r="2609" spans="1:9" ht="18" customHeight="1" x14ac:dyDescent="0.2">
      <c r="A2609" s="25"/>
      <c r="B2609" s="25"/>
      <c r="C2609" s="25"/>
      <c r="D2609" s="25"/>
      <c r="E2609" s="25"/>
      <c r="F2609" s="25"/>
      <c r="G2609" s="25"/>
      <c r="H2609" s="25"/>
      <c r="I2609" s="25"/>
    </row>
    <row r="2610" spans="1:9" ht="18" customHeight="1" x14ac:dyDescent="0.2">
      <c r="A2610" s="25"/>
      <c r="B2610" s="25"/>
      <c r="C2610" s="25"/>
      <c r="D2610" s="25"/>
      <c r="E2610" s="25"/>
      <c r="F2610" s="25"/>
      <c r="G2610" s="25"/>
      <c r="H2610" s="25"/>
      <c r="I2610" s="25"/>
    </row>
    <row r="2611" spans="1:9" ht="18" customHeight="1" x14ac:dyDescent="0.2">
      <c r="A2611" s="25"/>
      <c r="B2611" s="25"/>
      <c r="C2611" s="25"/>
      <c r="D2611" s="25"/>
      <c r="E2611" s="25"/>
      <c r="F2611" s="25"/>
      <c r="G2611" s="25"/>
      <c r="H2611" s="25"/>
      <c r="I2611" s="25"/>
    </row>
    <row r="2612" spans="1:9" ht="18" customHeight="1" x14ac:dyDescent="0.2">
      <c r="A2612" s="25"/>
      <c r="B2612" s="25"/>
      <c r="C2612" s="25"/>
      <c r="D2612" s="25"/>
      <c r="E2612" s="25"/>
      <c r="F2612" s="25"/>
      <c r="G2612" s="25"/>
      <c r="H2612" s="25"/>
      <c r="I2612" s="25"/>
    </row>
    <row r="2613" spans="1:9" ht="18" customHeight="1" x14ac:dyDescent="0.2">
      <c r="A2613" s="25"/>
      <c r="B2613" s="25"/>
      <c r="C2613" s="25"/>
      <c r="D2613" s="25"/>
      <c r="E2613" s="25"/>
      <c r="F2613" s="25"/>
      <c r="G2613" s="25"/>
      <c r="H2613" s="25"/>
      <c r="I2613" s="25"/>
    </row>
    <row r="2614" spans="1:9" ht="18" customHeight="1" x14ac:dyDescent="0.2">
      <c r="A2614" s="25"/>
      <c r="B2614" s="25"/>
      <c r="C2614" s="25"/>
      <c r="D2614" s="25"/>
      <c r="E2614" s="25"/>
      <c r="F2614" s="25"/>
      <c r="G2614" s="25"/>
      <c r="H2614" s="25"/>
      <c r="I2614" s="25"/>
    </row>
    <row r="2615" spans="1:9" ht="18" customHeight="1" x14ac:dyDescent="0.2">
      <c r="A2615" s="25"/>
      <c r="B2615" s="25"/>
      <c r="C2615" s="25"/>
      <c r="D2615" s="25"/>
      <c r="E2615" s="25"/>
      <c r="F2615" s="25"/>
      <c r="G2615" s="25"/>
      <c r="H2615" s="25"/>
      <c r="I2615" s="25"/>
    </row>
    <row r="2616" spans="1:9" ht="18" customHeight="1" x14ac:dyDescent="0.2">
      <c r="A2616" s="25"/>
      <c r="B2616" s="25"/>
      <c r="C2616" s="25"/>
      <c r="D2616" s="25"/>
      <c r="E2616" s="25"/>
      <c r="F2616" s="25"/>
      <c r="G2616" s="25"/>
      <c r="H2616" s="25"/>
      <c r="I2616" s="25"/>
    </row>
    <row r="2617" spans="1:9" ht="18" customHeight="1" x14ac:dyDescent="0.2">
      <c r="A2617" s="25"/>
      <c r="B2617" s="25"/>
      <c r="C2617" s="25"/>
      <c r="D2617" s="25"/>
      <c r="E2617" s="25"/>
      <c r="F2617" s="25"/>
      <c r="G2617" s="25"/>
      <c r="H2617" s="25"/>
      <c r="I2617" s="25"/>
    </row>
    <row r="2618" spans="1:9" ht="18" customHeight="1" x14ac:dyDescent="0.2">
      <c r="A2618" s="25"/>
      <c r="B2618" s="25"/>
      <c r="C2618" s="25"/>
      <c r="D2618" s="25"/>
      <c r="E2618" s="25"/>
      <c r="F2618" s="25"/>
      <c r="G2618" s="25"/>
      <c r="H2618" s="25"/>
      <c r="I2618" s="25"/>
    </row>
    <row r="2619" spans="1:9" ht="18" customHeight="1" x14ac:dyDescent="0.2">
      <c r="A2619" s="25"/>
      <c r="B2619" s="25"/>
      <c r="C2619" s="25"/>
      <c r="D2619" s="25"/>
      <c r="E2619" s="25"/>
      <c r="F2619" s="25"/>
      <c r="G2619" s="25"/>
      <c r="H2619" s="25"/>
      <c r="I2619" s="25"/>
    </row>
    <row r="2620" spans="1:9" ht="18" customHeight="1" x14ac:dyDescent="0.2">
      <c r="A2620" s="25"/>
      <c r="B2620" s="25"/>
      <c r="C2620" s="25"/>
      <c r="D2620" s="25"/>
      <c r="E2620" s="25"/>
      <c r="F2620" s="25"/>
      <c r="G2620" s="25"/>
      <c r="H2620" s="25"/>
      <c r="I2620" s="25"/>
    </row>
    <row r="2621" spans="1:9" ht="18" customHeight="1" x14ac:dyDescent="0.2">
      <c r="A2621" s="25"/>
      <c r="B2621" s="25"/>
      <c r="C2621" s="25"/>
      <c r="D2621" s="25"/>
      <c r="E2621" s="25"/>
      <c r="F2621" s="25"/>
      <c r="G2621" s="25"/>
      <c r="H2621" s="25"/>
      <c r="I2621" s="25"/>
    </row>
    <row r="2622" spans="1:9" ht="18" customHeight="1" x14ac:dyDescent="0.2">
      <c r="A2622" s="25"/>
      <c r="B2622" s="25"/>
      <c r="C2622" s="25"/>
      <c r="D2622" s="25"/>
      <c r="E2622" s="25"/>
      <c r="F2622" s="25"/>
      <c r="G2622" s="25"/>
      <c r="H2622" s="25"/>
      <c r="I2622" s="25"/>
    </row>
    <row r="2623" spans="1:9" ht="18" customHeight="1" x14ac:dyDescent="0.2">
      <c r="A2623" s="25"/>
      <c r="B2623" s="25"/>
      <c r="C2623" s="25"/>
      <c r="D2623" s="25"/>
      <c r="E2623" s="25"/>
      <c r="F2623" s="25"/>
      <c r="G2623" s="25"/>
      <c r="H2623" s="25"/>
      <c r="I2623" s="25"/>
    </row>
    <row r="2624" spans="1:9" ht="18" customHeight="1" x14ac:dyDescent="0.2">
      <c r="A2624" s="25"/>
      <c r="B2624" s="25"/>
      <c r="C2624" s="25"/>
      <c r="D2624" s="25"/>
      <c r="E2624" s="25"/>
      <c r="F2624" s="25"/>
      <c r="G2624" s="25"/>
      <c r="H2624" s="25"/>
      <c r="I2624" s="25"/>
    </row>
    <row r="2625" spans="1:9" ht="18" customHeight="1" x14ac:dyDescent="0.2">
      <c r="A2625" s="25"/>
      <c r="B2625" s="25"/>
      <c r="C2625" s="25"/>
      <c r="D2625" s="25"/>
      <c r="E2625" s="25"/>
      <c r="F2625" s="25"/>
      <c r="G2625" s="25"/>
      <c r="H2625" s="25"/>
      <c r="I2625" s="25"/>
    </row>
    <row r="2626" spans="1:9" ht="18" customHeight="1" x14ac:dyDescent="0.2">
      <c r="A2626" s="25"/>
      <c r="B2626" s="25"/>
      <c r="C2626" s="25"/>
      <c r="D2626" s="25"/>
      <c r="E2626" s="25"/>
      <c r="F2626" s="25"/>
      <c r="G2626" s="25"/>
      <c r="H2626" s="25"/>
      <c r="I2626" s="25"/>
    </row>
    <row r="2627" spans="1:9" ht="18" customHeight="1" x14ac:dyDescent="0.2">
      <c r="A2627" s="25"/>
      <c r="B2627" s="25"/>
      <c r="C2627" s="25"/>
      <c r="D2627" s="25"/>
      <c r="E2627" s="25"/>
      <c r="F2627" s="25"/>
      <c r="G2627" s="25"/>
      <c r="H2627" s="25"/>
      <c r="I2627" s="25"/>
    </row>
    <row r="2628" spans="1:9" ht="18" customHeight="1" x14ac:dyDescent="0.2">
      <c r="A2628" s="25"/>
      <c r="B2628" s="25"/>
      <c r="C2628" s="25"/>
      <c r="D2628" s="25"/>
      <c r="E2628" s="25"/>
      <c r="F2628" s="25"/>
      <c r="G2628" s="25"/>
      <c r="H2628" s="25"/>
      <c r="I2628" s="25"/>
    </row>
    <row r="2629" spans="1:9" ht="18" customHeight="1" x14ac:dyDescent="0.2">
      <c r="A2629" s="25"/>
      <c r="B2629" s="25"/>
      <c r="C2629" s="25"/>
      <c r="D2629" s="25"/>
      <c r="E2629" s="25"/>
      <c r="F2629" s="25"/>
      <c r="G2629" s="25"/>
      <c r="H2629" s="25"/>
      <c r="I2629" s="25"/>
    </row>
    <row r="2630" spans="1:9" ht="18" customHeight="1" x14ac:dyDescent="0.2">
      <c r="A2630" s="25"/>
      <c r="B2630" s="25"/>
      <c r="C2630" s="25"/>
      <c r="D2630" s="25"/>
      <c r="E2630" s="25"/>
      <c r="F2630" s="25"/>
      <c r="G2630" s="25"/>
      <c r="H2630" s="25"/>
      <c r="I2630" s="25"/>
    </row>
    <row r="2631" spans="1:9" ht="18" customHeight="1" x14ac:dyDescent="0.2">
      <c r="A2631" s="25"/>
      <c r="B2631" s="25"/>
      <c r="C2631" s="25"/>
      <c r="D2631" s="25"/>
      <c r="E2631" s="25"/>
      <c r="F2631" s="25"/>
      <c r="G2631" s="25"/>
      <c r="H2631" s="25"/>
      <c r="I2631" s="25"/>
    </row>
    <row r="2632" spans="1:9" ht="18" customHeight="1" x14ac:dyDescent="0.2">
      <c r="A2632" s="25"/>
      <c r="B2632" s="25"/>
      <c r="C2632" s="25"/>
      <c r="D2632" s="25"/>
      <c r="E2632" s="25"/>
      <c r="F2632" s="25"/>
      <c r="G2632" s="25"/>
      <c r="H2632" s="25"/>
      <c r="I2632" s="25"/>
    </row>
    <row r="2633" spans="1:9" ht="18" customHeight="1" x14ac:dyDescent="0.2">
      <c r="A2633" s="25"/>
      <c r="B2633" s="25"/>
      <c r="C2633" s="25"/>
      <c r="D2633" s="25"/>
      <c r="E2633" s="25"/>
      <c r="F2633" s="25"/>
      <c r="G2633" s="25"/>
      <c r="H2633" s="25"/>
      <c r="I2633" s="25"/>
    </row>
    <row r="2634" spans="1:9" ht="18" customHeight="1" x14ac:dyDescent="0.2">
      <c r="A2634" s="25"/>
      <c r="B2634" s="25"/>
      <c r="C2634" s="25"/>
      <c r="D2634" s="25"/>
      <c r="E2634" s="25"/>
      <c r="F2634" s="25"/>
      <c r="G2634" s="25"/>
      <c r="H2634" s="25"/>
      <c r="I2634" s="25"/>
    </row>
    <row r="2635" spans="1:9" ht="18" customHeight="1" x14ac:dyDescent="0.2">
      <c r="A2635" s="25"/>
      <c r="B2635" s="25"/>
      <c r="C2635" s="25"/>
      <c r="D2635" s="25"/>
      <c r="E2635" s="25"/>
      <c r="F2635" s="25"/>
      <c r="G2635" s="25"/>
      <c r="H2635" s="25"/>
      <c r="I2635" s="25"/>
    </row>
    <row r="2636" spans="1:9" ht="18" customHeight="1" x14ac:dyDescent="0.2">
      <c r="A2636" s="25"/>
      <c r="B2636" s="25"/>
      <c r="C2636" s="25"/>
      <c r="D2636" s="25"/>
      <c r="E2636" s="25"/>
      <c r="F2636" s="25"/>
      <c r="G2636" s="25"/>
      <c r="H2636" s="25"/>
      <c r="I2636" s="25"/>
    </row>
    <row r="2637" spans="1:9" ht="18" customHeight="1" x14ac:dyDescent="0.2">
      <c r="A2637" s="25"/>
      <c r="B2637" s="25"/>
      <c r="C2637" s="25"/>
      <c r="D2637" s="25"/>
      <c r="E2637" s="25"/>
      <c r="F2637" s="25"/>
      <c r="G2637" s="25"/>
      <c r="H2637" s="25"/>
      <c r="I2637" s="25"/>
    </row>
    <row r="2638" spans="1:9" ht="18" customHeight="1" x14ac:dyDescent="0.2">
      <c r="A2638" s="25"/>
      <c r="B2638" s="25"/>
      <c r="C2638" s="25"/>
      <c r="D2638" s="25"/>
      <c r="E2638" s="25"/>
      <c r="F2638" s="25"/>
      <c r="G2638" s="25"/>
      <c r="H2638" s="25"/>
      <c r="I2638" s="25"/>
    </row>
    <row r="2639" spans="1:9" ht="18" customHeight="1" x14ac:dyDescent="0.2">
      <c r="A2639" s="25"/>
      <c r="B2639" s="25"/>
      <c r="C2639" s="25"/>
      <c r="D2639" s="25"/>
      <c r="E2639" s="25"/>
      <c r="F2639" s="25"/>
      <c r="G2639" s="25"/>
      <c r="H2639" s="25"/>
      <c r="I2639" s="25"/>
    </row>
    <row r="2640" spans="1:9" ht="18" customHeight="1" x14ac:dyDescent="0.2">
      <c r="A2640" s="25"/>
      <c r="B2640" s="25"/>
      <c r="C2640" s="25"/>
      <c r="D2640" s="25"/>
      <c r="E2640" s="25"/>
      <c r="F2640" s="25"/>
      <c r="G2640" s="25"/>
      <c r="H2640" s="25"/>
      <c r="I2640" s="25"/>
    </row>
    <row r="2641" spans="1:9" ht="18" customHeight="1" x14ac:dyDescent="0.2">
      <c r="A2641" s="25"/>
      <c r="B2641" s="25"/>
      <c r="C2641" s="25"/>
      <c r="D2641" s="25"/>
      <c r="E2641" s="25"/>
      <c r="F2641" s="25"/>
      <c r="G2641" s="25"/>
      <c r="H2641" s="25"/>
      <c r="I2641" s="25"/>
    </row>
    <row r="2642" spans="1:9" ht="18" customHeight="1" x14ac:dyDescent="0.2">
      <c r="A2642" s="25"/>
      <c r="B2642" s="25"/>
      <c r="C2642" s="25"/>
      <c r="D2642" s="25"/>
      <c r="E2642" s="25"/>
      <c r="F2642" s="25"/>
      <c r="G2642" s="25"/>
      <c r="H2642" s="25"/>
      <c r="I2642" s="25"/>
    </row>
    <row r="2643" spans="1:9" ht="18" customHeight="1" x14ac:dyDescent="0.2">
      <c r="A2643" s="25"/>
      <c r="B2643" s="25"/>
      <c r="C2643" s="25"/>
      <c r="D2643" s="25"/>
      <c r="E2643" s="25"/>
      <c r="F2643" s="25"/>
      <c r="G2643" s="25"/>
      <c r="H2643" s="25"/>
      <c r="I2643" s="25"/>
    </row>
    <row r="2644" spans="1:9" ht="18" customHeight="1" x14ac:dyDescent="0.2">
      <c r="A2644" s="25"/>
      <c r="B2644" s="25"/>
      <c r="C2644" s="25"/>
      <c r="D2644" s="25"/>
      <c r="E2644" s="25"/>
      <c r="F2644" s="25"/>
      <c r="G2644" s="25"/>
      <c r="H2644" s="25"/>
      <c r="I2644" s="25"/>
    </row>
    <row r="2645" spans="1:9" ht="18" customHeight="1" x14ac:dyDescent="0.2">
      <c r="A2645" s="25"/>
      <c r="B2645" s="25"/>
      <c r="C2645" s="25"/>
      <c r="D2645" s="25"/>
      <c r="E2645" s="25"/>
      <c r="F2645" s="25"/>
      <c r="G2645" s="25"/>
      <c r="H2645" s="25"/>
      <c r="I2645" s="25"/>
    </row>
    <row r="2646" spans="1:9" ht="18" customHeight="1" x14ac:dyDescent="0.2">
      <c r="A2646" s="25"/>
      <c r="B2646" s="25"/>
      <c r="C2646" s="25"/>
      <c r="D2646" s="25"/>
      <c r="E2646" s="25"/>
      <c r="F2646" s="25"/>
      <c r="G2646" s="25"/>
      <c r="H2646" s="25"/>
      <c r="I2646" s="25"/>
    </row>
    <row r="2647" spans="1:9" ht="18" customHeight="1" x14ac:dyDescent="0.2">
      <c r="A2647" s="25"/>
      <c r="B2647" s="25"/>
      <c r="C2647" s="25"/>
      <c r="D2647" s="25"/>
      <c r="E2647" s="25"/>
      <c r="F2647" s="25"/>
      <c r="G2647" s="25"/>
      <c r="H2647" s="25"/>
      <c r="I2647" s="25"/>
    </row>
    <row r="2648" spans="1:9" ht="18" customHeight="1" x14ac:dyDescent="0.2">
      <c r="A2648" s="25"/>
      <c r="B2648" s="25"/>
      <c r="C2648" s="25"/>
      <c r="D2648" s="25"/>
      <c r="E2648" s="25"/>
      <c r="F2648" s="25"/>
      <c r="G2648" s="25"/>
      <c r="H2648" s="25"/>
      <c r="I2648" s="25"/>
    </row>
    <row r="2649" spans="1:9" ht="18" customHeight="1" x14ac:dyDescent="0.2">
      <c r="A2649" s="25"/>
      <c r="B2649" s="25"/>
      <c r="C2649" s="25"/>
      <c r="D2649" s="25"/>
      <c r="E2649" s="25"/>
      <c r="F2649" s="25"/>
      <c r="G2649" s="25"/>
      <c r="H2649" s="25"/>
      <c r="I2649" s="25"/>
    </row>
    <row r="2650" spans="1:9" ht="18" customHeight="1" x14ac:dyDescent="0.2">
      <c r="A2650" s="25"/>
      <c r="B2650" s="25"/>
      <c r="C2650" s="25"/>
      <c r="D2650" s="25"/>
      <c r="E2650" s="25"/>
      <c r="F2650" s="25"/>
      <c r="G2650" s="25"/>
      <c r="H2650" s="25"/>
      <c r="I2650" s="25"/>
    </row>
    <row r="2651" spans="1:9" ht="18" customHeight="1" x14ac:dyDescent="0.2">
      <c r="A2651" s="25"/>
      <c r="B2651" s="25"/>
      <c r="C2651" s="25"/>
      <c r="D2651" s="25"/>
      <c r="E2651" s="25"/>
      <c r="F2651" s="25"/>
      <c r="G2651" s="25"/>
      <c r="H2651" s="25"/>
      <c r="I2651" s="25"/>
    </row>
    <row r="2652" spans="1:9" ht="18" customHeight="1" x14ac:dyDescent="0.2">
      <c r="A2652" s="25"/>
      <c r="B2652" s="25"/>
      <c r="C2652" s="25"/>
      <c r="D2652" s="25"/>
      <c r="E2652" s="25"/>
      <c r="F2652" s="25"/>
      <c r="G2652" s="25"/>
      <c r="H2652" s="25"/>
      <c r="I2652" s="25"/>
    </row>
    <row r="2653" spans="1:9" ht="18" customHeight="1" x14ac:dyDescent="0.2">
      <c r="A2653" s="25"/>
      <c r="B2653" s="25"/>
      <c r="C2653" s="25"/>
      <c r="D2653" s="25"/>
      <c r="E2653" s="25"/>
      <c r="F2653" s="25"/>
      <c r="G2653" s="25"/>
      <c r="H2653" s="25"/>
      <c r="I2653" s="25"/>
    </row>
    <row r="2654" spans="1:9" ht="18" customHeight="1" x14ac:dyDescent="0.2">
      <c r="A2654" s="25"/>
      <c r="B2654" s="25"/>
      <c r="C2654" s="25"/>
      <c r="D2654" s="25"/>
      <c r="E2654" s="25"/>
      <c r="F2654" s="25"/>
      <c r="G2654" s="25"/>
      <c r="H2654" s="25"/>
      <c r="I2654" s="25"/>
    </row>
    <row r="2655" spans="1:9" ht="18" customHeight="1" x14ac:dyDescent="0.2">
      <c r="A2655" s="25"/>
      <c r="B2655" s="25"/>
      <c r="C2655" s="25"/>
      <c r="D2655" s="25"/>
      <c r="E2655" s="25"/>
      <c r="F2655" s="25"/>
      <c r="G2655" s="25"/>
      <c r="H2655" s="25"/>
      <c r="I2655" s="25"/>
    </row>
    <row r="2656" spans="1:9" ht="18" customHeight="1" x14ac:dyDescent="0.2">
      <c r="A2656" s="25"/>
      <c r="B2656" s="25"/>
      <c r="C2656" s="25"/>
      <c r="D2656" s="25"/>
      <c r="E2656" s="25"/>
      <c r="F2656" s="25"/>
      <c r="G2656" s="25"/>
      <c r="H2656" s="25"/>
      <c r="I2656" s="25"/>
    </row>
    <row r="2657" spans="1:9" ht="18" customHeight="1" x14ac:dyDescent="0.2">
      <c r="A2657" s="25"/>
      <c r="B2657" s="25"/>
      <c r="C2657" s="25"/>
      <c r="D2657" s="25"/>
      <c r="E2657" s="25"/>
      <c r="F2657" s="25"/>
      <c r="G2657" s="25"/>
      <c r="H2657" s="25"/>
      <c r="I2657" s="25"/>
    </row>
    <row r="2658" spans="1:9" ht="18" customHeight="1" x14ac:dyDescent="0.2">
      <c r="A2658" s="25"/>
      <c r="B2658" s="25"/>
      <c r="C2658" s="25"/>
      <c r="D2658" s="25"/>
      <c r="E2658" s="25"/>
      <c r="F2658" s="25"/>
      <c r="G2658" s="25"/>
      <c r="H2658" s="25"/>
      <c r="I2658" s="25"/>
    </row>
    <row r="2659" spans="1:9" ht="18" customHeight="1" x14ac:dyDescent="0.2">
      <c r="A2659" s="25"/>
      <c r="B2659" s="25"/>
      <c r="C2659" s="25"/>
      <c r="D2659" s="25"/>
      <c r="E2659" s="25"/>
      <c r="F2659" s="25"/>
      <c r="G2659" s="25"/>
      <c r="H2659" s="25"/>
      <c r="I2659" s="25"/>
    </row>
    <row r="2660" spans="1:9" ht="18" customHeight="1" x14ac:dyDescent="0.2">
      <c r="A2660" s="25"/>
      <c r="B2660" s="25"/>
      <c r="C2660" s="25"/>
      <c r="D2660" s="25"/>
      <c r="E2660" s="25"/>
      <c r="F2660" s="25"/>
      <c r="G2660" s="25"/>
      <c r="H2660" s="25"/>
      <c r="I2660" s="25"/>
    </row>
    <row r="2661" spans="1:9" ht="18" customHeight="1" x14ac:dyDescent="0.2">
      <c r="A2661" s="25"/>
      <c r="B2661" s="25"/>
      <c r="C2661" s="25"/>
      <c r="D2661" s="25"/>
      <c r="E2661" s="25"/>
      <c r="F2661" s="25"/>
      <c r="G2661" s="25"/>
      <c r="H2661" s="25"/>
      <c r="I2661" s="25"/>
    </row>
    <row r="2662" spans="1:9" ht="18" customHeight="1" x14ac:dyDescent="0.2">
      <c r="A2662" s="25"/>
      <c r="B2662" s="25"/>
      <c r="C2662" s="25"/>
      <c r="D2662" s="25"/>
      <c r="E2662" s="25"/>
      <c r="F2662" s="25"/>
      <c r="G2662" s="25"/>
      <c r="H2662" s="25"/>
      <c r="I2662" s="25"/>
    </row>
    <row r="2663" spans="1:9" ht="18" customHeight="1" x14ac:dyDescent="0.2">
      <c r="A2663" s="25"/>
      <c r="B2663" s="25"/>
      <c r="C2663" s="25"/>
      <c r="D2663" s="25"/>
      <c r="E2663" s="25"/>
      <c r="F2663" s="25"/>
      <c r="G2663" s="25"/>
      <c r="H2663" s="25"/>
      <c r="I2663" s="25"/>
    </row>
    <row r="2664" spans="1:9" ht="18" customHeight="1" x14ac:dyDescent="0.2">
      <c r="A2664" s="25"/>
      <c r="B2664" s="25"/>
      <c r="C2664" s="25"/>
      <c r="D2664" s="25"/>
      <c r="E2664" s="25"/>
      <c r="F2664" s="25"/>
      <c r="G2664" s="25"/>
      <c r="H2664" s="25"/>
      <c r="I2664" s="25"/>
    </row>
    <row r="2665" spans="1:9" ht="18" customHeight="1" x14ac:dyDescent="0.2">
      <c r="A2665" s="25"/>
      <c r="B2665" s="25"/>
      <c r="C2665" s="25"/>
      <c r="D2665" s="25"/>
      <c r="E2665" s="25"/>
      <c r="F2665" s="25"/>
      <c r="G2665" s="25"/>
      <c r="H2665" s="25"/>
      <c r="I2665" s="25"/>
    </row>
    <row r="2666" spans="1:9" ht="18" customHeight="1" x14ac:dyDescent="0.2">
      <c r="A2666" s="25"/>
      <c r="B2666" s="25"/>
      <c r="C2666" s="25"/>
      <c r="D2666" s="25"/>
      <c r="E2666" s="25"/>
      <c r="F2666" s="25"/>
      <c r="G2666" s="25"/>
      <c r="H2666" s="25"/>
      <c r="I2666" s="25"/>
    </row>
    <row r="2667" spans="1:9" ht="18" customHeight="1" x14ac:dyDescent="0.2">
      <c r="A2667" s="25"/>
      <c r="B2667" s="25"/>
      <c r="C2667" s="25"/>
      <c r="D2667" s="25"/>
      <c r="E2667" s="25"/>
      <c r="F2667" s="25"/>
      <c r="G2667" s="25"/>
      <c r="H2667" s="25"/>
      <c r="I2667" s="25"/>
    </row>
    <row r="2668" spans="1:9" ht="18" customHeight="1" x14ac:dyDescent="0.2">
      <c r="A2668" s="25"/>
      <c r="B2668" s="25"/>
      <c r="C2668" s="25"/>
      <c r="D2668" s="25"/>
      <c r="E2668" s="25"/>
      <c r="F2668" s="25"/>
      <c r="G2668" s="25"/>
      <c r="H2668" s="25"/>
      <c r="I2668" s="25"/>
    </row>
    <row r="2669" spans="1:9" ht="18" customHeight="1" x14ac:dyDescent="0.2">
      <c r="A2669" s="25"/>
      <c r="B2669" s="25"/>
      <c r="C2669" s="25"/>
      <c r="D2669" s="25"/>
      <c r="E2669" s="25"/>
      <c r="F2669" s="25"/>
      <c r="G2669" s="25"/>
      <c r="H2669" s="25"/>
      <c r="I2669" s="25"/>
    </row>
    <row r="2670" spans="1:9" ht="18" customHeight="1" x14ac:dyDescent="0.2">
      <c r="A2670" s="25"/>
      <c r="B2670" s="25"/>
      <c r="C2670" s="25"/>
      <c r="D2670" s="25"/>
      <c r="E2670" s="25"/>
      <c r="F2670" s="25"/>
      <c r="G2670" s="25"/>
      <c r="H2670" s="25"/>
      <c r="I2670" s="25"/>
    </row>
    <row r="2671" spans="1:9" ht="18" customHeight="1" x14ac:dyDescent="0.2">
      <c r="A2671" s="25"/>
      <c r="B2671" s="25"/>
      <c r="C2671" s="25"/>
      <c r="D2671" s="25"/>
      <c r="E2671" s="25"/>
      <c r="F2671" s="25"/>
      <c r="G2671" s="25"/>
      <c r="H2671" s="25"/>
      <c r="I2671" s="25"/>
    </row>
    <row r="2672" spans="1:9" ht="18" customHeight="1" x14ac:dyDescent="0.2">
      <c r="A2672" s="25"/>
      <c r="B2672" s="25"/>
      <c r="C2672" s="25"/>
      <c r="D2672" s="25"/>
      <c r="E2672" s="25"/>
      <c r="F2672" s="25"/>
      <c r="G2672" s="25"/>
      <c r="H2672" s="25"/>
      <c r="I2672" s="25"/>
    </row>
    <row r="2673" spans="1:9" ht="18" customHeight="1" x14ac:dyDescent="0.2">
      <c r="A2673" s="25"/>
      <c r="B2673" s="25"/>
      <c r="C2673" s="25"/>
      <c r="D2673" s="25"/>
      <c r="E2673" s="25"/>
      <c r="F2673" s="25"/>
      <c r="G2673" s="25"/>
      <c r="H2673" s="25"/>
      <c r="I2673" s="25"/>
    </row>
    <row r="2674" spans="1:9" ht="18" customHeight="1" x14ac:dyDescent="0.2">
      <c r="A2674" s="25"/>
      <c r="B2674" s="25"/>
      <c r="C2674" s="25"/>
      <c r="D2674" s="25"/>
      <c r="E2674" s="25"/>
      <c r="F2674" s="25"/>
      <c r="G2674" s="25"/>
      <c r="H2674" s="25"/>
      <c r="I2674" s="25"/>
    </row>
    <row r="2675" spans="1:9" ht="18" customHeight="1" x14ac:dyDescent="0.2">
      <c r="A2675" s="25"/>
      <c r="B2675" s="25"/>
      <c r="C2675" s="25"/>
      <c r="D2675" s="25"/>
      <c r="E2675" s="25"/>
      <c r="F2675" s="25"/>
      <c r="G2675" s="25"/>
      <c r="H2675" s="25"/>
      <c r="I2675" s="25"/>
    </row>
    <row r="2676" spans="1:9" ht="18" customHeight="1" x14ac:dyDescent="0.2">
      <c r="A2676" s="25"/>
      <c r="B2676" s="25"/>
      <c r="C2676" s="25"/>
      <c r="D2676" s="25"/>
      <c r="E2676" s="25"/>
      <c r="F2676" s="25"/>
      <c r="G2676" s="25"/>
      <c r="H2676" s="25"/>
      <c r="I2676" s="25"/>
    </row>
    <row r="2677" spans="1:9" ht="18" customHeight="1" x14ac:dyDescent="0.2">
      <c r="A2677" s="25"/>
      <c r="B2677" s="25"/>
      <c r="C2677" s="25"/>
      <c r="D2677" s="25"/>
      <c r="E2677" s="25"/>
      <c r="F2677" s="25"/>
      <c r="G2677" s="25"/>
      <c r="H2677" s="25"/>
      <c r="I2677" s="25"/>
    </row>
    <row r="2678" spans="1:9" ht="18" customHeight="1" x14ac:dyDescent="0.2">
      <c r="A2678" s="25"/>
      <c r="B2678" s="25"/>
      <c r="C2678" s="25"/>
      <c r="D2678" s="25"/>
      <c r="E2678" s="25"/>
      <c r="F2678" s="25"/>
      <c r="G2678" s="25"/>
      <c r="H2678" s="25"/>
      <c r="I2678" s="25"/>
    </row>
    <row r="2679" spans="1:9" ht="18" customHeight="1" x14ac:dyDescent="0.2">
      <c r="A2679" s="25"/>
      <c r="B2679" s="25"/>
      <c r="C2679" s="25"/>
      <c r="D2679" s="25"/>
      <c r="E2679" s="25"/>
      <c r="F2679" s="25"/>
      <c r="G2679" s="25"/>
      <c r="H2679" s="25"/>
      <c r="I2679" s="25"/>
    </row>
    <row r="2680" spans="1:9" ht="18" customHeight="1" x14ac:dyDescent="0.2">
      <c r="A2680" s="25"/>
      <c r="B2680" s="25"/>
      <c r="C2680" s="25"/>
      <c r="D2680" s="25"/>
      <c r="E2680" s="25"/>
      <c r="F2680" s="25"/>
      <c r="G2680" s="25"/>
      <c r="H2680" s="25"/>
      <c r="I2680" s="25"/>
    </row>
    <row r="2681" spans="1:9" ht="18" customHeight="1" x14ac:dyDescent="0.2">
      <c r="A2681" s="25"/>
      <c r="B2681" s="25"/>
      <c r="C2681" s="25"/>
      <c r="D2681" s="25"/>
      <c r="E2681" s="25"/>
      <c r="F2681" s="25"/>
      <c r="G2681" s="25"/>
      <c r="H2681" s="25"/>
      <c r="I2681" s="25"/>
    </row>
    <row r="2682" spans="1:9" ht="18" customHeight="1" x14ac:dyDescent="0.2">
      <c r="A2682" s="25"/>
      <c r="B2682" s="25"/>
      <c r="C2682" s="25"/>
      <c r="D2682" s="25"/>
      <c r="E2682" s="25"/>
      <c r="F2682" s="25"/>
      <c r="G2682" s="25"/>
      <c r="H2682" s="25"/>
      <c r="I2682" s="25"/>
    </row>
    <row r="2683" spans="1:9" ht="18" customHeight="1" x14ac:dyDescent="0.2">
      <c r="A2683" s="25"/>
      <c r="B2683" s="25"/>
      <c r="C2683" s="25"/>
      <c r="D2683" s="25"/>
      <c r="E2683" s="25"/>
      <c r="F2683" s="25"/>
      <c r="G2683" s="25"/>
      <c r="H2683" s="25"/>
      <c r="I2683" s="25"/>
    </row>
    <row r="2684" spans="1:9" ht="18" customHeight="1" x14ac:dyDescent="0.2">
      <c r="A2684" s="25"/>
      <c r="B2684" s="25"/>
      <c r="C2684" s="25"/>
      <c r="D2684" s="25"/>
      <c r="E2684" s="25"/>
      <c r="F2684" s="25"/>
      <c r="G2684" s="25"/>
      <c r="H2684" s="25"/>
      <c r="I2684" s="25"/>
    </row>
    <row r="2685" spans="1:9" ht="18" customHeight="1" x14ac:dyDescent="0.2">
      <c r="A2685" s="25"/>
      <c r="B2685" s="25"/>
      <c r="C2685" s="25"/>
      <c r="D2685" s="25"/>
      <c r="E2685" s="25"/>
      <c r="F2685" s="25"/>
      <c r="G2685" s="25"/>
      <c r="H2685" s="25"/>
      <c r="I2685" s="25"/>
    </row>
    <row r="2686" spans="1:9" ht="18" customHeight="1" x14ac:dyDescent="0.2">
      <c r="A2686" s="25"/>
      <c r="B2686" s="25"/>
      <c r="C2686" s="25"/>
      <c r="D2686" s="25"/>
      <c r="E2686" s="25"/>
      <c r="F2686" s="25"/>
      <c r="G2686" s="25"/>
      <c r="H2686" s="25"/>
      <c r="I2686" s="25"/>
    </row>
    <row r="2687" spans="1:9" ht="18" customHeight="1" x14ac:dyDescent="0.2">
      <c r="A2687" s="25"/>
      <c r="B2687" s="25"/>
      <c r="C2687" s="25"/>
      <c r="D2687" s="25"/>
      <c r="E2687" s="25"/>
      <c r="F2687" s="25"/>
      <c r="G2687" s="25"/>
      <c r="H2687" s="25"/>
      <c r="I2687" s="25"/>
    </row>
    <row r="2688" spans="1:9" ht="18" customHeight="1" x14ac:dyDescent="0.2">
      <c r="A2688" s="25"/>
      <c r="B2688" s="25"/>
      <c r="C2688" s="25"/>
      <c r="D2688" s="25"/>
      <c r="E2688" s="25"/>
      <c r="F2688" s="25"/>
      <c r="G2688" s="25"/>
      <c r="H2688" s="25"/>
      <c r="I2688" s="25"/>
    </row>
    <row r="2689" spans="1:9" ht="18" customHeight="1" x14ac:dyDescent="0.2">
      <c r="A2689" s="25"/>
      <c r="B2689" s="25"/>
      <c r="C2689" s="25"/>
      <c r="D2689" s="25"/>
      <c r="E2689" s="25"/>
      <c r="F2689" s="25"/>
      <c r="G2689" s="25"/>
      <c r="H2689" s="25"/>
      <c r="I2689" s="25"/>
    </row>
    <row r="2690" spans="1:9" ht="18" customHeight="1" x14ac:dyDescent="0.2">
      <c r="A2690" s="25"/>
      <c r="B2690" s="25"/>
      <c r="C2690" s="25"/>
      <c r="D2690" s="25"/>
      <c r="E2690" s="25"/>
      <c r="F2690" s="25"/>
      <c r="G2690" s="25"/>
      <c r="H2690" s="25"/>
      <c r="I2690" s="25"/>
    </row>
    <row r="2691" spans="1:9" ht="18" customHeight="1" x14ac:dyDescent="0.2">
      <c r="A2691" s="25"/>
      <c r="B2691" s="25"/>
      <c r="C2691" s="25"/>
      <c r="D2691" s="25"/>
      <c r="E2691" s="25"/>
      <c r="F2691" s="25"/>
      <c r="G2691" s="25"/>
      <c r="H2691" s="25"/>
      <c r="I2691" s="25"/>
    </row>
    <row r="2692" spans="1:9" ht="18" customHeight="1" x14ac:dyDescent="0.2">
      <c r="A2692" s="25"/>
      <c r="B2692" s="25"/>
      <c r="C2692" s="25"/>
      <c r="D2692" s="25"/>
      <c r="E2692" s="25"/>
      <c r="F2692" s="25"/>
      <c r="G2692" s="25"/>
      <c r="H2692" s="25"/>
      <c r="I2692" s="25"/>
    </row>
    <row r="2693" spans="1:9" ht="18" customHeight="1" x14ac:dyDescent="0.2">
      <c r="A2693" s="25"/>
      <c r="B2693" s="25"/>
      <c r="C2693" s="25"/>
      <c r="D2693" s="25"/>
      <c r="E2693" s="25"/>
      <c r="F2693" s="25"/>
      <c r="G2693" s="25"/>
      <c r="H2693" s="25"/>
      <c r="I2693" s="25"/>
    </row>
    <row r="2694" spans="1:9" ht="18" customHeight="1" x14ac:dyDescent="0.2">
      <c r="A2694" s="25"/>
      <c r="B2694" s="25"/>
      <c r="C2694" s="25"/>
      <c r="D2694" s="25"/>
      <c r="E2694" s="25"/>
      <c r="F2694" s="25"/>
      <c r="G2694" s="25"/>
      <c r="H2694" s="25"/>
      <c r="I2694" s="25"/>
    </row>
    <row r="2695" spans="1:9" ht="18" customHeight="1" x14ac:dyDescent="0.2">
      <c r="A2695" s="25"/>
      <c r="B2695" s="25"/>
      <c r="C2695" s="25"/>
      <c r="D2695" s="25"/>
      <c r="E2695" s="25"/>
      <c r="F2695" s="25"/>
      <c r="G2695" s="25"/>
      <c r="H2695" s="25"/>
      <c r="I2695" s="25"/>
    </row>
    <row r="2696" spans="1:9" ht="18" customHeight="1" x14ac:dyDescent="0.2">
      <c r="A2696" s="25"/>
      <c r="B2696" s="25"/>
      <c r="C2696" s="25"/>
      <c r="D2696" s="25"/>
      <c r="E2696" s="25"/>
      <c r="F2696" s="25"/>
      <c r="G2696" s="25"/>
      <c r="H2696" s="25"/>
      <c r="I2696" s="25"/>
    </row>
    <row r="2697" spans="1:9" ht="18" customHeight="1" x14ac:dyDescent="0.2">
      <c r="A2697" s="25"/>
      <c r="B2697" s="25"/>
      <c r="C2697" s="25"/>
      <c r="D2697" s="25"/>
      <c r="E2697" s="25"/>
      <c r="F2697" s="25"/>
      <c r="G2697" s="25"/>
      <c r="H2697" s="25"/>
      <c r="I2697" s="25"/>
    </row>
    <row r="2698" spans="1:9" ht="18" customHeight="1" x14ac:dyDescent="0.2">
      <c r="A2698" s="25"/>
      <c r="B2698" s="25"/>
      <c r="C2698" s="25"/>
      <c r="D2698" s="25"/>
      <c r="E2698" s="25"/>
      <c r="F2698" s="25"/>
      <c r="G2698" s="25"/>
      <c r="H2698" s="25"/>
      <c r="I2698" s="25"/>
    </row>
    <row r="2699" spans="1:9" ht="18" customHeight="1" x14ac:dyDescent="0.2">
      <c r="A2699" s="25"/>
      <c r="B2699" s="25"/>
      <c r="C2699" s="25"/>
      <c r="D2699" s="25"/>
      <c r="E2699" s="25"/>
      <c r="F2699" s="25"/>
      <c r="G2699" s="25"/>
      <c r="H2699" s="25"/>
      <c r="I2699" s="25"/>
    </row>
    <row r="2700" spans="1:9" ht="18" customHeight="1" x14ac:dyDescent="0.2">
      <c r="A2700" s="25"/>
      <c r="B2700" s="25"/>
      <c r="C2700" s="25"/>
      <c r="D2700" s="25"/>
      <c r="E2700" s="25"/>
      <c r="F2700" s="25"/>
      <c r="G2700" s="25"/>
      <c r="H2700" s="25"/>
      <c r="I2700" s="25"/>
    </row>
    <row r="2701" spans="1:9" ht="18" customHeight="1" x14ac:dyDescent="0.2">
      <c r="A2701" s="25"/>
      <c r="B2701" s="25"/>
      <c r="C2701" s="25"/>
      <c r="D2701" s="25"/>
      <c r="E2701" s="25"/>
      <c r="F2701" s="25"/>
      <c r="G2701" s="25"/>
      <c r="H2701" s="25"/>
      <c r="I2701" s="25"/>
    </row>
    <row r="2702" spans="1:9" ht="18" customHeight="1" x14ac:dyDescent="0.2">
      <c r="A2702" s="25"/>
      <c r="B2702" s="25"/>
      <c r="C2702" s="25"/>
      <c r="D2702" s="25"/>
      <c r="E2702" s="25"/>
      <c r="F2702" s="25"/>
      <c r="G2702" s="25"/>
      <c r="H2702" s="25"/>
      <c r="I2702" s="25"/>
    </row>
    <row r="2703" spans="1:9" ht="18" customHeight="1" x14ac:dyDescent="0.2">
      <c r="A2703" s="25"/>
      <c r="B2703" s="25"/>
      <c r="C2703" s="25"/>
      <c r="D2703" s="25"/>
      <c r="E2703" s="25"/>
      <c r="F2703" s="25"/>
      <c r="G2703" s="25"/>
      <c r="H2703" s="25"/>
      <c r="I2703" s="25"/>
    </row>
    <row r="2704" spans="1:9" ht="18" customHeight="1" x14ac:dyDescent="0.2">
      <c r="A2704" s="25"/>
      <c r="B2704" s="25"/>
      <c r="C2704" s="25"/>
      <c r="D2704" s="25"/>
      <c r="E2704" s="25"/>
      <c r="F2704" s="25"/>
      <c r="G2704" s="25"/>
      <c r="H2704" s="25"/>
      <c r="I2704" s="25"/>
    </row>
    <row r="2705" spans="1:9" ht="18" customHeight="1" x14ac:dyDescent="0.2">
      <c r="A2705" s="25"/>
      <c r="B2705" s="25"/>
      <c r="C2705" s="25"/>
      <c r="D2705" s="25"/>
      <c r="E2705" s="25"/>
      <c r="F2705" s="25"/>
      <c r="G2705" s="25"/>
      <c r="H2705" s="25"/>
      <c r="I2705" s="25"/>
    </row>
    <row r="2706" spans="1:9" ht="18" customHeight="1" x14ac:dyDescent="0.2">
      <c r="A2706" s="25"/>
      <c r="B2706" s="25"/>
      <c r="C2706" s="25"/>
      <c r="D2706" s="25"/>
      <c r="E2706" s="25"/>
      <c r="F2706" s="25"/>
      <c r="G2706" s="25"/>
      <c r="H2706" s="25"/>
      <c r="I2706" s="25"/>
    </row>
    <row r="2707" spans="1:9" ht="18" customHeight="1" x14ac:dyDescent="0.2">
      <c r="A2707" s="25"/>
      <c r="B2707" s="25"/>
      <c r="C2707" s="25"/>
      <c r="D2707" s="25"/>
      <c r="E2707" s="25"/>
      <c r="F2707" s="25"/>
      <c r="G2707" s="25"/>
      <c r="H2707" s="25"/>
      <c r="I2707" s="25"/>
    </row>
    <row r="2708" spans="1:9" ht="18" customHeight="1" x14ac:dyDescent="0.2">
      <c r="A2708" s="25"/>
      <c r="B2708" s="25"/>
      <c r="C2708" s="25"/>
      <c r="D2708" s="25"/>
      <c r="E2708" s="25"/>
      <c r="F2708" s="25"/>
      <c r="G2708" s="25"/>
      <c r="H2708" s="25"/>
      <c r="I2708" s="25"/>
    </row>
    <row r="2709" spans="1:9" ht="18" customHeight="1" x14ac:dyDescent="0.2">
      <c r="A2709" s="25"/>
      <c r="B2709" s="25"/>
      <c r="C2709" s="25"/>
      <c r="D2709" s="25"/>
      <c r="E2709" s="25"/>
      <c r="F2709" s="25"/>
      <c r="G2709" s="25"/>
      <c r="H2709" s="25"/>
      <c r="I2709" s="25"/>
    </row>
    <row r="2710" spans="1:9" ht="18" customHeight="1" x14ac:dyDescent="0.2">
      <c r="A2710" s="25"/>
      <c r="B2710" s="25"/>
      <c r="C2710" s="25"/>
      <c r="D2710" s="25"/>
      <c r="E2710" s="25"/>
      <c r="F2710" s="25"/>
      <c r="G2710" s="25"/>
      <c r="H2710" s="25"/>
      <c r="I2710" s="25"/>
    </row>
    <row r="2711" spans="1:9" ht="18" customHeight="1" x14ac:dyDescent="0.2">
      <c r="A2711" s="25"/>
      <c r="B2711" s="25"/>
      <c r="C2711" s="25"/>
      <c r="D2711" s="25"/>
      <c r="E2711" s="25"/>
      <c r="F2711" s="25"/>
      <c r="G2711" s="25"/>
      <c r="H2711" s="25"/>
      <c r="I2711" s="25"/>
    </row>
    <row r="2712" spans="1:9" ht="18" customHeight="1" x14ac:dyDescent="0.2">
      <c r="A2712" s="25"/>
      <c r="B2712" s="25"/>
      <c r="C2712" s="25"/>
      <c r="D2712" s="25"/>
      <c r="E2712" s="25"/>
      <c r="F2712" s="25"/>
      <c r="G2712" s="25"/>
      <c r="H2712" s="25"/>
      <c r="I2712" s="25"/>
    </row>
    <row r="2713" spans="1:9" ht="18" customHeight="1" x14ac:dyDescent="0.2">
      <c r="A2713" s="25"/>
      <c r="B2713" s="25"/>
      <c r="C2713" s="25"/>
      <c r="D2713" s="25"/>
      <c r="E2713" s="25"/>
      <c r="F2713" s="25"/>
      <c r="G2713" s="25"/>
      <c r="H2713" s="25"/>
      <c r="I2713" s="25"/>
    </row>
    <row r="2714" spans="1:9" ht="18" customHeight="1" x14ac:dyDescent="0.2">
      <c r="A2714" s="25"/>
      <c r="B2714" s="25"/>
      <c r="C2714" s="25"/>
      <c r="D2714" s="25"/>
      <c r="E2714" s="25"/>
      <c r="F2714" s="25"/>
      <c r="G2714" s="25"/>
      <c r="H2714" s="25"/>
      <c r="I2714" s="25"/>
    </row>
    <row r="2715" spans="1:9" ht="18" customHeight="1" x14ac:dyDescent="0.2">
      <c r="A2715" s="25"/>
      <c r="B2715" s="25"/>
      <c r="C2715" s="25"/>
      <c r="D2715" s="25"/>
      <c r="E2715" s="25"/>
      <c r="F2715" s="25"/>
      <c r="G2715" s="25"/>
      <c r="H2715" s="25"/>
      <c r="I2715" s="25"/>
    </row>
    <row r="2716" spans="1:9" ht="18" customHeight="1" x14ac:dyDescent="0.2">
      <c r="A2716" s="25"/>
      <c r="B2716" s="25"/>
      <c r="C2716" s="25"/>
      <c r="D2716" s="25"/>
      <c r="E2716" s="25"/>
      <c r="F2716" s="25"/>
      <c r="G2716" s="25"/>
      <c r="H2716" s="25"/>
      <c r="I2716" s="25"/>
    </row>
    <row r="2717" spans="1:9" ht="18" customHeight="1" x14ac:dyDescent="0.2">
      <c r="A2717" s="25"/>
      <c r="B2717" s="25"/>
      <c r="C2717" s="25"/>
      <c r="D2717" s="25"/>
      <c r="E2717" s="25"/>
      <c r="F2717" s="25"/>
      <c r="G2717" s="25"/>
      <c r="H2717" s="25"/>
      <c r="I2717" s="25"/>
    </row>
    <row r="2718" spans="1:9" ht="18" customHeight="1" x14ac:dyDescent="0.2">
      <c r="A2718" s="25"/>
      <c r="B2718" s="25"/>
      <c r="C2718" s="25"/>
      <c r="D2718" s="25"/>
      <c r="E2718" s="25"/>
      <c r="F2718" s="25"/>
      <c r="G2718" s="25"/>
      <c r="H2718" s="25"/>
      <c r="I2718" s="25"/>
    </row>
    <row r="2719" spans="1:9" ht="18" customHeight="1" x14ac:dyDescent="0.2">
      <c r="A2719" s="25"/>
      <c r="B2719" s="25"/>
      <c r="C2719" s="25"/>
      <c r="D2719" s="25"/>
      <c r="E2719" s="25"/>
      <c r="F2719" s="25"/>
      <c r="G2719" s="25"/>
      <c r="H2719" s="25"/>
      <c r="I2719" s="25"/>
    </row>
    <row r="2720" spans="1:9" ht="18" customHeight="1" x14ac:dyDescent="0.2">
      <c r="A2720" s="25"/>
      <c r="B2720" s="25"/>
      <c r="C2720" s="25"/>
      <c r="D2720" s="25"/>
      <c r="E2720" s="25"/>
      <c r="F2720" s="25"/>
      <c r="G2720" s="25"/>
      <c r="H2720" s="25"/>
      <c r="I2720" s="25"/>
    </row>
    <row r="2721" spans="1:9" ht="18" customHeight="1" x14ac:dyDescent="0.2">
      <c r="A2721" s="25"/>
      <c r="B2721" s="25"/>
      <c r="C2721" s="25"/>
      <c r="D2721" s="25"/>
      <c r="E2721" s="25"/>
      <c r="F2721" s="25"/>
      <c r="G2721" s="25"/>
      <c r="H2721" s="25"/>
      <c r="I2721" s="25"/>
    </row>
    <row r="2722" spans="1:9" ht="18" customHeight="1" x14ac:dyDescent="0.2">
      <c r="A2722" s="25"/>
      <c r="B2722" s="25"/>
      <c r="C2722" s="25"/>
      <c r="D2722" s="25"/>
      <c r="E2722" s="25"/>
      <c r="F2722" s="25"/>
      <c r="G2722" s="25"/>
      <c r="H2722" s="25"/>
      <c r="I2722" s="25"/>
    </row>
    <row r="2723" spans="1:9" ht="18" customHeight="1" x14ac:dyDescent="0.2">
      <c r="A2723" s="25"/>
      <c r="B2723" s="25"/>
      <c r="C2723" s="25"/>
      <c r="D2723" s="25"/>
      <c r="E2723" s="25"/>
      <c r="F2723" s="25"/>
      <c r="G2723" s="25"/>
      <c r="H2723" s="25"/>
      <c r="I2723" s="25"/>
    </row>
    <row r="2724" spans="1:9" ht="18" customHeight="1" x14ac:dyDescent="0.2">
      <c r="A2724" s="25"/>
      <c r="B2724" s="25"/>
      <c r="C2724" s="25"/>
      <c r="D2724" s="25"/>
      <c r="E2724" s="25"/>
      <c r="F2724" s="25"/>
      <c r="G2724" s="25"/>
      <c r="H2724" s="25"/>
      <c r="I2724" s="25"/>
    </row>
    <row r="2725" spans="1:9" ht="18" customHeight="1" x14ac:dyDescent="0.2">
      <c r="A2725" s="25"/>
      <c r="B2725" s="25"/>
      <c r="C2725" s="25"/>
      <c r="D2725" s="25"/>
      <c r="E2725" s="25"/>
      <c r="F2725" s="25"/>
      <c r="G2725" s="25"/>
      <c r="H2725" s="25"/>
      <c r="I2725" s="25"/>
    </row>
    <row r="2726" spans="1:9" ht="18" customHeight="1" x14ac:dyDescent="0.2">
      <c r="A2726" s="25"/>
      <c r="B2726" s="25"/>
      <c r="C2726" s="25"/>
      <c r="D2726" s="25"/>
      <c r="E2726" s="25"/>
      <c r="F2726" s="25"/>
      <c r="G2726" s="25"/>
      <c r="H2726" s="25"/>
      <c r="I2726" s="25"/>
    </row>
    <row r="2727" spans="1:9" ht="18" customHeight="1" x14ac:dyDescent="0.2">
      <c r="A2727" s="25"/>
      <c r="B2727" s="25"/>
      <c r="C2727" s="25"/>
      <c r="D2727" s="25"/>
      <c r="E2727" s="25"/>
      <c r="F2727" s="25"/>
      <c r="G2727" s="25"/>
      <c r="H2727" s="25"/>
      <c r="I2727" s="25"/>
    </row>
    <row r="2728" spans="1:9" ht="18" customHeight="1" x14ac:dyDescent="0.2">
      <c r="A2728" s="25"/>
      <c r="B2728" s="25"/>
      <c r="C2728" s="25"/>
      <c r="D2728" s="25"/>
      <c r="E2728" s="25"/>
      <c r="F2728" s="25"/>
      <c r="G2728" s="25"/>
      <c r="H2728" s="25"/>
      <c r="I2728" s="25"/>
    </row>
    <row r="2729" spans="1:9" ht="18" customHeight="1" x14ac:dyDescent="0.2">
      <c r="A2729" s="25"/>
      <c r="B2729" s="25"/>
      <c r="C2729" s="25"/>
      <c r="D2729" s="25"/>
      <c r="E2729" s="25"/>
      <c r="F2729" s="25"/>
      <c r="G2729" s="25"/>
      <c r="H2729" s="25"/>
      <c r="I2729" s="25"/>
    </row>
    <row r="2730" spans="1:9" ht="18" customHeight="1" x14ac:dyDescent="0.2">
      <c r="A2730" s="25"/>
      <c r="B2730" s="25"/>
      <c r="C2730" s="25"/>
      <c r="D2730" s="25"/>
      <c r="E2730" s="25"/>
      <c r="F2730" s="25"/>
      <c r="G2730" s="25"/>
      <c r="H2730" s="25"/>
      <c r="I2730" s="25"/>
    </row>
    <row r="2731" spans="1:9" ht="18" customHeight="1" x14ac:dyDescent="0.2">
      <c r="A2731" s="25"/>
      <c r="B2731" s="25"/>
      <c r="C2731" s="25"/>
      <c r="D2731" s="25"/>
      <c r="E2731" s="25"/>
      <c r="F2731" s="25"/>
      <c r="G2731" s="25"/>
      <c r="H2731" s="25"/>
      <c r="I2731" s="25"/>
    </row>
    <row r="2732" spans="1:9" ht="18" customHeight="1" x14ac:dyDescent="0.2">
      <c r="A2732" s="25"/>
      <c r="B2732" s="25"/>
      <c r="C2732" s="25"/>
      <c r="D2732" s="25"/>
      <c r="E2732" s="25"/>
      <c r="F2732" s="25"/>
      <c r="G2732" s="25"/>
      <c r="H2732" s="25"/>
      <c r="I2732" s="25"/>
    </row>
    <row r="2733" spans="1:9" ht="18" customHeight="1" x14ac:dyDescent="0.2">
      <c r="A2733" s="25"/>
      <c r="B2733" s="25"/>
      <c r="C2733" s="25"/>
      <c r="D2733" s="25"/>
      <c r="E2733" s="25"/>
      <c r="F2733" s="25"/>
      <c r="G2733" s="25"/>
      <c r="H2733" s="25"/>
      <c r="I2733" s="25"/>
    </row>
    <row r="2734" spans="1:9" ht="18" customHeight="1" x14ac:dyDescent="0.2">
      <c r="A2734" s="25"/>
      <c r="B2734" s="25"/>
      <c r="C2734" s="25"/>
      <c r="D2734" s="25"/>
      <c r="E2734" s="25"/>
      <c r="F2734" s="25"/>
      <c r="G2734" s="25"/>
      <c r="H2734" s="25"/>
      <c r="I2734" s="25"/>
    </row>
    <row r="2735" spans="1:9" ht="18" customHeight="1" x14ac:dyDescent="0.2">
      <c r="A2735" s="25"/>
      <c r="B2735" s="25"/>
      <c r="C2735" s="25"/>
      <c r="D2735" s="25"/>
      <c r="E2735" s="25"/>
      <c r="F2735" s="25"/>
      <c r="G2735" s="25"/>
      <c r="H2735" s="25"/>
      <c r="I2735" s="25"/>
    </row>
    <row r="2736" spans="1:9" ht="18" customHeight="1" x14ac:dyDescent="0.2">
      <c r="A2736" s="25"/>
      <c r="B2736" s="25"/>
      <c r="C2736" s="25"/>
      <c r="D2736" s="25"/>
      <c r="E2736" s="25"/>
      <c r="F2736" s="25"/>
      <c r="G2736" s="25"/>
      <c r="H2736" s="25"/>
      <c r="I2736" s="25"/>
    </row>
    <row r="2737" spans="1:9" ht="18" customHeight="1" x14ac:dyDescent="0.2">
      <c r="A2737" s="25"/>
      <c r="B2737" s="25"/>
      <c r="C2737" s="25"/>
      <c r="D2737" s="25"/>
      <c r="E2737" s="25"/>
      <c r="F2737" s="25"/>
      <c r="G2737" s="25"/>
      <c r="H2737" s="25"/>
      <c r="I2737" s="25"/>
    </row>
    <row r="2738" spans="1:9" ht="18" customHeight="1" x14ac:dyDescent="0.2">
      <c r="A2738" s="25"/>
      <c r="B2738" s="25"/>
      <c r="C2738" s="25"/>
      <c r="D2738" s="25"/>
      <c r="E2738" s="25"/>
      <c r="F2738" s="25"/>
      <c r="G2738" s="25"/>
      <c r="H2738" s="25"/>
      <c r="I2738" s="25"/>
    </row>
    <row r="2739" spans="1:9" ht="18" customHeight="1" x14ac:dyDescent="0.2">
      <c r="A2739" s="25"/>
      <c r="B2739" s="25"/>
      <c r="C2739" s="25"/>
      <c r="D2739" s="25"/>
      <c r="E2739" s="25"/>
      <c r="F2739" s="25"/>
      <c r="G2739" s="25"/>
      <c r="H2739" s="25"/>
      <c r="I2739" s="25"/>
    </row>
    <row r="2740" spans="1:9" ht="18" customHeight="1" x14ac:dyDescent="0.2">
      <c r="A2740" s="25"/>
      <c r="B2740" s="25"/>
      <c r="C2740" s="25"/>
      <c r="D2740" s="25"/>
      <c r="E2740" s="25"/>
      <c r="F2740" s="25"/>
      <c r="G2740" s="25"/>
      <c r="H2740" s="25"/>
      <c r="I2740" s="25"/>
    </row>
    <row r="2741" spans="1:9" ht="18" customHeight="1" x14ac:dyDescent="0.2">
      <c r="A2741" s="25"/>
      <c r="B2741" s="25"/>
      <c r="C2741" s="25"/>
      <c r="D2741" s="25"/>
      <c r="E2741" s="25"/>
      <c r="F2741" s="25"/>
      <c r="G2741" s="25"/>
      <c r="H2741" s="25"/>
      <c r="I2741" s="25"/>
    </row>
    <row r="2742" spans="1:9" ht="18" customHeight="1" x14ac:dyDescent="0.2">
      <c r="A2742" s="25"/>
      <c r="B2742" s="25"/>
      <c r="C2742" s="25"/>
      <c r="D2742" s="25"/>
      <c r="E2742" s="25"/>
      <c r="F2742" s="25"/>
      <c r="G2742" s="25"/>
      <c r="H2742" s="25"/>
      <c r="I2742" s="25"/>
    </row>
    <row r="2743" spans="1:9" ht="18" customHeight="1" x14ac:dyDescent="0.2">
      <c r="A2743" s="25"/>
      <c r="B2743" s="25"/>
      <c r="C2743" s="25"/>
      <c r="D2743" s="25"/>
      <c r="E2743" s="25"/>
      <c r="F2743" s="25"/>
      <c r="G2743" s="25"/>
      <c r="H2743" s="25"/>
      <c r="I2743" s="25"/>
    </row>
    <row r="2744" spans="1:9" ht="18" customHeight="1" x14ac:dyDescent="0.2">
      <c r="A2744" s="25"/>
      <c r="B2744" s="25"/>
      <c r="C2744" s="25"/>
      <c r="D2744" s="25"/>
      <c r="E2744" s="25"/>
      <c r="F2744" s="25"/>
      <c r="G2744" s="25"/>
      <c r="H2744" s="25"/>
      <c r="I2744" s="25"/>
    </row>
    <row r="2745" spans="1:9" ht="18" customHeight="1" x14ac:dyDescent="0.2">
      <c r="A2745" s="25"/>
      <c r="B2745" s="25"/>
      <c r="C2745" s="25"/>
      <c r="D2745" s="25"/>
      <c r="E2745" s="25"/>
      <c r="F2745" s="25"/>
      <c r="G2745" s="25"/>
      <c r="H2745" s="25"/>
      <c r="I2745" s="25"/>
    </row>
    <row r="2746" spans="1:9" ht="18" customHeight="1" x14ac:dyDescent="0.2">
      <c r="A2746" s="25"/>
      <c r="B2746" s="25"/>
      <c r="C2746" s="25"/>
      <c r="D2746" s="25"/>
      <c r="E2746" s="25"/>
      <c r="F2746" s="25"/>
      <c r="G2746" s="25"/>
      <c r="H2746" s="25"/>
      <c r="I2746" s="25"/>
    </row>
    <row r="2747" spans="1:9" ht="18" customHeight="1" x14ac:dyDescent="0.2">
      <c r="A2747" s="25"/>
      <c r="B2747" s="25"/>
      <c r="C2747" s="25"/>
      <c r="D2747" s="25"/>
      <c r="E2747" s="25"/>
      <c r="F2747" s="25"/>
      <c r="G2747" s="25"/>
      <c r="H2747" s="25"/>
      <c r="I2747" s="25"/>
    </row>
    <row r="2748" spans="1:9" ht="18" customHeight="1" x14ac:dyDescent="0.2">
      <c r="A2748" s="25"/>
      <c r="B2748" s="25"/>
      <c r="C2748" s="25"/>
      <c r="D2748" s="25"/>
      <c r="E2748" s="25"/>
      <c r="F2748" s="25"/>
      <c r="G2748" s="25"/>
      <c r="H2748" s="25"/>
      <c r="I2748" s="25"/>
    </row>
    <row r="2749" spans="1:9" ht="18" customHeight="1" x14ac:dyDescent="0.2">
      <c r="A2749" s="25"/>
      <c r="B2749" s="25"/>
      <c r="C2749" s="25"/>
      <c r="D2749" s="25"/>
      <c r="E2749" s="25"/>
      <c r="F2749" s="25"/>
      <c r="G2749" s="25"/>
      <c r="H2749" s="25"/>
      <c r="I2749" s="25"/>
    </row>
    <row r="2750" spans="1:9" ht="18" customHeight="1" x14ac:dyDescent="0.2">
      <c r="A2750" s="25"/>
      <c r="B2750" s="25"/>
      <c r="C2750" s="25"/>
      <c r="D2750" s="25"/>
      <c r="E2750" s="25"/>
      <c r="F2750" s="25"/>
      <c r="G2750" s="25"/>
      <c r="H2750" s="25"/>
      <c r="I2750" s="25"/>
    </row>
    <row r="2751" spans="1:9" ht="18" customHeight="1" x14ac:dyDescent="0.2">
      <c r="A2751" s="25"/>
      <c r="B2751" s="25"/>
      <c r="C2751" s="25"/>
      <c r="D2751" s="25"/>
      <c r="E2751" s="25"/>
      <c r="F2751" s="25"/>
      <c r="G2751" s="25"/>
      <c r="H2751" s="25"/>
      <c r="I2751" s="25"/>
    </row>
    <row r="2752" spans="1:9" ht="18" customHeight="1" x14ac:dyDescent="0.2">
      <c r="A2752" s="25"/>
      <c r="B2752" s="25"/>
      <c r="C2752" s="25"/>
      <c r="D2752" s="25"/>
      <c r="E2752" s="25"/>
      <c r="F2752" s="25"/>
      <c r="G2752" s="25"/>
      <c r="H2752" s="25"/>
      <c r="I2752" s="25"/>
    </row>
    <row r="2753" spans="1:9" ht="18" customHeight="1" x14ac:dyDescent="0.2">
      <c r="A2753" s="25"/>
      <c r="B2753" s="25"/>
      <c r="C2753" s="25"/>
      <c r="D2753" s="25"/>
      <c r="E2753" s="25"/>
      <c r="F2753" s="25"/>
      <c r="G2753" s="25"/>
      <c r="H2753" s="25"/>
      <c r="I2753" s="25"/>
    </row>
    <row r="2754" spans="1:9" ht="18" customHeight="1" x14ac:dyDescent="0.2">
      <c r="A2754" s="25"/>
      <c r="B2754" s="25"/>
      <c r="C2754" s="25"/>
      <c r="D2754" s="25"/>
      <c r="E2754" s="25"/>
      <c r="F2754" s="25"/>
      <c r="G2754" s="25"/>
      <c r="H2754" s="25"/>
      <c r="I2754" s="25"/>
    </row>
    <row r="2755" spans="1:9" ht="18" customHeight="1" x14ac:dyDescent="0.2">
      <c r="A2755" s="25"/>
      <c r="B2755" s="25"/>
      <c r="C2755" s="25"/>
      <c r="D2755" s="25"/>
      <c r="E2755" s="25"/>
      <c r="F2755" s="25"/>
      <c r="G2755" s="25"/>
      <c r="H2755" s="25"/>
      <c r="I2755" s="25"/>
    </row>
    <row r="2756" spans="1:9" ht="18" customHeight="1" x14ac:dyDescent="0.2">
      <c r="A2756" s="25"/>
      <c r="B2756" s="25"/>
      <c r="C2756" s="25"/>
      <c r="D2756" s="25"/>
      <c r="E2756" s="25"/>
      <c r="F2756" s="25"/>
      <c r="G2756" s="25"/>
      <c r="H2756" s="25"/>
      <c r="I2756" s="25"/>
    </row>
    <row r="2757" spans="1:9" ht="18" customHeight="1" x14ac:dyDescent="0.2">
      <c r="A2757" s="25"/>
      <c r="B2757" s="25"/>
      <c r="C2757" s="25"/>
      <c r="D2757" s="25"/>
      <c r="E2757" s="25"/>
      <c r="F2757" s="25"/>
      <c r="G2757" s="25"/>
      <c r="H2757" s="25"/>
      <c r="I2757" s="25"/>
    </row>
    <row r="2758" spans="1:9" ht="18" customHeight="1" x14ac:dyDescent="0.2">
      <c r="A2758" s="25"/>
      <c r="B2758" s="25"/>
      <c r="C2758" s="25"/>
      <c r="D2758" s="25"/>
      <c r="E2758" s="25"/>
      <c r="F2758" s="25"/>
      <c r="G2758" s="25"/>
      <c r="H2758" s="25"/>
      <c r="I2758" s="25"/>
    </row>
    <row r="2759" spans="1:9" ht="18" customHeight="1" x14ac:dyDescent="0.2">
      <c r="A2759" s="25"/>
      <c r="B2759" s="25"/>
      <c r="C2759" s="25"/>
      <c r="D2759" s="25"/>
      <c r="E2759" s="25"/>
      <c r="F2759" s="25"/>
      <c r="G2759" s="25"/>
      <c r="H2759" s="25"/>
      <c r="I2759" s="25"/>
    </row>
    <row r="2760" spans="1:9" ht="18" customHeight="1" x14ac:dyDescent="0.2">
      <c r="A2760" s="25"/>
      <c r="B2760" s="25"/>
      <c r="C2760" s="25"/>
      <c r="D2760" s="25"/>
      <c r="E2760" s="25"/>
      <c r="F2760" s="25"/>
      <c r="G2760" s="25"/>
      <c r="H2760" s="25"/>
      <c r="I2760" s="25"/>
    </row>
    <row r="2761" spans="1:9" ht="18" customHeight="1" x14ac:dyDescent="0.2">
      <c r="A2761" s="25"/>
      <c r="B2761" s="25"/>
      <c r="C2761" s="25"/>
      <c r="D2761" s="25"/>
      <c r="E2761" s="25"/>
      <c r="F2761" s="25"/>
      <c r="G2761" s="25"/>
      <c r="H2761" s="25"/>
      <c r="I2761" s="25"/>
    </row>
    <row r="2762" spans="1:9" ht="18" customHeight="1" x14ac:dyDescent="0.2">
      <c r="A2762" s="25"/>
      <c r="B2762" s="25"/>
      <c r="C2762" s="25"/>
      <c r="D2762" s="25"/>
      <c r="E2762" s="25"/>
      <c r="F2762" s="25"/>
      <c r="G2762" s="25"/>
      <c r="H2762" s="25"/>
      <c r="I2762" s="25"/>
    </row>
    <row r="2763" spans="1:9" ht="18" customHeight="1" x14ac:dyDescent="0.2">
      <c r="A2763" s="25"/>
      <c r="B2763" s="25"/>
      <c r="C2763" s="25"/>
      <c r="D2763" s="25"/>
      <c r="E2763" s="25"/>
      <c r="F2763" s="25"/>
      <c r="G2763" s="25"/>
      <c r="H2763" s="25"/>
      <c r="I2763" s="25"/>
    </row>
    <row r="2764" spans="1:9" ht="18" customHeight="1" x14ac:dyDescent="0.2">
      <c r="A2764" s="25"/>
      <c r="B2764" s="25"/>
      <c r="C2764" s="25"/>
      <c r="D2764" s="25"/>
      <c r="E2764" s="25"/>
      <c r="F2764" s="25"/>
      <c r="G2764" s="25"/>
      <c r="H2764" s="25"/>
      <c r="I2764" s="25"/>
    </row>
    <row r="2765" spans="1:9" ht="18" customHeight="1" x14ac:dyDescent="0.2">
      <c r="A2765" s="25"/>
      <c r="B2765" s="25"/>
      <c r="C2765" s="25"/>
      <c r="D2765" s="25"/>
      <c r="E2765" s="25"/>
      <c r="F2765" s="25"/>
      <c r="G2765" s="25"/>
      <c r="H2765" s="25"/>
      <c r="I2765" s="25"/>
    </row>
    <row r="2766" spans="1:9" ht="18" customHeight="1" x14ac:dyDescent="0.2">
      <c r="A2766" s="25"/>
      <c r="B2766" s="25"/>
      <c r="C2766" s="25"/>
      <c r="D2766" s="25"/>
      <c r="E2766" s="25"/>
      <c r="F2766" s="25"/>
      <c r="G2766" s="25"/>
      <c r="H2766" s="25"/>
      <c r="I2766" s="25"/>
    </row>
    <row r="2767" spans="1:9" ht="18" customHeight="1" x14ac:dyDescent="0.2">
      <c r="A2767" s="25"/>
      <c r="B2767" s="25"/>
      <c r="C2767" s="25"/>
      <c r="D2767" s="25"/>
      <c r="E2767" s="25"/>
      <c r="F2767" s="25"/>
      <c r="G2767" s="25"/>
      <c r="H2767" s="25"/>
      <c r="I2767" s="25"/>
    </row>
    <row r="2768" spans="1:9" ht="18" customHeight="1" x14ac:dyDescent="0.2">
      <c r="A2768" s="25"/>
      <c r="B2768" s="25"/>
      <c r="C2768" s="25"/>
      <c r="D2768" s="25"/>
      <c r="E2768" s="25"/>
      <c r="F2768" s="25"/>
      <c r="G2768" s="25"/>
      <c r="H2768" s="25"/>
      <c r="I2768" s="25"/>
    </row>
    <row r="2769" spans="1:9" ht="18" customHeight="1" x14ac:dyDescent="0.2">
      <c r="A2769" s="25"/>
      <c r="B2769" s="25"/>
      <c r="C2769" s="25"/>
      <c r="D2769" s="25"/>
      <c r="E2769" s="25"/>
      <c r="F2769" s="25"/>
      <c r="G2769" s="25"/>
      <c r="H2769" s="25"/>
      <c r="I2769" s="25"/>
    </row>
    <row r="2770" spans="1:9" ht="18" customHeight="1" x14ac:dyDescent="0.2">
      <c r="A2770" s="25"/>
      <c r="B2770" s="25"/>
      <c r="C2770" s="25"/>
      <c r="D2770" s="25"/>
      <c r="E2770" s="25"/>
      <c r="F2770" s="25"/>
      <c r="G2770" s="25"/>
      <c r="H2770" s="25"/>
      <c r="I2770" s="25"/>
    </row>
    <row r="2771" spans="1:9" ht="18" customHeight="1" x14ac:dyDescent="0.2">
      <c r="A2771" s="25"/>
      <c r="B2771" s="25"/>
      <c r="C2771" s="25"/>
      <c r="D2771" s="25"/>
      <c r="E2771" s="25"/>
      <c r="F2771" s="25"/>
      <c r="G2771" s="25"/>
      <c r="H2771" s="25"/>
      <c r="I2771" s="25"/>
    </row>
    <row r="2772" spans="1:9" ht="18" customHeight="1" x14ac:dyDescent="0.2">
      <c r="A2772" s="25"/>
      <c r="B2772" s="25"/>
      <c r="C2772" s="25"/>
      <c r="D2772" s="25"/>
      <c r="E2772" s="25"/>
      <c r="F2772" s="25"/>
      <c r="G2772" s="25"/>
      <c r="H2772" s="25"/>
      <c r="I2772" s="25"/>
    </row>
    <row r="2773" spans="1:9" ht="18" customHeight="1" x14ac:dyDescent="0.2">
      <c r="A2773" s="25"/>
      <c r="B2773" s="25"/>
      <c r="C2773" s="25"/>
      <c r="D2773" s="25"/>
      <c r="E2773" s="25"/>
      <c r="F2773" s="25"/>
      <c r="G2773" s="25"/>
      <c r="H2773" s="25"/>
      <c r="I2773" s="25"/>
    </row>
    <row r="2774" spans="1:9" ht="18" customHeight="1" x14ac:dyDescent="0.2">
      <c r="A2774" s="25"/>
      <c r="B2774" s="25"/>
      <c r="C2774" s="25"/>
      <c r="D2774" s="25"/>
      <c r="E2774" s="25"/>
      <c r="F2774" s="25"/>
      <c r="G2774" s="25"/>
      <c r="H2774" s="25"/>
      <c r="I2774" s="25"/>
    </row>
    <row r="2775" spans="1:9" ht="18" customHeight="1" x14ac:dyDescent="0.2">
      <c r="A2775" s="25"/>
      <c r="B2775" s="25"/>
      <c r="C2775" s="25"/>
      <c r="D2775" s="25"/>
      <c r="E2775" s="25"/>
      <c r="F2775" s="25"/>
      <c r="G2775" s="25"/>
      <c r="H2775" s="25"/>
      <c r="I2775" s="25"/>
    </row>
    <row r="2776" spans="1:9" ht="18" customHeight="1" x14ac:dyDescent="0.2">
      <c r="A2776" s="25"/>
      <c r="B2776" s="25"/>
      <c r="C2776" s="25"/>
      <c r="D2776" s="25"/>
      <c r="E2776" s="25"/>
      <c r="F2776" s="25"/>
      <c r="G2776" s="25"/>
      <c r="H2776" s="25"/>
      <c r="I2776" s="25"/>
    </row>
    <row r="2777" spans="1:9" ht="18" customHeight="1" x14ac:dyDescent="0.2">
      <c r="A2777" s="25"/>
      <c r="B2777" s="25"/>
      <c r="C2777" s="25"/>
      <c r="D2777" s="25"/>
      <c r="E2777" s="25"/>
      <c r="F2777" s="25"/>
      <c r="G2777" s="25"/>
      <c r="H2777" s="25"/>
      <c r="I2777" s="25"/>
    </row>
    <row r="2778" spans="1:9" ht="18" customHeight="1" x14ac:dyDescent="0.2">
      <c r="A2778" s="25"/>
      <c r="B2778" s="25"/>
      <c r="C2778" s="25"/>
      <c r="D2778" s="25"/>
      <c r="E2778" s="25"/>
      <c r="F2778" s="25"/>
      <c r="G2778" s="25"/>
      <c r="H2778" s="25"/>
      <c r="I2778" s="25"/>
    </row>
    <row r="2779" spans="1:9" ht="18" customHeight="1" x14ac:dyDescent="0.2">
      <c r="A2779" s="25"/>
      <c r="B2779" s="25"/>
      <c r="C2779" s="25"/>
      <c r="D2779" s="25"/>
      <c r="E2779" s="25"/>
      <c r="F2779" s="25"/>
      <c r="G2779" s="25"/>
      <c r="H2779" s="25"/>
      <c r="I2779" s="25"/>
    </row>
    <row r="2780" spans="1:9" ht="18" customHeight="1" x14ac:dyDescent="0.2">
      <c r="A2780" s="25"/>
      <c r="B2780" s="25"/>
      <c r="C2780" s="25"/>
      <c r="D2780" s="25"/>
      <c r="E2780" s="25"/>
      <c r="F2780" s="25"/>
      <c r="G2780" s="25"/>
      <c r="H2780" s="25"/>
      <c r="I2780" s="25"/>
    </row>
    <row r="2781" spans="1:9" ht="18" customHeight="1" x14ac:dyDescent="0.2">
      <c r="A2781" s="25"/>
      <c r="B2781" s="25"/>
      <c r="C2781" s="25"/>
      <c r="D2781" s="25"/>
      <c r="E2781" s="25"/>
      <c r="F2781" s="25"/>
      <c r="G2781" s="25"/>
      <c r="H2781" s="25"/>
      <c r="I2781" s="25"/>
    </row>
    <row r="2782" spans="1:9" ht="18" customHeight="1" x14ac:dyDescent="0.2">
      <c r="A2782" s="25"/>
      <c r="B2782" s="25"/>
      <c r="C2782" s="25"/>
      <c r="D2782" s="25"/>
      <c r="E2782" s="25"/>
      <c r="F2782" s="25"/>
      <c r="G2782" s="25"/>
      <c r="H2782" s="25"/>
      <c r="I2782" s="25"/>
    </row>
    <row r="2783" spans="1:9" ht="18" customHeight="1" x14ac:dyDescent="0.2">
      <c r="A2783" s="25"/>
      <c r="B2783" s="25"/>
      <c r="C2783" s="25"/>
      <c r="D2783" s="25"/>
      <c r="E2783" s="25"/>
      <c r="F2783" s="25"/>
      <c r="G2783" s="25"/>
      <c r="H2783" s="25"/>
      <c r="I2783" s="25"/>
    </row>
    <row r="2784" spans="1:9" ht="18" customHeight="1" x14ac:dyDescent="0.2">
      <c r="A2784" s="25"/>
      <c r="B2784" s="25"/>
      <c r="C2784" s="25"/>
      <c r="D2784" s="25"/>
      <c r="E2784" s="25"/>
      <c r="F2784" s="25"/>
      <c r="G2784" s="25"/>
      <c r="H2784" s="25"/>
      <c r="I2784" s="25"/>
    </row>
    <row r="2785" spans="1:9" ht="18" customHeight="1" x14ac:dyDescent="0.2">
      <c r="A2785" s="25"/>
      <c r="B2785" s="25"/>
      <c r="C2785" s="25"/>
      <c r="D2785" s="25"/>
      <c r="E2785" s="25"/>
      <c r="F2785" s="25"/>
      <c r="G2785" s="25"/>
      <c r="H2785" s="25"/>
      <c r="I2785" s="25"/>
    </row>
    <row r="2786" spans="1:9" ht="18" customHeight="1" x14ac:dyDescent="0.2">
      <c r="A2786" s="25"/>
      <c r="B2786" s="25"/>
      <c r="C2786" s="25"/>
      <c r="D2786" s="25"/>
      <c r="E2786" s="25"/>
      <c r="F2786" s="25"/>
      <c r="G2786" s="25"/>
      <c r="H2786" s="25"/>
      <c r="I2786" s="25"/>
    </row>
    <row r="2787" spans="1:9" ht="18" customHeight="1" x14ac:dyDescent="0.2">
      <c r="A2787" s="25"/>
      <c r="B2787" s="25"/>
      <c r="C2787" s="25"/>
      <c r="D2787" s="25"/>
      <c r="E2787" s="25"/>
      <c r="F2787" s="25"/>
      <c r="G2787" s="25"/>
      <c r="H2787" s="25"/>
      <c r="I2787" s="25"/>
    </row>
    <row r="2788" spans="1:9" ht="18" customHeight="1" x14ac:dyDescent="0.2">
      <c r="A2788" s="25"/>
      <c r="B2788" s="25"/>
      <c r="C2788" s="25"/>
      <c r="D2788" s="25"/>
      <c r="E2788" s="25"/>
      <c r="F2788" s="25"/>
      <c r="G2788" s="25"/>
      <c r="H2788" s="25"/>
      <c r="I2788" s="25"/>
    </row>
    <row r="2789" spans="1:9" ht="18" customHeight="1" x14ac:dyDescent="0.2">
      <c r="A2789" s="25"/>
      <c r="B2789" s="25"/>
      <c r="C2789" s="25"/>
      <c r="D2789" s="25"/>
      <c r="E2789" s="25"/>
      <c r="F2789" s="25"/>
      <c r="G2789" s="25"/>
      <c r="H2789" s="25"/>
      <c r="I2789" s="25"/>
    </row>
    <row r="2790" spans="1:9" ht="18" customHeight="1" x14ac:dyDescent="0.2">
      <c r="A2790" s="25"/>
      <c r="B2790" s="25"/>
      <c r="C2790" s="25"/>
      <c r="D2790" s="25"/>
      <c r="E2790" s="25"/>
      <c r="F2790" s="25"/>
      <c r="G2790" s="25"/>
      <c r="H2790" s="25"/>
      <c r="I2790" s="25"/>
    </row>
    <row r="2791" spans="1:9" ht="18" customHeight="1" x14ac:dyDescent="0.2">
      <c r="A2791" s="25"/>
      <c r="B2791" s="25"/>
      <c r="C2791" s="25"/>
      <c r="D2791" s="25"/>
      <c r="E2791" s="25"/>
      <c r="F2791" s="25"/>
      <c r="G2791" s="25"/>
      <c r="H2791" s="25"/>
      <c r="I2791" s="25"/>
    </row>
    <row r="2792" spans="1:9" ht="18" customHeight="1" x14ac:dyDescent="0.2">
      <c r="A2792" s="25"/>
      <c r="B2792" s="25"/>
      <c r="C2792" s="25"/>
      <c r="D2792" s="25"/>
      <c r="E2792" s="25"/>
      <c r="F2792" s="25"/>
      <c r="G2792" s="25"/>
      <c r="H2792" s="25"/>
      <c r="I2792" s="25"/>
    </row>
    <row r="2793" spans="1:9" ht="18" customHeight="1" x14ac:dyDescent="0.2">
      <c r="A2793" s="25"/>
      <c r="B2793" s="25"/>
      <c r="C2793" s="25"/>
      <c r="D2793" s="25"/>
      <c r="E2793" s="25"/>
      <c r="F2793" s="25"/>
      <c r="G2793" s="25"/>
      <c r="H2793" s="25"/>
      <c r="I2793" s="25"/>
    </row>
    <row r="2794" spans="1:9" ht="18" customHeight="1" x14ac:dyDescent="0.2">
      <c r="A2794" s="25"/>
      <c r="B2794" s="25"/>
      <c r="C2794" s="25"/>
      <c r="D2794" s="25"/>
      <c r="E2794" s="25"/>
      <c r="F2794" s="25"/>
      <c r="G2794" s="25"/>
      <c r="H2794" s="25"/>
      <c r="I2794" s="25"/>
    </row>
    <row r="2795" spans="1:9" ht="18" customHeight="1" x14ac:dyDescent="0.2">
      <c r="A2795" s="25"/>
      <c r="B2795" s="25"/>
      <c r="C2795" s="25"/>
      <c r="D2795" s="25"/>
      <c r="E2795" s="25"/>
      <c r="F2795" s="25"/>
      <c r="G2795" s="25"/>
      <c r="H2795" s="25"/>
      <c r="I2795" s="25"/>
    </row>
    <row r="2796" spans="1:9" ht="18" customHeight="1" x14ac:dyDescent="0.2">
      <c r="A2796" s="25"/>
      <c r="B2796" s="25"/>
      <c r="C2796" s="25"/>
      <c r="D2796" s="25"/>
      <c r="E2796" s="25"/>
      <c r="F2796" s="25"/>
      <c r="G2796" s="25"/>
      <c r="H2796" s="25"/>
      <c r="I2796" s="25"/>
    </row>
    <row r="2797" spans="1:9" ht="18" customHeight="1" x14ac:dyDescent="0.2">
      <c r="A2797" s="25"/>
      <c r="B2797" s="25"/>
      <c r="C2797" s="25"/>
      <c r="D2797" s="25"/>
      <c r="E2797" s="25"/>
      <c r="F2797" s="25"/>
      <c r="G2797" s="25"/>
      <c r="H2797" s="25"/>
      <c r="I2797" s="25"/>
    </row>
    <row r="2798" spans="1:9" ht="18" customHeight="1" x14ac:dyDescent="0.2">
      <c r="A2798" s="25"/>
      <c r="B2798" s="25"/>
      <c r="C2798" s="25"/>
      <c r="D2798" s="25"/>
      <c r="E2798" s="25"/>
      <c r="F2798" s="25"/>
      <c r="G2798" s="25"/>
      <c r="H2798" s="25"/>
      <c r="I2798" s="25"/>
    </row>
    <row r="2799" spans="1:9" ht="18" customHeight="1" x14ac:dyDescent="0.2">
      <c r="A2799" s="25"/>
      <c r="B2799" s="25"/>
      <c r="C2799" s="25"/>
      <c r="D2799" s="25"/>
      <c r="E2799" s="25"/>
      <c r="F2799" s="25"/>
      <c r="G2799" s="25"/>
      <c r="H2799" s="25"/>
      <c r="I2799" s="25"/>
    </row>
    <row r="2800" spans="1:9" ht="18" customHeight="1" x14ac:dyDescent="0.2">
      <c r="A2800" s="25"/>
      <c r="B2800" s="25"/>
      <c r="C2800" s="25"/>
      <c r="D2800" s="25"/>
      <c r="E2800" s="25"/>
      <c r="F2800" s="25"/>
      <c r="G2800" s="25"/>
      <c r="H2800" s="25"/>
      <c r="I2800" s="25"/>
    </row>
    <row r="2801" spans="1:9" ht="18" customHeight="1" x14ac:dyDescent="0.2">
      <c r="A2801" s="25"/>
      <c r="B2801" s="25"/>
      <c r="C2801" s="25"/>
      <c r="D2801" s="25"/>
      <c r="E2801" s="25"/>
      <c r="F2801" s="25"/>
      <c r="G2801" s="25"/>
      <c r="H2801" s="25"/>
      <c r="I2801" s="25"/>
    </row>
    <row r="2802" spans="1:9" ht="18" customHeight="1" x14ac:dyDescent="0.2">
      <c r="A2802" s="25"/>
      <c r="B2802" s="25"/>
      <c r="C2802" s="25"/>
      <c r="D2802" s="25"/>
      <c r="E2802" s="25"/>
      <c r="F2802" s="25"/>
      <c r="G2802" s="25"/>
      <c r="H2802" s="25"/>
      <c r="I2802" s="25"/>
    </row>
    <row r="2803" spans="1:9" ht="18" customHeight="1" x14ac:dyDescent="0.2">
      <c r="A2803" s="25"/>
      <c r="B2803" s="25"/>
      <c r="C2803" s="25"/>
      <c r="D2803" s="25"/>
      <c r="E2803" s="25"/>
      <c r="F2803" s="25"/>
      <c r="G2803" s="25"/>
      <c r="H2803" s="25"/>
      <c r="I2803" s="25"/>
    </row>
    <row r="2804" spans="1:9" ht="18" customHeight="1" x14ac:dyDescent="0.2">
      <c r="A2804" s="25"/>
      <c r="B2804" s="25"/>
      <c r="C2804" s="25"/>
      <c r="D2804" s="25"/>
      <c r="E2804" s="25"/>
      <c r="F2804" s="25"/>
      <c r="G2804" s="25"/>
      <c r="H2804" s="25"/>
      <c r="I2804" s="25"/>
    </row>
    <row r="2805" spans="1:9" ht="18" customHeight="1" x14ac:dyDescent="0.2">
      <c r="A2805" s="25"/>
      <c r="B2805" s="25"/>
      <c r="C2805" s="25"/>
      <c r="D2805" s="25"/>
      <c r="E2805" s="25"/>
      <c r="F2805" s="25"/>
      <c r="G2805" s="25"/>
      <c r="H2805" s="25"/>
      <c r="I2805" s="25"/>
    </row>
    <row r="2806" spans="1:9" ht="18" customHeight="1" x14ac:dyDescent="0.2">
      <c r="A2806" s="25"/>
      <c r="B2806" s="25"/>
      <c r="C2806" s="25"/>
      <c r="D2806" s="25"/>
      <c r="E2806" s="25"/>
      <c r="F2806" s="25"/>
      <c r="G2806" s="25"/>
      <c r="H2806" s="25"/>
      <c r="I2806" s="25"/>
    </row>
    <row r="2807" spans="1:9" ht="18" customHeight="1" x14ac:dyDescent="0.2">
      <c r="A2807" s="25"/>
      <c r="B2807" s="25"/>
      <c r="C2807" s="25"/>
      <c r="D2807" s="25"/>
      <c r="E2807" s="25"/>
      <c r="F2807" s="25"/>
      <c r="G2807" s="25"/>
      <c r="H2807" s="25"/>
      <c r="I2807" s="25"/>
    </row>
    <row r="2808" spans="1:9" ht="18" customHeight="1" x14ac:dyDescent="0.2">
      <c r="A2808" s="25"/>
      <c r="B2808" s="25"/>
      <c r="C2808" s="25"/>
      <c r="D2808" s="25"/>
      <c r="E2808" s="25"/>
      <c r="F2808" s="25"/>
      <c r="G2808" s="25"/>
      <c r="H2808" s="25"/>
      <c r="I2808" s="25"/>
    </row>
    <row r="2809" spans="1:9" ht="18" customHeight="1" x14ac:dyDescent="0.2">
      <c r="A2809" s="25"/>
      <c r="B2809" s="25"/>
      <c r="C2809" s="25"/>
      <c r="D2809" s="25"/>
      <c r="E2809" s="25"/>
      <c r="F2809" s="25"/>
      <c r="G2809" s="25"/>
      <c r="H2809" s="25"/>
      <c r="I2809" s="25"/>
    </row>
    <row r="2810" spans="1:9" ht="18" customHeight="1" x14ac:dyDescent="0.2">
      <c r="A2810" s="25"/>
      <c r="B2810" s="25"/>
      <c r="C2810" s="25"/>
      <c r="D2810" s="25"/>
      <c r="E2810" s="25"/>
      <c r="F2810" s="25"/>
      <c r="G2810" s="25"/>
      <c r="H2810" s="25"/>
      <c r="I2810" s="25"/>
    </row>
    <row r="2811" spans="1:9" ht="18" customHeight="1" x14ac:dyDescent="0.2">
      <c r="A2811" s="25"/>
      <c r="B2811" s="25"/>
      <c r="C2811" s="25"/>
      <c r="D2811" s="25"/>
      <c r="E2811" s="25"/>
      <c r="F2811" s="25"/>
      <c r="G2811" s="25"/>
      <c r="H2811" s="25"/>
      <c r="I2811" s="25"/>
    </row>
    <row r="2812" spans="1:9" ht="18" customHeight="1" x14ac:dyDescent="0.2">
      <c r="A2812" s="25"/>
      <c r="B2812" s="25"/>
      <c r="C2812" s="25"/>
      <c r="D2812" s="25"/>
      <c r="E2812" s="25"/>
      <c r="F2812" s="25"/>
      <c r="G2812" s="25"/>
      <c r="H2812" s="25"/>
      <c r="I2812" s="25"/>
    </row>
    <row r="2813" spans="1:9" ht="18" customHeight="1" x14ac:dyDescent="0.2">
      <c r="A2813" s="25"/>
      <c r="B2813" s="25"/>
      <c r="C2813" s="25"/>
      <c r="D2813" s="25"/>
      <c r="E2813" s="25"/>
      <c r="F2813" s="25"/>
      <c r="G2813" s="25"/>
      <c r="H2813" s="25"/>
      <c r="I2813" s="25"/>
    </row>
    <row r="2814" spans="1:9" ht="18" customHeight="1" x14ac:dyDescent="0.2">
      <c r="A2814" s="25"/>
      <c r="B2814" s="25"/>
      <c r="C2814" s="25"/>
      <c r="D2814" s="25"/>
      <c r="E2814" s="25"/>
      <c r="F2814" s="25"/>
      <c r="G2814" s="25"/>
      <c r="H2814" s="25"/>
      <c r="I2814" s="25"/>
    </row>
    <row r="2815" spans="1:9" ht="18" customHeight="1" x14ac:dyDescent="0.2">
      <c r="A2815" s="25"/>
      <c r="B2815" s="25"/>
      <c r="C2815" s="25"/>
      <c r="D2815" s="25"/>
      <c r="E2815" s="25"/>
      <c r="F2815" s="25"/>
      <c r="G2815" s="25"/>
      <c r="H2815" s="25"/>
      <c r="I2815" s="25"/>
    </row>
    <row r="2816" spans="1:9" ht="18" customHeight="1" x14ac:dyDescent="0.2">
      <c r="A2816" s="25"/>
      <c r="B2816" s="25"/>
      <c r="C2816" s="25"/>
      <c r="D2816" s="25"/>
      <c r="E2816" s="25"/>
      <c r="F2816" s="25"/>
      <c r="G2816" s="25"/>
      <c r="H2816" s="25"/>
      <c r="I2816" s="25"/>
    </row>
    <row r="2817" spans="1:9" ht="18" customHeight="1" x14ac:dyDescent="0.2">
      <c r="A2817" s="25"/>
      <c r="B2817" s="25"/>
      <c r="C2817" s="25"/>
      <c r="D2817" s="25"/>
      <c r="E2817" s="25"/>
      <c r="F2817" s="25"/>
      <c r="G2817" s="25"/>
      <c r="H2817" s="25"/>
      <c r="I2817" s="25"/>
    </row>
    <row r="2818" spans="1:9" ht="18" customHeight="1" x14ac:dyDescent="0.2">
      <c r="A2818" s="25"/>
      <c r="B2818" s="25"/>
      <c r="C2818" s="25"/>
      <c r="D2818" s="25"/>
      <c r="E2818" s="25"/>
      <c r="F2818" s="25"/>
      <c r="G2818" s="25"/>
      <c r="H2818" s="25"/>
      <c r="I2818" s="25"/>
    </row>
    <row r="2819" spans="1:9" ht="18" customHeight="1" x14ac:dyDescent="0.2">
      <c r="A2819" s="25"/>
      <c r="B2819" s="25"/>
      <c r="C2819" s="25"/>
      <c r="D2819" s="25"/>
      <c r="E2819" s="25"/>
      <c r="F2819" s="25"/>
      <c r="G2819" s="25"/>
      <c r="H2819" s="25"/>
      <c r="I2819" s="25"/>
    </row>
    <row r="2820" spans="1:9" ht="18" customHeight="1" x14ac:dyDescent="0.2">
      <c r="A2820" s="25"/>
      <c r="B2820" s="25"/>
      <c r="C2820" s="25"/>
      <c r="D2820" s="25"/>
      <c r="E2820" s="25"/>
      <c r="F2820" s="25"/>
      <c r="G2820" s="25"/>
      <c r="H2820" s="25"/>
      <c r="I2820" s="25"/>
    </row>
    <row r="2821" spans="1:9" ht="18" customHeight="1" x14ac:dyDescent="0.2">
      <c r="A2821" s="25"/>
      <c r="B2821" s="25"/>
      <c r="C2821" s="25"/>
      <c r="D2821" s="25"/>
      <c r="E2821" s="25"/>
      <c r="F2821" s="25"/>
      <c r="G2821" s="25"/>
      <c r="H2821" s="25"/>
      <c r="I2821" s="25"/>
    </row>
    <row r="2822" spans="1:9" ht="18" customHeight="1" x14ac:dyDescent="0.2">
      <c r="A2822" s="25"/>
      <c r="B2822" s="25"/>
      <c r="C2822" s="25"/>
      <c r="D2822" s="25"/>
      <c r="E2822" s="25"/>
      <c r="F2822" s="25"/>
      <c r="G2822" s="25"/>
      <c r="H2822" s="25"/>
      <c r="I2822" s="25"/>
    </row>
    <row r="2823" spans="1:9" ht="18" customHeight="1" x14ac:dyDescent="0.2">
      <c r="A2823" s="25"/>
      <c r="B2823" s="25"/>
      <c r="C2823" s="25"/>
      <c r="D2823" s="25"/>
      <c r="E2823" s="25"/>
      <c r="F2823" s="25"/>
      <c r="G2823" s="25"/>
      <c r="H2823" s="25"/>
      <c r="I2823" s="25"/>
    </row>
    <row r="2824" spans="1:9" ht="18" customHeight="1" x14ac:dyDescent="0.2">
      <c r="A2824" s="25"/>
      <c r="B2824" s="25"/>
      <c r="C2824" s="25"/>
      <c r="D2824" s="25"/>
      <c r="E2824" s="25"/>
      <c r="F2824" s="25"/>
      <c r="G2824" s="25"/>
      <c r="H2824" s="25"/>
      <c r="I2824" s="25"/>
    </row>
    <row r="2825" spans="1:9" ht="18" customHeight="1" x14ac:dyDescent="0.2">
      <c r="A2825" s="25"/>
      <c r="B2825" s="25"/>
      <c r="C2825" s="25"/>
      <c r="D2825" s="25"/>
      <c r="E2825" s="25"/>
      <c r="F2825" s="25"/>
      <c r="G2825" s="25"/>
      <c r="H2825" s="25"/>
      <c r="I2825" s="25"/>
    </row>
    <row r="2826" spans="1:9" ht="18" customHeight="1" x14ac:dyDescent="0.2">
      <c r="A2826" s="25"/>
      <c r="B2826" s="25"/>
      <c r="C2826" s="25"/>
      <c r="D2826" s="25"/>
      <c r="E2826" s="25"/>
      <c r="F2826" s="25"/>
      <c r="G2826" s="25"/>
      <c r="H2826" s="25"/>
      <c r="I2826" s="25"/>
    </row>
    <row r="2827" spans="1:9" ht="18" customHeight="1" x14ac:dyDescent="0.2">
      <c r="A2827" s="25"/>
      <c r="B2827" s="25"/>
      <c r="C2827" s="25"/>
      <c r="D2827" s="25"/>
      <c r="E2827" s="25"/>
      <c r="F2827" s="25"/>
      <c r="G2827" s="25"/>
      <c r="H2827" s="25"/>
      <c r="I2827" s="25"/>
    </row>
    <row r="2828" spans="1:9" ht="18" customHeight="1" x14ac:dyDescent="0.2">
      <c r="A2828" s="25"/>
      <c r="B2828" s="25"/>
      <c r="C2828" s="25"/>
      <c r="D2828" s="25"/>
      <c r="E2828" s="25"/>
      <c r="F2828" s="25"/>
      <c r="G2828" s="25"/>
      <c r="H2828" s="25"/>
      <c r="I2828" s="25"/>
    </row>
    <row r="2829" spans="1:9" ht="18" customHeight="1" x14ac:dyDescent="0.2">
      <c r="A2829" s="25"/>
      <c r="B2829" s="25"/>
      <c r="C2829" s="25"/>
      <c r="D2829" s="25"/>
      <c r="E2829" s="25"/>
      <c r="F2829" s="25"/>
      <c r="G2829" s="25"/>
      <c r="H2829" s="25"/>
      <c r="I2829" s="25"/>
    </row>
    <row r="2830" spans="1:9" ht="18" customHeight="1" x14ac:dyDescent="0.2">
      <c r="A2830" s="25"/>
      <c r="B2830" s="25"/>
      <c r="C2830" s="25"/>
      <c r="D2830" s="25"/>
      <c r="E2830" s="25"/>
      <c r="F2830" s="25"/>
      <c r="G2830" s="25"/>
      <c r="H2830" s="25"/>
      <c r="I2830" s="25"/>
    </row>
    <row r="2831" spans="1:9" ht="18" customHeight="1" x14ac:dyDescent="0.2">
      <c r="A2831" s="25"/>
      <c r="B2831" s="25"/>
      <c r="C2831" s="25"/>
      <c r="D2831" s="25"/>
      <c r="E2831" s="25"/>
      <c r="F2831" s="25"/>
      <c r="G2831" s="25"/>
      <c r="H2831" s="25"/>
      <c r="I2831" s="25"/>
    </row>
    <row r="2832" spans="1:9" ht="18" customHeight="1" x14ac:dyDescent="0.2">
      <c r="A2832" s="25"/>
      <c r="B2832" s="25"/>
      <c r="C2832" s="25"/>
      <c r="D2832" s="25"/>
      <c r="E2832" s="25"/>
      <c r="F2832" s="25"/>
      <c r="G2832" s="25"/>
      <c r="H2832" s="25"/>
      <c r="I2832" s="25"/>
    </row>
    <row r="2833" spans="1:9" ht="18" customHeight="1" x14ac:dyDescent="0.2">
      <c r="A2833" s="25"/>
      <c r="B2833" s="25"/>
      <c r="C2833" s="25"/>
      <c r="D2833" s="25"/>
      <c r="E2833" s="25"/>
      <c r="F2833" s="25"/>
      <c r="G2833" s="25"/>
      <c r="H2833" s="25"/>
      <c r="I2833" s="25"/>
    </row>
    <row r="2834" spans="1:9" ht="18" customHeight="1" x14ac:dyDescent="0.2">
      <c r="A2834" s="25"/>
      <c r="B2834" s="25"/>
      <c r="C2834" s="25"/>
      <c r="D2834" s="25"/>
      <c r="E2834" s="25"/>
      <c r="F2834" s="25"/>
      <c r="G2834" s="25"/>
      <c r="H2834" s="25"/>
      <c r="I2834" s="25"/>
    </row>
    <row r="2835" spans="1:9" ht="18" customHeight="1" x14ac:dyDescent="0.2">
      <c r="A2835" s="25"/>
      <c r="B2835" s="25"/>
      <c r="C2835" s="25"/>
      <c r="D2835" s="25"/>
      <c r="E2835" s="25"/>
      <c r="F2835" s="25"/>
      <c r="G2835" s="25"/>
      <c r="H2835" s="25"/>
      <c r="I2835" s="25"/>
    </row>
    <row r="2836" spans="1:9" ht="18" customHeight="1" x14ac:dyDescent="0.2">
      <c r="A2836" s="25"/>
      <c r="B2836" s="25"/>
      <c r="C2836" s="25"/>
      <c r="D2836" s="25"/>
      <c r="E2836" s="25"/>
      <c r="F2836" s="25"/>
      <c r="G2836" s="25"/>
      <c r="H2836" s="25"/>
      <c r="I2836" s="25"/>
    </row>
    <row r="2837" spans="1:9" ht="18" customHeight="1" x14ac:dyDescent="0.2">
      <c r="A2837" s="25"/>
      <c r="B2837" s="25"/>
      <c r="C2837" s="25"/>
      <c r="D2837" s="25"/>
      <c r="E2837" s="25"/>
      <c r="F2837" s="25"/>
      <c r="G2837" s="25"/>
      <c r="H2837" s="25"/>
      <c r="I2837" s="25"/>
    </row>
    <row r="2838" spans="1:9" ht="18" customHeight="1" x14ac:dyDescent="0.2">
      <c r="A2838" s="25"/>
      <c r="B2838" s="25"/>
      <c r="C2838" s="25"/>
      <c r="D2838" s="25"/>
      <c r="E2838" s="25"/>
      <c r="F2838" s="25"/>
      <c r="G2838" s="25"/>
      <c r="H2838" s="25"/>
      <c r="I2838" s="25"/>
    </row>
    <row r="2839" spans="1:9" ht="18" customHeight="1" x14ac:dyDescent="0.2">
      <c r="A2839" s="25"/>
      <c r="B2839" s="25"/>
      <c r="C2839" s="25"/>
      <c r="D2839" s="25"/>
      <c r="E2839" s="25"/>
      <c r="F2839" s="25"/>
      <c r="G2839" s="25"/>
      <c r="H2839" s="25"/>
      <c r="I2839" s="25"/>
    </row>
    <row r="2840" spans="1:9" ht="18" customHeight="1" x14ac:dyDescent="0.2">
      <c r="A2840" s="25"/>
      <c r="B2840" s="25"/>
      <c r="C2840" s="25"/>
      <c r="D2840" s="25"/>
      <c r="E2840" s="25"/>
      <c r="F2840" s="25"/>
      <c r="G2840" s="25"/>
      <c r="H2840" s="25"/>
      <c r="I2840" s="25"/>
    </row>
    <row r="2841" spans="1:9" ht="18" customHeight="1" x14ac:dyDescent="0.2">
      <c r="A2841" s="25"/>
      <c r="B2841" s="25"/>
      <c r="C2841" s="25"/>
      <c r="D2841" s="25"/>
      <c r="E2841" s="25"/>
      <c r="F2841" s="25"/>
      <c r="G2841" s="25"/>
      <c r="H2841" s="25"/>
      <c r="I2841" s="25"/>
    </row>
    <row r="2842" spans="1:9" ht="18" customHeight="1" x14ac:dyDescent="0.2">
      <c r="A2842" s="25"/>
      <c r="B2842" s="25"/>
      <c r="C2842" s="25"/>
      <c r="D2842" s="25"/>
      <c r="E2842" s="25"/>
      <c r="F2842" s="25"/>
      <c r="G2842" s="25"/>
      <c r="H2842" s="25"/>
      <c r="I2842" s="25"/>
    </row>
    <row r="2843" spans="1:9" ht="18" customHeight="1" x14ac:dyDescent="0.2">
      <c r="A2843" s="25"/>
      <c r="B2843" s="25"/>
      <c r="C2843" s="25"/>
      <c r="D2843" s="25"/>
      <c r="E2843" s="25"/>
      <c r="F2843" s="25"/>
      <c r="G2843" s="25"/>
      <c r="H2843" s="25"/>
      <c r="I2843" s="25"/>
    </row>
    <row r="2844" spans="1:9" ht="18" customHeight="1" x14ac:dyDescent="0.2">
      <c r="A2844" s="25"/>
      <c r="B2844" s="25"/>
      <c r="C2844" s="25"/>
      <c r="D2844" s="25"/>
      <c r="E2844" s="25"/>
      <c r="F2844" s="25"/>
      <c r="G2844" s="25"/>
      <c r="H2844" s="25"/>
      <c r="I2844" s="25"/>
    </row>
    <row r="2845" spans="1:9" ht="18" customHeight="1" x14ac:dyDescent="0.2">
      <c r="A2845" s="25"/>
      <c r="B2845" s="25"/>
      <c r="C2845" s="25"/>
      <c r="D2845" s="25"/>
      <c r="E2845" s="25"/>
      <c r="F2845" s="25"/>
      <c r="G2845" s="25"/>
      <c r="H2845" s="25"/>
      <c r="I2845" s="25"/>
    </row>
    <row r="2846" spans="1:9" ht="18" customHeight="1" x14ac:dyDescent="0.2">
      <c r="A2846" s="25"/>
      <c r="B2846" s="25"/>
      <c r="C2846" s="25"/>
      <c r="D2846" s="25"/>
      <c r="E2846" s="25"/>
      <c r="F2846" s="25"/>
      <c r="G2846" s="25"/>
      <c r="H2846" s="25"/>
      <c r="I2846" s="25"/>
    </row>
    <row r="2847" spans="1:9" ht="18" customHeight="1" x14ac:dyDescent="0.2">
      <c r="A2847" s="25"/>
      <c r="B2847" s="25"/>
      <c r="C2847" s="25"/>
      <c r="D2847" s="25"/>
      <c r="E2847" s="25"/>
      <c r="F2847" s="25"/>
      <c r="G2847" s="25"/>
      <c r="H2847" s="25"/>
      <c r="I2847" s="25"/>
    </row>
    <row r="2848" spans="1:9" ht="18" customHeight="1" x14ac:dyDescent="0.2">
      <c r="A2848" s="25"/>
      <c r="B2848" s="25"/>
      <c r="C2848" s="25"/>
      <c r="D2848" s="25"/>
      <c r="E2848" s="25"/>
      <c r="F2848" s="25"/>
      <c r="G2848" s="25"/>
      <c r="H2848" s="25"/>
      <c r="I2848" s="25"/>
    </row>
    <row r="2849" spans="1:9" ht="18" customHeight="1" x14ac:dyDescent="0.2">
      <c r="A2849" s="25"/>
      <c r="B2849" s="25"/>
      <c r="C2849" s="25"/>
      <c r="D2849" s="25"/>
      <c r="E2849" s="25"/>
      <c r="F2849" s="25"/>
      <c r="G2849" s="25"/>
      <c r="H2849" s="25"/>
      <c r="I2849" s="25"/>
    </row>
    <row r="2850" spans="1:9" ht="18" customHeight="1" x14ac:dyDescent="0.2">
      <c r="A2850" s="25"/>
      <c r="B2850" s="25"/>
      <c r="C2850" s="25"/>
      <c r="D2850" s="25"/>
      <c r="E2850" s="25"/>
      <c r="F2850" s="25"/>
      <c r="G2850" s="25"/>
      <c r="H2850" s="25"/>
      <c r="I2850" s="25"/>
    </row>
    <row r="2851" spans="1:9" ht="18" customHeight="1" x14ac:dyDescent="0.2">
      <c r="A2851" s="25"/>
      <c r="B2851" s="25"/>
      <c r="C2851" s="25"/>
      <c r="D2851" s="25"/>
      <c r="E2851" s="25"/>
      <c r="F2851" s="25"/>
      <c r="G2851" s="25"/>
      <c r="H2851" s="25"/>
      <c r="I2851" s="25"/>
    </row>
    <row r="2852" spans="1:9" ht="18" customHeight="1" x14ac:dyDescent="0.2">
      <c r="A2852" s="25"/>
      <c r="B2852" s="25"/>
      <c r="C2852" s="25"/>
      <c r="D2852" s="25"/>
      <c r="E2852" s="25"/>
      <c r="F2852" s="25"/>
      <c r="G2852" s="25"/>
      <c r="H2852" s="25"/>
      <c r="I2852" s="25"/>
    </row>
    <row r="2853" spans="1:9" ht="18" customHeight="1" x14ac:dyDescent="0.2">
      <c r="A2853" s="25"/>
      <c r="B2853" s="25"/>
      <c r="C2853" s="25"/>
      <c r="D2853" s="25"/>
      <c r="E2853" s="25"/>
      <c r="F2853" s="25"/>
      <c r="G2853" s="25"/>
      <c r="H2853" s="25"/>
      <c r="I2853" s="25"/>
    </row>
    <row r="2854" spans="1:9" ht="18" customHeight="1" x14ac:dyDescent="0.2">
      <c r="A2854" s="25"/>
      <c r="B2854" s="25"/>
      <c r="C2854" s="25"/>
      <c r="D2854" s="25"/>
      <c r="E2854" s="25"/>
      <c r="F2854" s="25"/>
      <c r="G2854" s="25"/>
      <c r="H2854" s="25"/>
      <c r="I2854" s="25"/>
    </row>
    <row r="2855" spans="1:9" ht="18" customHeight="1" x14ac:dyDescent="0.2">
      <c r="A2855" s="25"/>
      <c r="B2855" s="25"/>
      <c r="C2855" s="25"/>
      <c r="D2855" s="25"/>
      <c r="E2855" s="25"/>
      <c r="F2855" s="25"/>
      <c r="G2855" s="25"/>
      <c r="H2855" s="25"/>
      <c r="I2855" s="25"/>
    </row>
    <row r="2856" spans="1:9" ht="18" customHeight="1" x14ac:dyDescent="0.2">
      <c r="A2856" s="25"/>
      <c r="B2856" s="25"/>
      <c r="C2856" s="25"/>
      <c r="D2856" s="25"/>
      <c r="E2856" s="25"/>
      <c r="F2856" s="25"/>
      <c r="G2856" s="25"/>
      <c r="H2856" s="25"/>
      <c r="I2856" s="25"/>
    </row>
    <row r="2857" spans="1:9" ht="18" customHeight="1" x14ac:dyDescent="0.2">
      <c r="A2857" s="25"/>
      <c r="B2857" s="25"/>
      <c r="C2857" s="25"/>
      <c r="D2857" s="25"/>
      <c r="E2857" s="25"/>
      <c r="F2857" s="25"/>
      <c r="G2857" s="25"/>
      <c r="H2857" s="25"/>
      <c r="I2857" s="25"/>
    </row>
    <row r="2858" spans="1:9" ht="18" customHeight="1" x14ac:dyDescent="0.2">
      <c r="A2858" s="25"/>
      <c r="B2858" s="25"/>
      <c r="C2858" s="25"/>
      <c r="D2858" s="25"/>
      <c r="E2858" s="25"/>
      <c r="F2858" s="25"/>
      <c r="G2858" s="25"/>
      <c r="H2858" s="25"/>
      <c r="I2858" s="25"/>
    </row>
    <row r="2859" spans="1:9" ht="18" customHeight="1" x14ac:dyDescent="0.2">
      <c r="A2859" s="25"/>
      <c r="B2859" s="25"/>
      <c r="C2859" s="25"/>
      <c r="D2859" s="25"/>
      <c r="E2859" s="25"/>
      <c r="F2859" s="25"/>
      <c r="G2859" s="25"/>
      <c r="H2859" s="25"/>
      <c r="I2859" s="25"/>
    </row>
    <row r="2860" spans="1:9" ht="18" customHeight="1" x14ac:dyDescent="0.2">
      <c r="A2860" s="25"/>
      <c r="B2860" s="25"/>
      <c r="C2860" s="25"/>
      <c r="D2860" s="25"/>
      <c r="E2860" s="25"/>
      <c r="F2860" s="25"/>
      <c r="G2860" s="25"/>
      <c r="H2860" s="25"/>
      <c r="I2860" s="25"/>
    </row>
    <row r="2861" spans="1:9" ht="18" customHeight="1" x14ac:dyDescent="0.2">
      <c r="A2861" s="25"/>
      <c r="B2861" s="25"/>
      <c r="C2861" s="25"/>
      <c r="D2861" s="25"/>
      <c r="E2861" s="25"/>
      <c r="F2861" s="25"/>
      <c r="G2861" s="25"/>
      <c r="H2861" s="25"/>
      <c r="I2861" s="25"/>
    </row>
    <row r="2862" spans="1:9" ht="18" customHeight="1" x14ac:dyDescent="0.2">
      <c r="A2862" s="25"/>
      <c r="B2862" s="25"/>
      <c r="C2862" s="25"/>
      <c r="D2862" s="25"/>
      <c r="E2862" s="25"/>
      <c r="F2862" s="25"/>
      <c r="G2862" s="25"/>
      <c r="H2862" s="25"/>
      <c r="I2862" s="25"/>
    </row>
    <row r="2863" spans="1:9" ht="18" customHeight="1" x14ac:dyDescent="0.2">
      <c r="A2863" s="25"/>
      <c r="B2863" s="25"/>
      <c r="C2863" s="25"/>
      <c r="D2863" s="25"/>
      <c r="E2863" s="25"/>
      <c r="F2863" s="25"/>
      <c r="G2863" s="25"/>
      <c r="H2863" s="25"/>
      <c r="I2863" s="25"/>
    </row>
    <row r="2864" spans="1:9" ht="18" customHeight="1" x14ac:dyDescent="0.2">
      <c r="A2864" s="25"/>
      <c r="B2864" s="25"/>
      <c r="C2864" s="25"/>
      <c r="D2864" s="25"/>
      <c r="E2864" s="25"/>
      <c r="F2864" s="25"/>
      <c r="G2864" s="25"/>
      <c r="H2864" s="25"/>
      <c r="I2864" s="25"/>
    </row>
    <row r="2865" spans="1:9" ht="18" customHeight="1" x14ac:dyDescent="0.2">
      <c r="A2865" s="25"/>
      <c r="B2865" s="25"/>
      <c r="C2865" s="25"/>
      <c r="D2865" s="25"/>
      <c r="E2865" s="25"/>
      <c r="F2865" s="25"/>
      <c r="G2865" s="25"/>
      <c r="H2865" s="25"/>
      <c r="I2865" s="25"/>
    </row>
    <row r="2866" spans="1:9" ht="18" customHeight="1" x14ac:dyDescent="0.2">
      <c r="A2866" s="25"/>
      <c r="B2866" s="25"/>
      <c r="C2866" s="25"/>
      <c r="D2866" s="25"/>
      <c r="E2866" s="25"/>
      <c r="F2866" s="25"/>
      <c r="G2866" s="25"/>
      <c r="H2866" s="25"/>
      <c r="I2866" s="25"/>
    </row>
    <row r="2867" spans="1:9" ht="18" customHeight="1" x14ac:dyDescent="0.2">
      <c r="A2867" s="25"/>
      <c r="B2867" s="25"/>
      <c r="C2867" s="25"/>
      <c r="D2867" s="25"/>
      <c r="E2867" s="25"/>
      <c r="F2867" s="25"/>
      <c r="G2867" s="25"/>
      <c r="H2867" s="25"/>
      <c r="I2867" s="25"/>
    </row>
    <row r="2868" spans="1:9" ht="18" customHeight="1" x14ac:dyDescent="0.2">
      <c r="A2868" s="25"/>
      <c r="B2868" s="25"/>
      <c r="C2868" s="25"/>
      <c r="D2868" s="25"/>
      <c r="E2868" s="25"/>
      <c r="F2868" s="25"/>
      <c r="G2868" s="25"/>
      <c r="H2868" s="25"/>
      <c r="I2868" s="25"/>
    </row>
    <row r="2869" spans="1:9" ht="18" customHeight="1" x14ac:dyDescent="0.2">
      <c r="A2869" s="25"/>
      <c r="B2869" s="25"/>
      <c r="C2869" s="25"/>
      <c r="D2869" s="25"/>
      <c r="E2869" s="25"/>
      <c r="F2869" s="25"/>
      <c r="G2869" s="25"/>
      <c r="H2869" s="25"/>
      <c r="I2869" s="25"/>
    </row>
    <row r="2870" spans="1:9" ht="18" customHeight="1" x14ac:dyDescent="0.2">
      <c r="A2870" s="25"/>
      <c r="B2870" s="25"/>
      <c r="C2870" s="25"/>
      <c r="D2870" s="25"/>
      <c r="E2870" s="25"/>
      <c r="F2870" s="25"/>
      <c r="G2870" s="25"/>
      <c r="H2870" s="25"/>
      <c r="I2870" s="25"/>
    </row>
    <row r="2871" spans="1:9" ht="18" customHeight="1" x14ac:dyDescent="0.2">
      <c r="A2871" s="25"/>
      <c r="B2871" s="25"/>
      <c r="C2871" s="25"/>
      <c r="D2871" s="25"/>
      <c r="E2871" s="25"/>
      <c r="F2871" s="25"/>
      <c r="G2871" s="25"/>
      <c r="H2871" s="25"/>
      <c r="I2871" s="25"/>
    </row>
    <row r="2872" spans="1:9" ht="18" customHeight="1" x14ac:dyDescent="0.2">
      <c r="A2872" s="25"/>
      <c r="B2872" s="25"/>
      <c r="C2872" s="25"/>
      <c r="D2872" s="25"/>
      <c r="E2872" s="25"/>
      <c r="F2872" s="25"/>
      <c r="G2872" s="25"/>
      <c r="H2872" s="25"/>
      <c r="I2872" s="25"/>
    </row>
    <row r="2873" spans="1:9" ht="18" customHeight="1" x14ac:dyDescent="0.2">
      <c r="A2873" s="25"/>
      <c r="B2873" s="25"/>
      <c r="C2873" s="25"/>
      <c r="D2873" s="25"/>
      <c r="E2873" s="25"/>
      <c r="F2873" s="25"/>
      <c r="G2873" s="25"/>
      <c r="H2873" s="25"/>
      <c r="I2873" s="25"/>
    </row>
    <row r="2874" spans="1:9" ht="18" customHeight="1" x14ac:dyDescent="0.2">
      <c r="A2874" s="25"/>
      <c r="B2874" s="25"/>
      <c r="C2874" s="25"/>
      <c r="D2874" s="25"/>
      <c r="E2874" s="25"/>
      <c r="F2874" s="25"/>
      <c r="G2874" s="25"/>
      <c r="H2874" s="25"/>
      <c r="I2874" s="25"/>
    </row>
    <row r="2875" spans="1:9" ht="18" customHeight="1" x14ac:dyDescent="0.2">
      <c r="A2875" s="25"/>
      <c r="B2875" s="25"/>
      <c r="C2875" s="25"/>
      <c r="D2875" s="25"/>
      <c r="E2875" s="25"/>
      <c r="F2875" s="25"/>
      <c r="G2875" s="25"/>
      <c r="H2875" s="25"/>
      <c r="I2875" s="25"/>
    </row>
    <row r="2876" spans="1:9" ht="18" customHeight="1" x14ac:dyDescent="0.2">
      <c r="A2876" s="25"/>
      <c r="B2876" s="25"/>
      <c r="C2876" s="25"/>
      <c r="D2876" s="25"/>
      <c r="E2876" s="25"/>
      <c r="F2876" s="25"/>
      <c r="G2876" s="25"/>
      <c r="H2876" s="25"/>
      <c r="I2876" s="25"/>
    </row>
    <row r="2877" spans="1:9" ht="18" customHeight="1" x14ac:dyDescent="0.2">
      <c r="A2877" s="25"/>
      <c r="B2877" s="25"/>
      <c r="C2877" s="25"/>
      <c r="D2877" s="25"/>
      <c r="E2877" s="25"/>
      <c r="F2877" s="25"/>
      <c r="G2877" s="25"/>
      <c r="H2877" s="25"/>
      <c r="I2877" s="25"/>
    </row>
    <row r="2878" spans="1:9" ht="18" customHeight="1" x14ac:dyDescent="0.2">
      <c r="A2878" s="25"/>
      <c r="B2878" s="25"/>
      <c r="C2878" s="25"/>
      <c r="D2878" s="25"/>
      <c r="E2878" s="25"/>
      <c r="F2878" s="25"/>
      <c r="G2878" s="25"/>
      <c r="H2878" s="25"/>
      <c r="I2878" s="25"/>
    </row>
    <row r="2879" spans="1:9" ht="18" customHeight="1" x14ac:dyDescent="0.2">
      <c r="A2879" s="25"/>
      <c r="B2879" s="25"/>
      <c r="C2879" s="25"/>
      <c r="D2879" s="25"/>
      <c r="E2879" s="25"/>
      <c r="F2879" s="25"/>
      <c r="G2879" s="25"/>
      <c r="H2879" s="25"/>
      <c r="I2879" s="25"/>
    </row>
    <row r="2880" spans="1:9" ht="18" customHeight="1" x14ac:dyDescent="0.2">
      <c r="A2880" s="25"/>
      <c r="B2880" s="25"/>
      <c r="C2880" s="25"/>
      <c r="D2880" s="25"/>
      <c r="E2880" s="25"/>
      <c r="F2880" s="25"/>
      <c r="G2880" s="25"/>
      <c r="H2880" s="25"/>
      <c r="I2880" s="25"/>
    </row>
    <row r="2881" spans="1:9" ht="18" customHeight="1" x14ac:dyDescent="0.2">
      <c r="A2881" s="25"/>
      <c r="B2881" s="25"/>
      <c r="C2881" s="25"/>
      <c r="D2881" s="25"/>
      <c r="E2881" s="25"/>
      <c r="F2881" s="25"/>
      <c r="G2881" s="25"/>
      <c r="H2881" s="25"/>
      <c r="I2881" s="25"/>
    </row>
    <row r="2882" spans="1:9" ht="18" customHeight="1" x14ac:dyDescent="0.2">
      <c r="A2882" s="25"/>
      <c r="B2882" s="25"/>
      <c r="C2882" s="25"/>
      <c r="D2882" s="25"/>
      <c r="E2882" s="25"/>
      <c r="F2882" s="25"/>
      <c r="G2882" s="25"/>
      <c r="H2882" s="25"/>
      <c r="I2882" s="25"/>
    </row>
    <row r="2883" spans="1:9" ht="18" customHeight="1" x14ac:dyDescent="0.2">
      <c r="A2883" s="25"/>
      <c r="B2883" s="25"/>
      <c r="C2883" s="25"/>
      <c r="D2883" s="25"/>
      <c r="E2883" s="25"/>
      <c r="F2883" s="25"/>
      <c r="G2883" s="25"/>
      <c r="H2883" s="25"/>
      <c r="I2883" s="25"/>
    </row>
    <row r="2884" spans="1:9" ht="18" customHeight="1" x14ac:dyDescent="0.2">
      <c r="A2884" s="25"/>
      <c r="B2884" s="25"/>
      <c r="C2884" s="25"/>
      <c r="D2884" s="25"/>
      <c r="E2884" s="25"/>
      <c r="F2884" s="25"/>
      <c r="G2884" s="25"/>
      <c r="H2884" s="25"/>
      <c r="I2884" s="25"/>
    </row>
    <row r="2885" spans="1:9" ht="18" customHeight="1" x14ac:dyDescent="0.2">
      <c r="A2885" s="25"/>
      <c r="B2885" s="25"/>
      <c r="C2885" s="25"/>
      <c r="D2885" s="25"/>
      <c r="E2885" s="25"/>
      <c r="F2885" s="25"/>
      <c r="G2885" s="25"/>
      <c r="H2885" s="25"/>
      <c r="I2885" s="25"/>
    </row>
  </sheetData>
  <autoFilter ref="A11:J19" xr:uid="{65D8C5BF-3550-4BFF-9A45-16D06CC6111C}"/>
  <mergeCells count="144">
    <mergeCell ref="A2207:L2207"/>
    <mergeCell ref="A2068:L2068"/>
    <mergeCell ref="A2096:L2096"/>
    <mergeCell ref="A2115:L2115"/>
    <mergeCell ref="A2125:L2125"/>
    <mergeCell ref="A2140:L2140"/>
    <mergeCell ref="A2187:L2187"/>
    <mergeCell ref="A2198:L2198"/>
    <mergeCell ref="A1851:L1851"/>
    <mergeCell ref="A1894:L1894"/>
    <mergeCell ref="A1912:L1912"/>
    <mergeCell ref="A1956:L1956"/>
    <mergeCell ref="A1957:L1957"/>
    <mergeCell ref="A1968:L1968"/>
    <mergeCell ref="A1983:L1983"/>
    <mergeCell ref="A2014:L2014"/>
    <mergeCell ref="A2035:L2035"/>
    <mergeCell ref="A1750:L1750"/>
    <mergeCell ref="A1759:L1759"/>
    <mergeCell ref="A1773:L1773"/>
    <mergeCell ref="A1774:L1774"/>
    <mergeCell ref="A1784:L1784"/>
    <mergeCell ref="A1803:L1803"/>
    <mergeCell ref="A1822:L1822"/>
    <mergeCell ref="A1832:L1832"/>
    <mergeCell ref="A1711:L1711"/>
    <mergeCell ref="A1712:L1712"/>
    <mergeCell ref="A1719:L1719"/>
    <mergeCell ref="A1729:L1729"/>
    <mergeCell ref="A1739:L1739"/>
    <mergeCell ref="A1745:L1745"/>
    <mergeCell ref="E2:H2"/>
    <mergeCell ref="E3:H3"/>
    <mergeCell ref="E4:H4"/>
    <mergeCell ref="E5:H5"/>
    <mergeCell ref="F7:H7"/>
    <mergeCell ref="A1234:L1234"/>
    <mergeCell ref="A1250:L1250"/>
    <mergeCell ref="A1263:L1263"/>
    <mergeCell ref="A1205:L1205"/>
    <mergeCell ref="A605:L605"/>
    <mergeCell ref="A613:L613"/>
    <mergeCell ref="A665:L665"/>
    <mergeCell ref="A750:L750"/>
    <mergeCell ref="A751:L751"/>
    <mergeCell ref="A783:L783"/>
    <mergeCell ref="A807:L807"/>
    <mergeCell ref="A821:L821"/>
    <mergeCell ref="A830:L830"/>
    <mergeCell ref="A955:L955"/>
    <mergeCell ref="A944:L944"/>
    <mergeCell ref="A862:L862"/>
    <mergeCell ref="A917:L917"/>
    <mergeCell ref="A935:L935"/>
    <mergeCell ref="A1097:L1097"/>
    <mergeCell ref="K11:K12"/>
    <mergeCell ref="L11:L12"/>
    <mergeCell ref="A14:L14"/>
    <mergeCell ref="A32:L32"/>
    <mergeCell ref="G11:G12"/>
    <mergeCell ref="I11:I12"/>
    <mergeCell ref="J11:J12"/>
    <mergeCell ref="A1218:L1218"/>
    <mergeCell ref="A1219:L1219"/>
    <mergeCell ref="A838:L838"/>
    <mergeCell ref="A1102:L1102"/>
    <mergeCell ref="A1103:L1103"/>
    <mergeCell ref="A1132:L1132"/>
    <mergeCell ref="A1179:L1179"/>
    <mergeCell ref="A1078:L1078"/>
    <mergeCell ref="A1069:L1069"/>
    <mergeCell ref="A1053:L1053"/>
    <mergeCell ref="A1037:L1037"/>
    <mergeCell ref="A1023:L1023"/>
    <mergeCell ref="A1003:L1003"/>
    <mergeCell ref="A990:L990"/>
    <mergeCell ref="A981:L981"/>
    <mergeCell ref="A863:L863"/>
    <mergeCell ref="A131:L131"/>
    <mergeCell ref="F8:H9"/>
    <mergeCell ref="B11:B12"/>
    <mergeCell ref="H11:H12"/>
    <mergeCell ref="A5:C5"/>
    <mergeCell ref="A6:C6"/>
    <mergeCell ref="A7:C7"/>
    <mergeCell ref="A8:C8"/>
    <mergeCell ref="A9:C9"/>
    <mergeCell ref="A11:A12"/>
    <mergeCell ref="C11:C12"/>
    <mergeCell ref="D11:D12"/>
    <mergeCell ref="E11:E12"/>
    <mergeCell ref="F11:F12"/>
    <mergeCell ref="A169:L169"/>
    <mergeCell ref="A13:L13"/>
    <mergeCell ref="A196:L196"/>
    <mergeCell ref="A197:L197"/>
    <mergeCell ref="A84:L84"/>
    <mergeCell ref="A95:L95"/>
    <mergeCell ref="A125:L125"/>
    <mergeCell ref="A51:L51"/>
    <mergeCell ref="A57:L57"/>
    <mergeCell ref="A64:L64"/>
    <mergeCell ref="A69:L69"/>
    <mergeCell ref="A78:L78"/>
    <mergeCell ref="A151:L151"/>
    <mergeCell ref="A291:L291"/>
    <mergeCell ref="A224:L224"/>
    <mergeCell ref="A235:L235"/>
    <mergeCell ref="A258:L258"/>
    <mergeCell ref="A272:L272"/>
    <mergeCell ref="A290:L290"/>
    <mergeCell ref="A1166:L1166"/>
    <mergeCell ref="A1175:L1175"/>
    <mergeCell ref="A1211:L1211"/>
    <mergeCell ref="A580:L580"/>
    <mergeCell ref="A589:L589"/>
    <mergeCell ref="A370:L370"/>
    <mergeCell ref="A604:L604"/>
    <mergeCell ref="A298:L298"/>
    <mergeCell ref="A321:L321"/>
    <mergeCell ref="A334:L334"/>
    <mergeCell ref="A350:L350"/>
    <mergeCell ref="A1185:L1185"/>
    <mergeCell ref="A1153:L1153"/>
    <mergeCell ref="A1159:L1159"/>
    <mergeCell ref="A1553:L1553"/>
    <mergeCell ref="A1523:L1523"/>
    <mergeCell ref="A1504:L1504"/>
    <mergeCell ref="A1505:L1505"/>
    <mergeCell ref="A1293:L1293"/>
    <mergeCell ref="A1323:L1323"/>
    <mergeCell ref="A1335:L1335"/>
    <mergeCell ref="A1351:L1351"/>
    <mergeCell ref="A1438:L1438"/>
    <mergeCell ref="A1454:L1454"/>
    <mergeCell ref="A1708:L1708"/>
    <mergeCell ref="A1702:L1702"/>
    <mergeCell ref="A1696:L1696"/>
    <mergeCell ref="A1670:L1670"/>
    <mergeCell ref="A1636:L1636"/>
    <mergeCell ref="A1628:L1628"/>
    <mergeCell ref="A1623:L1623"/>
    <mergeCell ref="A1615:L1615"/>
    <mergeCell ref="A1559:L1559"/>
  </mergeCells>
  <phoneticPr fontId="1" type="noConversion"/>
  <pageMargins left="0.25" right="0.25" top="0.75" bottom="0.75" header="0.3" footer="0.3"/>
  <pageSetup paperSize="9" orientation="portrait" r:id="rId1"/>
  <cellWatches>
    <cellWatch r="E32"/>
    <cellWatch r="F32"/>
    <cellWatch r="I32"/>
    <cellWatch r="A51"/>
    <cellWatch r="C51"/>
    <cellWatch r="D51"/>
    <cellWatch r="E51"/>
    <cellWatch r="F51"/>
    <cellWatch r="I51"/>
    <cellWatch r="A52"/>
    <cellWatch r="C52"/>
    <cellWatch r="D52"/>
    <cellWatch r="E52"/>
    <cellWatch r="F52"/>
    <cellWatch r="I52"/>
    <cellWatch r="A53"/>
    <cellWatch r="C53"/>
    <cellWatch r="D53"/>
    <cellWatch r="E53"/>
    <cellWatch r="F53"/>
    <cellWatch r="I53"/>
    <cellWatch r="A57"/>
    <cellWatch r="C57"/>
    <cellWatch r="D57"/>
    <cellWatch r="E57"/>
    <cellWatch r="F57"/>
    <cellWatch r="I57"/>
  </cellWatch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AA0CB-E593-47D4-B9A2-F23C8751F12E}">
  <sheetPr codeName="Feuil2"/>
  <dimension ref="A2:AI107"/>
  <sheetViews>
    <sheetView zoomScaleNormal="100" workbookViewId="0">
      <selection activeCell="N30" sqref="N30"/>
    </sheetView>
  </sheetViews>
  <sheetFormatPr baseColWidth="10" defaultRowHeight="15" x14ac:dyDescent="0.25"/>
  <cols>
    <col min="2" max="2" width="15.7109375" customWidth="1"/>
    <col min="3" max="30" width="7.7109375" customWidth="1"/>
  </cols>
  <sheetData>
    <row r="2" spans="2:35" x14ac:dyDescent="0.25">
      <c r="B2" t="s">
        <v>4204</v>
      </c>
      <c r="C2">
        <v>1.05</v>
      </c>
      <c r="G2" t="s">
        <v>4208</v>
      </c>
      <c r="R2" t="s">
        <v>4241</v>
      </c>
      <c r="T2" t="s">
        <v>4242</v>
      </c>
    </row>
    <row r="3" spans="2:35" x14ac:dyDescent="0.25">
      <c r="B3" t="s">
        <v>4205</v>
      </c>
      <c r="C3">
        <v>1.1000000000000001</v>
      </c>
      <c r="G3" t="s">
        <v>4239</v>
      </c>
    </row>
    <row r="7" spans="2:35" x14ac:dyDescent="0.25">
      <c r="B7" s="85" t="s">
        <v>4209</v>
      </c>
      <c r="C7" s="191">
        <v>60</v>
      </c>
      <c r="D7" s="191"/>
      <c r="E7" t="s">
        <v>4206</v>
      </c>
      <c r="AH7" t="s">
        <v>4228</v>
      </c>
      <c r="AI7" t="s">
        <v>4229</v>
      </c>
    </row>
    <row r="8" spans="2:35" ht="19.5" x14ac:dyDescent="0.25">
      <c r="B8" s="92" t="s">
        <v>4207</v>
      </c>
      <c r="C8" s="196">
        <v>0.25</v>
      </c>
      <c r="D8" s="196"/>
      <c r="E8" s="197">
        <v>0.375</v>
      </c>
      <c r="F8" s="198"/>
      <c r="G8" s="197" t="str">
        <f>"1/2"</f>
        <v>1/2</v>
      </c>
      <c r="H8" s="198"/>
      <c r="I8" s="197" t="str">
        <f>"5/8"</f>
        <v>5/8</v>
      </c>
      <c r="J8" s="198"/>
      <c r="K8" s="197" t="str">
        <f>"3/4"</f>
        <v>3/4</v>
      </c>
      <c r="L8" s="198"/>
      <c r="M8" s="197" t="str">
        <f>"7/8"</f>
        <v>7/8</v>
      </c>
      <c r="N8" s="198"/>
      <c r="O8" s="197" t="s">
        <v>3901</v>
      </c>
      <c r="P8" s="198"/>
      <c r="Q8" s="197" t="s">
        <v>3902</v>
      </c>
      <c r="R8" s="198"/>
      <c r="S8" s="197" t="s">
        <v>3903</v>
      </c>
      <c r="T8" s="198"/>
      <c r="U8" s="197" t="s">
        <v>3904</v>
      </c>
      <c r="V8" s="198"/>
      <c r="W8" s="197" t="s">
        <v>3905</v>
      </c>
      <c r="X8" s="198"/>
      <c r="Y8" s="197" t="s">
        <v>3906</v>
      </c>
      <c r="Z8" s="198"/>
      <c r="AA8" s="197" t="s">
        <v>3907</v>
      </c>
      <c r="AB8" s="198"/>
      <c r="AC8" s="197" t="s">
        <v>3908</v>
      </c>
      <c r="AD8" s="198"/>
      <c r="AG8" t="s">
        <v>676</v>
      </c>
      <c r="AH8">
        <f>C9*0.04+E9*0.04+G9*0.08+I9*0.08+K9*0.117+M9*0.156+O9*0.235+Q9*0.313+S9*0.469+U9*0.783+W9*1.017+Y9*1.329+AA9*1.956+AC9*2.5</f>
        <v>0</v>
      </c>
      <c r="AI8">
        <f>AH8/35</f>
        <v>0</v>
      </c>
    </row>
    <row r="9" spans="2:35" x14ac:dyDescent="0.25">
      <c r="B9" s="90" t="s">
        <v>4210</v>
      </c>
      <c r="C9" s="181"/>
      <c r="D9" s="181"/>
      <c r="E9" s="182"/>
      <c r="F9" s="183"/>
      <c r="G9" s="182"/>
      <c r="H9" s="183"/>
      <c r="I9" s="182"/>
      <c r="J9" s="183"/>
      <c r="K9" s="182"/>
      <c r="L9" s="183"/>
      <c r="M9" s="182"/>
      <c r="N9" s="183"/>
      <c r="O9" s="182"/>
      <c r="P9" s="183"/>
      <c r="Q9" s="182"/>
      <c r="R9" s="183"/>
      <c r="S9" s="182"/>
      <c r="T9" s="183"/>
      <c r="U9" s="182"/>
      <c r="V9" s="183"/>
      <c r="W9" s="182"/>
      <c r="X9" s="183"/>
      <c r="Y9" s="182"/>
      <c r="Z9" s="183"/>
      <c r="AA9" s="182"/>
      <c r="AB9" s="183"/>
      <c r="AC9" s="182"/>
      <c r="AD9" s="183"/>
    </row>
    <row r="10" spans="2:35" x14ac:dyDescent="0.25">
      <c r="B10" s="90" t="s">
        <v>4211</v>
      </c>
      <c r="C10" s="185">
        <f>ROUNDUP(0.3*C9,0)</f>
        <v>0</v>
      </c>
      <c r="D10" s="185"/>
      <c r="E10" s="185">
        <f>ROUNDUP(0.3*E9,0)</f>
        <v>0</v>
      </c>
      <c r="F10" s="185"/>
      <c r="G10" s="185">
        <f t="shared" ref="G10" si="0">ROUNDUP(0.3*G9,0)</f>
        <v>0</v>
      </c>
      <c r="H10" s="185"/>
      <c r="I10" s="185">
        <f t="shared" ref="I10" si="1">ROUNDUP(0.3*I9,0)</f>
        <v>0</v>
      </c>
      <c r="J10" s="185"/>
      <c r="K10" s="185">
        <f t="shared" ref="K10" si="2">ROUNDUP(0.3*K9,0)</f>
        <v>0</v>
      </c>
      <c r="L10" s="185"/>
      <c r="M10" s="185">
        <f t="shared" ref="M10" si="3">ROUNDUP(0.3*M9,0)</f>
        <v>0</v>
      </c>
      <c r="N10" s="185"/>
      <c r="O10" s="185">
        <f>ROUNDUP(0.2*O9,0)</f>
        <v>0</v>
      </c>
      <c r="P10" s="185"/>
      <c r="Q10" s="185">
        <f t="shared" ref="Q10" si="4">ROUNDUP(0.2*Q9,0)</f>
        <v>0</v>
      </c>
      <c r="R10" s="185"/>
      <c r="S10" s="185">
        <f t="shared" ref="S10" si="5">ROUNDUP(0.2*S9,0)</f>
        <v>0</v>
      </c>
      <c r="T10" s="185"/>
      <c r="U10" s="185">
        <f t="shared" ref="U10" si="6">ROUNDUP(0.2*U9,0)</f>
        <v>0</v>
      </c>
      <c r="V10" s="185"/>
      <c r="W10" s="185">
        <f t="shared" ref="W10" si="7">ROUNDUP(0.2*W9,0)</f>
        <v>0</v>
      </c>
      <c r="X10" s="185"/>
      <c r="Y10" s="185">
        <f t="shared" ref="Y10" si="8">ROUNDUP(0.2*Y9,0)</f>
        <v>0</v>
      </c>
      <c r="Z10" s="185"/>
      <c r="AA10" s="185">
        <f t="shared" ref="AA10" si="9">ROUNDUP(0.2*AA9,0)</f>
        <v>0</v>
      </c>
      <c r="AB10" s="185"/>
      <c r="AC10" s="185">
        <f t="shared" ref="AC10" si="10">ROUNDUP(0.2*AC9,0)</f>
        <v>0</v>
      </c>
      <c r="AD10" s="185"/>
    </row>
    <row r="11" spans="2:35" x14ac:dyDescent="0.25">
      <c r="B11" s="90" t="s">
        <v>4212</v>
      </c>
      <c r="C11" s="185">
        <f>ROUNDUP(0.3*C9,0)</f>
        <v>0</v>
      </c>
      <c r="D11" s="185"/>
      <c r="E11" s="185">
        <f t="shared" ref="E11" si="11">ROUNDUP(0.3*E9,0)</f>
        <v>0</v>
      </c>
      <c r="F11" s="185"/>
      <c r="G11" s="185">
        <f t="shared" ref="G11" si="12">ROUNDUP(0.3*G9,0)</f>
        <v>0</v>
      </c>
      <c r="H11" s="185"/>
      <c r="I11" s="185">
        <f t="shared" ref="I11" si="13">ROUNDUP(0.3*I9,0)</f>
        <v>0</v>
      </c>
      <c r="J11" s="185"/>
      <c r="K11" s="185">
        <f t="shared" ref="K11" si="14">ROUNDUP(0.3*K9,0)</f>
        <v>0</v>
      </c>
      <c r="L11" s="185"/>
      <c r="M11" s="185">
        <f t="shared" ref="M11" si="15">ROUNDUP(0.3*M9,0)</f>
        <v>0</v>
      </c>
      <c r="N11" s="185"/>
      <c r="O11" s="185">
        <f>ROUNDUP(0.2*O9,0)</f>
        <v>0</v>
      </c>
      <c r="P11" s="185"/>
      <c r="Q11" s="185">
        <f t="shared" ref="Q11" si="16">ROUNDUP(0.2*Q9,0)</f>
        <v>0</v>
      </c>
      <c r="R11" s="185"/>
      <c r="S11" s="185">
        <f t="shared" ref="S11" si="17">ROUNDUP(0.2*S9,0)</f>
        <v>0</v>
      </c>
      <c r="T11" s="185"/>
      <c r="U11" s="186">
        <f t="shared" ref="U11:AC11" si="18">ROUNDUP(0.2*U9,0)</f>
        <v>0</v>
      </c>
      <c r="V11" s="187"/>
      <c r="W11" s="186">
        <f t="shared" si="18"/>
        <v>0</v>
      </c>
      <c r="X11" s="187"/>
      <c r="Y11" s="186">
        <f t="shared" si="18"/>
        <v>0</v>
      </c>
      <c r="Z11" s="187"/>
      <c r="AA11" s="186">
        <f t="shared" si="18"/>
        <v>0</v>
      </c>
      <c r="AB11" s="187"/>
      <c r="AC11" s="186">
        <f t="shared" si="18"/>
        <v>0</v>
      </c>
      <c r="AD11" s="187"/>
    </row>
    <row r="12" spans="2:35" x14ac:dyDescent="0.25">
      <c r="B12" s="90" t="s">
        <v>4213</v>
      </c>
      <c r="C12" s="185"/>
      <c r="D12" s="185"/>
      <c r="E12" s="186"/>
      <c r="F12" s="187"/>
      <c r="G12" s="186"/>
      <c r="H12" s="187"/>
      <c r="I12" s="186"/>
      <c r="J12" s="187"/>
      <c r="K12" s="186"/>
      <c r="L12" s="187"/>
      <c r="M12" s="186"/>
      <c r="N12" s="187"/>
      <c r="O12" s="186"/>
      <c r="P12" s="187"/>
      <c r="Q12" s="186"/>
      <c r="R12" s="187"/>
      <c r="S12" s="186"/>
      <c r="T12" s="187"/>
      <c r="U12" s="186"/>
      <c r="V12" s="187"/>
      <c r="W12" s="186"/>
      <c r="X12" s="187"/>
      <c r="Y12" s="186"/>
      <c r="Z12" s="187"/>
      <c r="AA12" s="186"/>
      <c r="AB12" s="187"/>
      <c r="AC12" s="186"/>
      <c r="AD12" s="187"/>
    </row>
    <row r="13" spans="2:35" x14ac:dyDescent="0.25">
      <c r="B13" s="90" t="s">
        <v>4214</v>
      </c>
      <c r="C13" s="185">
        <f>ROUNDUP(0.25*C9,0)</f>
        <v>0</v>
      </c>
      <c r="D13" s="185"/>
      <c r="E13" s="185">
        <f t="shared" ref="E13" si="19">ROUNDUP(0.25*E9,0)</f>
        <v>0</v>
      </c>
      <c r="F13" s="185"/>
      <c r="G13" s="185">
        <f t="shared" ref="G13" si="20">ROUNDUP(0.25*G9,0)</f>
        <v>0</v>
      </c>
      <c r="H13" s="185"/>
      <c r="I13" s="185">
        <f t="shared" ref="I13" si="21">ROUNDUP(0.25*I9,0)</f>
        <v>0</v>
      </c>
      <c r="J13" s="185"/>
      <c r="K13" s="185">
        <f>ROUNDUP(0.25*K9,0)</f>
        <v>0</v>
      </c>
      <c r="L13" s="185"/>
      <c r="M13" s="185">
        <f t="shared" ref="M13" si="22">ROUNDUP(0.25*M9,0)</f>
        <v>0</v>
      </c>
      <c r="N13" s="185"/>
      <c r="O13" s="185">
        <f t="shared" ref="O13" si="23">ROUNDUP(0.25*O9,0)</f>
        <v>0</v>
      </c>
      <c r="P13" s="185"/>
      <c r="Q13" s="185">
        <f t="shared" ref="Q13" si="24">ROUNDUP(0.25*Q9,0)</f>
        <v>0</v>
      </c>
      <c r="R13" s="185"/>
      <c r="S13" s="185">
        <f t="shared" ref="S13" si="25">ROUNDUP(0.25*S9,0)</f>
        <v>0</v>
      </c>
      <c r="T13" s="185"/>
      <c r="U13" s="185">
        <f t="shared" ref="U13" si="26">ROUNDUP(0.25*U9,0)</f>
        <v>0</v>
      </c>
      <c r="V13" s="185"/>
      <c r="W13" s="185">
        <f t="shared" ref="W13" si="27">ROUNDUP(0.25*W9,0)</f>
        <v>0</v>
      </c>
      <c r="X13" s="185"/>
      <c r="Y13" s="185">
        <f t="shared" ref="Y13" si="28">ROUNDUP(0.25*Y9,0)</f>
        <v>0</v>
      </c>
      <c r="Z13" s="185"/>
      <c r="AA13" s="185">
        <f t="shared" ref="AA13" si="29">ROUNDUP(0.25*AA9,0)</f>
        <v>0</v>
      </c>
      <c r="AB13" s="185"/>
      <c r="AC13" s="185">
        <f t="shared" ref="AC13" si="30">ROUNDUP(0.25*AC9,0)</f>
        <v>0</v>
      </c>
      <c r="AD13" s="185"/>
    </row>
    <row r="14" spans="2:35" x14ac:dyDescent="0.25">
      <c r="B14" s="90" t="s">
        <v>168</v>
      </c>
      <c r="C14" s="185">
        <f>ROUNDUP(0.25*C9,0)</f>
        <v>0</v>
      </c>
      <c r="D14" s="185"/>
      <c r="E14" s="185">
        <f t="shared" ref="E14" si="31">ROUNDUP(0.25*E9,0)</f>
        <v>0</v>
      </c>
      <c r="F14" s="185"/>
      <c r="G14" s="185">
        <f t="shared" ref="G14" si="32">ROUNDUP(0.25*G9,0)</f>
        <v>0</v>
      </c>
      <c r="H14" s="185"/>
      <c r="I14" s="185">
        <f t="shared" ref="I14" si="33">ROUNDUP(0.25*I9,0)</f>
        <v>0</v>
      </c>
      <c r="J14" s="185"/>
      <c r="K14" s="185">
        <f t="shared" ref="K14" si="34">ROUNDUP(0.25*K9,0)</f>
        <v>0</v>
      </c>
      <c r="L14" s="185"/>
      <c r="M14" s="185">
        <f t="shared" ref="M14" si="35">ROUNDUP(0.25*M9,0)</f>
        <v>0</v>
      </c>
      <c r="N14" s="185"/>
      <c r="O14" s="185">
        <f t="shared" ref="O14" si="36">ROUNDUP(0.25*O9,0)</f>
        <v>0</v>
      </c>
      <c r="P14" s="185"/>
      <c r="Q14" s="185">
        <f t="shared" ref="Q14" si="37">ROUNDUP(0.25*Q9,0)</f>
        <v>0</v>
      </c>
      <c r="R14" s="185"/>
      <c r="S14" s="185">
        <f t="shared" ref="S14" si="38">ROUNDUP(0.25*S9,0)</f>
        <v>0</v>
      </c>
      <c r="T14" s="185"/>
      <c r="U14" s="185">
        <f t="shared" ref="U14" si="39">ROUNDUP(0.25*U9,0)</f>
        <v>0</v>
      </c>
      <c r="V14" s="185"/>
      <c r="W14" s="185">
        <f t="shared" ref="W14" si="40">ROUNDUP(0.25*W9,0)</f>
        <v>0</v>
      </c>
      <c r="X14" s="185"/>
      <c r="Y14" s="185">
        <f t="shared" ref="Y14" si="41">ROUNDUP(0.25*Y9,0)</f>
        <v>0</v>
      </c>
      <c r="Z14" s="185"/>
      <c r="AA14" s="185">
        <f t="shared" ref="AA14" si="42">ROUNDUP(0.25*AA9,0)</f>
        <v>0</v>
      </c>
      <c r="AB14" s="185"/>
      <c r="AC14" s="185">
        <f t="shared" ref="AC14" si="43">ROUNDUP(0.25*AC9,0)</f>
        <v>0</v>
      </c>
      <c r="AD14" s="185"/>
    </row>
    <row r="15" spans="2:35" x14ac:dyDescent="0.25">
      <c r="B15" s="90" t="s">
        <v>167</v>
      </c>
      <c r="C15" s="181"/>
      <c r="D15" s="181"/>
      <c r="E15" s="182"/>
      <c r="F15" s="183"/>
      <c r="G15" s="182"/>
      <c r="H15" s="183"/>
      <c r="I15" s="182"/>
      <c r="J15" s="183"/>
      <c r="K15" s="182"/>
      <c r="L15" s="183"/>
      <c r="M15" s="182"/>
      <c r="N15" s="183"/>
      <c r="O15" s="182"/>
      <c r="P15" s="183"/>
      <c r="Q15" s="182"/>
      <c r="R15" s="183"/>
      <c r="S15" s="182"/>
      <c r="T15" s="183"/>
      <c r="U15" s="182"/>
      <c r="V15" s="183"/>
      <c r="W15" s="182"/>
      <c r="X15" s="183"/>
      <c r="Y15" s="182"/>
      <c r="Z15" s="183"/>
      <c r="AA15" s="182"/>
      <c r="AB15" s="183"/>
      <c r="AC15" s="182"/>
      <c r="AD15" s="183"/>
    </row>
    <row r="16" spans="2:35" x14ac:dyDescent="0.25">
      <c r="B16" s="199" t="s">
        <v>3926</v>
      </c>
      <c r="C16" s="89"/>
      <c r="D16" s="89"/>
      <c r="E16" s="87">
        <v>0.25</v>
      </c>
      <c r="F16" s="88"/>
      <c r="G16" s="87">
        <v>0.25</v>
      </c>
      <c r="H16" s="88"/>
      <c r="I16" s="87">
        <v>0.25</v>
      </c>
      <c r="J16" s="88"/>
      <c r="K16" s="87">
        <v>0.375</v>
      </c>
      <c r="L16" s="88"/>
      <c r="M16" s="87">
        <v>0.375</v>
      </c>
      <c r="N16" s="88"/>
      <c r="O16" s="87" t="str">
        <f>"5/8"</f>
        <v>5/8</v>
      </c>
      <c r="P16" s="88"/>
      <c r="Q16" s="87" t="str">
        <f>"5/8"</f>
        <v>5/8</v>
      </c>
      <c r="R16" s="88"/>
      <c r="S16" s="87" t="str">
        <f>"5/8"</f>
        <v>5/8</v>
      </c>
      <c r="T16" s="88"/>
      <c r="U16" s="87" t="str">
        <f>"7/8"</f>
        <v>7/8</v>
      </c>
      <c r="V16" s="88"/>
      <c r="W16" s="87" t="s">
        <v>3901</v>
      </c>
      <c r="X16" s="88"/>
      <c r="Y16" s="87" t="s">
        <v>3902</v>
      </c>
      <c r="Z16" s="88"/>
      <c r="AA16" s="87" t="s">
        <v>3904</v>
      </c>
      <c r="AB16" s="88"/>
      <c r="AC16" s="87" t="s">
        <v>3904</v>
      </c>
      <c r="AD16" s="88"/>
    </row>
    <row r="17" spans="1:34" x14ac:dyDescent="0.25">
      <c r="B17" s="199"/>
      <c r="C17" s="89"/>
      <c r="D17" s="89"/>
      <c r="E17" s="89"/>
      <c r="F17" s="89"/>
      <c r="G17" s="87">
        <v>0.375</v>
      </c>
      <c r="H17" s="88"/>
      <c r="I17" s="87">
        <v>0.375</v>
      </c>
      <c r="J17" s="88"/>
      <c r="K17" s="87" t="str">
        <f>"1/2"</f>
        <v>1/2</v>
      </c>
      <c r="L17" s="88"/>
      <c r="M17" s="87" t="str">
        <f>"1/2"</f>
        <v>1/2</v>
      </c>
      <c r="N17" s="88"/>
      <c r="O17" s="87" t="str">
        <f>"3/4"</f>
        <v>3/4</v>
      </c>
      <c r="P17" s="88"/>
      <c r="Q17" s="87" t="str">
        <f>"7/8"</f>
        <v>7/8</v>
      </c>
      <c r="R17" s="88"/>
      <c r="S17" s="87" t="str">
        <f>"7/8"</f>
        <v>7/8</v>
      </c>
      <c r="T17" s="88"/>
      <c r="U17" s="87" t="s">
        <v>3901</v>
      </c>
      <c r="V17" s="88"/>
      <c r="W17" s="87" t="s">
        <v>3902</v>
      </c>
      <c r="X17" s="88"/>
      <c r="Y17" s="87" t="s">
        <v>3903</v>
      </c>
      <c r="Z17" s="88"/>
      <c r="AA17" s="87" t="s">
        <v>3905</v>
      </c>
      <c r="AB17" s="88"/>
      <c r="AC17" s="87" t="s">
        <v>3905</v>
      </c>
      <c r="AD17" s="88"/>
    </row>
    <row r="18" spans="1:34" x14ac:dyDescent="0.25">
      <c r="B18" s="199"/>
      <c r="C18" s="89"/>
      <c r="D18" s="89"/>
      <c r="E18" s="89"/>
      <c r="F18" s="89"/>
      <c r="G18" s="89"/>
      <c r="H18" s="89"/>
      <c r="I18" s="87" t="str">
        <f>"1/2"</f>
        <v>1/2</v>
      </c>
      <c r="J18" s="88"/>
      <c r="K18" s="87" t="str">
        <f>"5/8"</f>
        <v>5/8</v>
      </c>
      <c r="L18" s="88"/>
      <c r="M18" s="87" t="str">
        <f>"5/8"</f>
        <v>5/8</v>
      </c>
      <c r="N18" s="88"/>
      <c r="O18" s="87" t="str">
        <f>"7/8"</f>
        <v>7/8</v>
      </c>
      <c r="P18" s="88"/>
      <c r="Q18" s="87" t="s">
        <v>3901</v>
      </c>
      <c r="R18" s="88"/>
      <c r="S18" s="87" t="s">
        <v>3901</v>
      </c>
      <c r="T18" s="88"/>
      <c r="U18" s="87" t="s">
        <v>3902</v>
      </c>
      <c r="V18" s="88"/>
      <c r="W18" s="87" t="s">
        <v>3903</v>
      </c>
      <c r="X18" s="88"/>
      <c r="Y18" s="87" t="s">
        <v>3904</v>
      </c>
      <c r="Z18" s="88"/>
      <c r="AA18" s="87" t="s">
        <v>3906</v>
      </c>
      <c r="AB18" s="88"/>
      <c r="AC18" s="87" t="s">
        <v>3906</v>
      </c>
      <c r="AD18" s="88"/>
    </row>
    <row r="19" spans="1:34" x14ac:dyDescent="0.25">
      <c r="B19" s="19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7" t="str">
        <f>"3/4"</f>
        <v>3/4</v>
      </c>
      <c r="N19" s="88"/>
      <c r="O19" s="89"/>
      <c r="P19" s="89"/>
      <c r="Q19" s="89"/>
      <c r="R19" s="89"/>
      <c r="S19" s="87" t="s">
        <v>3902</v>
      </c>
      <c r="T19" s="88"/>
      <c r="U19" s="87" t="s">
        <v>3903</v>
      </c>
      <c r="V19" s="88"/>
      <c r="W19" s="87" t="s">
        <v>3904</v>
      </c>
      <c r="X19" s="88"/>
      <c r="Y19" s="87" t="s">
        <v>3905</v>
      </c>
      <c r="Z19" s="88"/>
      <c r="AA19" s="89"/>
      <c r="AB19" s="89"/>
      <c r="AC19" s="87" t="s">
        <v>3907</v>
      </c>
      <c r="AD19" s="88"/>
    </row>
    <row r="20" spans="1:34" x14ac:dyDescent="0.25">
      <c r="B20" s="91" t="s">
        <v>147</v>
      </c>
      <c r="C20" s="182"/>
      <c r="D20" s="183"/>
      <c r="E20" s="182"/>
      <c r="F20" s="183"/>
      <c r="G20" s="182"/>
      <c r="H20" s="183"/>
      <c r="I20" s="182"/>
      <c r="J20" s="183"/>
      <c r="K20" s="182"/>
      <c r="L20" s="183"/>
      <c r="M20" s="182"/>
      <c r="N20" s="183"/>
      <c r="O20" s="182"/>
      <c r="P20" s="183"/>
      <c r="Q20" s="182"/>
      <c r="R20" s="183"/>
      <c r="S20" s="182"/>
      <c r="T20" s="183"/>
      <c r="U20" s="182"/>
      <c r="V20" s="183"/>
      <c r="W20" s="182"/>
      <c r="X20" s="183"/>
      <c r="Y20" s="182"/>
      <c r="Z20" s="183"/>
      <c r="AA20" s="182"/>
      <c r="AB20" s="183"/>
      <c r="AC20" s="182"/>
      <c r="AD20" s="183"/>
    </row>
    <row r="21" spans="1:34" x14ac:dyDescent="0.25">
      <c r="B21" s="199" t="s">
        <v>148</v>
      </c>
      <c r="C21" s="89"/>
      <c r="D21" s="89"/>
      <c r="E21" s="87">
        <v>0.25</v>
      </c>
      <c r="F21" s="86"/>
      <c r="G21" s="87">
        <v>0.375</v>
      </c>
      <c r="H21" s="86"/>
      <c r="I21" s="87">
        <v>0.375</v>
      </c>
      <c r="J21" s="86"/>
      <c r="K21" s="87">
        <v>0.375</v>
      </c>
      <c r="L21" s="86"/>
      <c r="M21" s="87">
        <v>0.375</v>
      </c>
      <c r="N21" s="86"/>
      <c r="O21" s="87">
        <v>0.5</v>
      </c>
      <c r="P21" s="86"/>
      <c r="Q21" s="87">
        <v>0.625</v>
      </c>
      <c r="R21" s="86"/>
      <c r="S21" s="87">
        <v>0.875</v>
      </c>
      <c r="T21" s="86"/>
      <c r="U21" s="87" t="s">
        <v>3901</v>
      </c>
      <c r="V21" s="86"/>
      <c r="W21" s="87" t="s">
        <v>3901</v>
      </c>
      <c r="X21" s="86"/>
      <c r="Y21" s="87" t="s">
        <v>3904</v>
      </c>
      <c r="Z21" s="86"/>
      <c r="AA21" s="93"/>
      <c r="AB21" s="93"/>
      <c r="AC21" s="89"/>
      <c r="AD21" s="89"/>
    </row>
    <row r="22" spans="1:34" x14ac:dyDescent="0.25">
      <c r="B22" s="199"/>
      <c r="C22" s="89"/>
      <c r="D22" s="89"/>
      <c r="E22" s="87" t="str">
        <f>"1/2"</f>
        <v>1/2</v>
      </c>
      <c r="F22" s="86"/>
      <c r="G22" s="87" t="str">
        <f>"5/8"</f>
        <v>5/8</v>
      </c>
      <c r="H22" s="86"/>
      <c r="I22" s="87">
        <v>0.5</v>
      </c>
      <c r="J22" s="86"/>
      <c r="K22" s="87">
        <v>0.5</v>
      </c>
      <c r="L22" s="86"/>
      <c r="M22" s="87">
        <v>0.5</v>
      </c>
      <c r="N22" s="86"/>
      <c r="O22" s="87">
        <v>0.625</v>
      </c>
      <c r="P22" s="86"/>
      <c r="Q22" s="87">
        <v>0.875</v>
      </c>
      <c r="R22" s="86"/>
      <c r="S22" s="87" t="s">
        <v>3901</v>
      </c>
      <c r="T22" s="86"/>
      <c r="U22" s="87" t="s">
        <v>3902</v>
      </c>
      <c r="V22" s="86"/>
      <c r="W22" s="87" t="s">
        <v>3902</v>
      </c>
      <c r="X22" s="86"/>
      <c r="Y22" s="87" t="s">
        <v>3905</v>
      </c>
      <c r="Z22" s="86"/>
      <c r="AA22" s="93"/>
      <c r="AB22" s="93"/>
      <c r="AC22" s="89"/>
      <c r="AD22" s="89"/>
    </row>
    <row r="23" spans="1:34" x14ac:dyDescent="0.25">
      <c r="B23" s="199"/>
      <c r="C23" s="89"/>
      <c r="D23" s="89"/>
      <c r="E23" s="87" t="str">
        <f>"5/8"</f>
        <v>5/8</v>
      </c>
      <c r="F23" s="86"/>
      <c r="G23" s="89"/>
      <c r="H23" s="89"/>
      <c r="I23" s="87">
        <v>0.75</v>
      </c>
      <c r="J23" s="86"/>
      <c r="K23" s="87">
        <v>0.625</v>
      </c>
      <c r="L23" s="86"/>
      <c r="M23" s="87">
        <v>0.625</v>
      </c>
      <c r="N23" s="86"/>
      <c r="O23" s="87">
        <v>0.75</v>
      </c>
      <c r="P23" s="86"/>
      <c r="Q23" s="87" t="s">
        <v>3901</v>
      </c>
      <c r="R23" s="86"/>
      <c r="S23" s="87" t="s">
        <v>3902</v>
      </c>
      <c r="T23" s="86"/>
      <c r="U23" s="87" t="s">
        <v>3903</v>
      </c>
      <c r="V23" s="86"/>
      <c r="W23" s="87" t="s">
        <v>3903</v>
      </c>
      <c r="X23" s="86"/>
      <c r="Y23" s="93"/>
      <c r="Z23" s="93"/>
      <c r="AA23" s="93"/>
      <c r="AB23" s="93"/>
      <c r="AC23" s="89"/>
      <c r="AD23" s="89"/>
    </row>
    <row r="24" spans="1:34" x14ac:dyDescent="0.25">
      <c r="B24" s="199"/>
      <c r="C24" s="89"/>
      <c r="D24" s="89"/>
      <c r="E24" s="89"/>
      <c r="F24" s="89"/>
      <c r="G24" s="89"/>
      <c r="H24" s="89"/>
      <c r="I24" s="87">
        <v>0.875</v>
      </c>
      <c r="J24" s="86"/>
      <c r="K24" s="87">
        <v>0.875</v>
      </c>
      <c r="L24" s="86"/>
      <c r="M24" s="87">
        <v>0.75</v>
      </c>
      <c r="N24" s="86"/>
      <c r="O24" s="87">
        <v>0.875</v>
      </c>
      <c r="P24" s="86"/>
      <c r="Q24" s="89"/>
      <c r="R24" s="89"/>
      <c r="S24" s="89"/>
      <c r="T24" s="89"/>
      <c r="U24" s="89"/>
      <c r="V24" s="89"/>
      <c r="W24" s="87" t="s">
        <v>3904</v>
      </c>
      <c r="X24" s="86"/>
      <c r="Y24" s="93"/>
      <c r="Z24" s="93"/>
      <c r="AA24" s="93"/>
      <c r="AB24" s="93"/>
      <c r="AC24" s="89"/>
      <c r="AD24" s="89"/>
    </row>
    <row r="25" spans="1:34" x14ac:dyDescent="0.25">
      <c r="B25" s="19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7" t="s">
        <v>3901</v>
      </c>
      <c r="N25" s="86"/>
      <c r="O25" s="87" t="s">
        <v>3902</v>
      </c>
      <c r="P25" s="86"/>
      <c r="Q25" s="93"/>
      <c r="R25" s="93"/>
      <c r="S25" s="93"/>
      <c r="T25" s="93"/>
      <c r="U25" s="93"/>
      <c r="V25" s="89"/>
      <c r="W25" s="93"/>
      <c r="X25" s="93"/>
      <c r="Y25" s="93"/>
      <c r="Z25" s="93"/>
      <c r="AA25" s="93"/>
      <c r="AB25" s="93"/>
      <c r="AC25" s="89"/>
      <c r="AD25" s="89"/>
    </row>
    <row r="26" spans="1:34" x14ac:dyDescent="0.25">
      <c r="B26" s="91" t="s">
        <v>4216</v>
      </c>
      <c r="C26" s="181"/>
      <c r="D26" s="181"/>
      <c r="E26" s="182"/>
      <c r="F26" s="183"/>
      <c r="G26" s="182"/>
      <c r="H26" s="183"/>
      <c r="I26" s="182"/>
      <c r="J26" s="183"/>
      <c r="K26" s="179"/>
      <c r="L26" s="180"/>
      <c r="M26" s="179"/>
      <c r="N26" s="180"/>
      <c r="O26" s="179"/>
      <c r="P26" s="180"/>
      <c r="Q26" s="179"/>
      <c r="R26" s="180"/>
      <c r="S26" s="179"/>
      <c r="T26" s="180"/>
      <c r="U26" s="179"/>
      <c r="V26" s="180"/>
      <c r="W26" s="179"/>
      <c r="X26" s="180"/>
      <c r="Y26" s="179"/>
      <c r="Z26" s="180"/>
      <c r="AA26" s="179"/>
      <c r="AB26" s="180"/>
      <c r="AC26" s="179"/>
      <c r="AD26" s="180"/>
    </row>
    <row r="27" spans="1:34" x14ac:dyDescent="0.25">
      <c r="A27" t="s">
        <v>4218</v>
      </c>
      <c r="B27" s="91" t="s">
        <v>4215</v>
      </c>
      <c r="C27" s="181"/>
      <c r="D27" s="181"/>
      <c r="E27" s="182"/>
      <c r="F27" s="183"/>
      <c r="G27" s="182"/>
      <c r="H27" s="183"/>
      <c r="I27" s="182"/>
      <c r="J27" s="183"/>
      <c r="K27" s="179"/>
      <c r="L27" s="180"/>
      <c r="M27" s="179"/>
      <c r="N27" s="180"/>
      <c r="O27" s="179"/>
      <c r="P27" s="180"/>
      <c r="Q27" s="179"/>
      <c r="R27" s="180"/>
      <c r="S27" s="179"/>
      <c r="T27" s="180"/>
      <c r="U27" s="179"/>
      <c r="V27" s="180"/>
      <c r="W27" s="179"/>
      <c r="X27" s="180"/>
      <c r="Y27" s="179"/>
      <c r="Z27" s="180"/>
      <c r="AA27" s="179"/>
      <c r="AB27" s="180"/>
      <c r="AC27" s="179"/>
      <c r="AD27" s="180"/>
    </row>
    <row r="28" spans="1:34" x14ac:dyDescent="0.25">
      <c r="B28" s="91" t="s">
        <v>4217</v>
      </c>
      <c r="C28" s="181" t="s">
        <v>4230</v>
      </c>
      <c r="D28" s="181"/>
      <c r="E28" s="181" t="s">
        <v>4230</v>
      </c>
      <c r="F28" s="181"/>
      <c r="G28" s="181" t="s">
        <v>4230</v>
      </c>
      <c r="H28" s="181"/>
      <c r="I28" s="181" t="s">
        <v>4230</v>
      </c>
      <c r="J28" s="181"/>
      <c r="K28" s="181" t="s">
        <v>4230</v>
      </c>
      <c r="L28" s="181"/>
      <c r="M28" s="181" t="s">
        <v>4230</v>
      </c>
      <c r="N28" s="181"/>
      <c r="O28" s="181" t="s">
        <v>4230</v>
      </c>
      <c r="P28" s="181"/>
      <c r="Q28" s="181" t="s">
        <v>4240</v>
      </c>
      <c r="R28" s="181"/>
      <c r="S28" s="182" t="s">
        <v>4240</v>
      </c>
      <c r="T28" s="183"/>
      <c r="U28" s="182" t="s">
        <v>4240</v>
      </c>
      <c r="V28" s="183"/>
      <c r="W28" s="182" t="s">
        <v>4240</v>
      </c>
      <c r="X28" s="183"/>
      <c r="Y28" s="182" t="s">
        <v>4240</v>
      </c>
      <c r="Z28" s="183"/>
      <c r="AA28" s="182" t="s">
        <v>4240</v>
      </c>
      <c r="AB28" s="183"/>
      <c r="AC28" s="182" t="s">
        <v>4240</v>
      </c>
      <c r="AD28" s="183"/>
    </row>
    <row r="31" spans="1:34" x14ac:dyDescent="0.25">
      <c r="AG31" t="s">
        <v>4219</v>
      </c>
    </row>
    <row r="32" spans="1:34" x14ac:dyDescent="0.25">
      <c r="AH32" t="s">
        <v>4220</v>
      </c>
    </row>
    <row r="33" spans="2:35" x14ac:dyDescent="0.25">
      <c r="AH33" t="s">
        <v>4221</v>
      </c>
    </row>
    <row r="34" spans="2:35" x14ac:dyDescent="0.25">
      <c r="AH34" t="s">
        <v>4222</v>
      </c>
    </row>
    <row r="35" spans="2:35" x14ac:dyDescent="0.25">
      <c r="B35" s="85" t="s">
        <v>4209</v>
      </c>
      <c r="C35" s="191">
        <v>60</v>
      </c>
      <c r="D35" s="191"/>
      <c r="E35" t="s">
        <v>4206</v>
      </c>
      <c r="AH35" t="s">
        <v>4223</v>
      </c>
    </row>
    <row r="36" spans="2:35" ht="19.5" x14ac:dyDescent="0.25">
      <c r="B36" s="95" t="s">
        <v>4234</v>
      </c>
      <c r="C36" s="195">
        <v>0.25</v>
      </c>
      <c r="D36" s="195"/>
      <c r="E36" s="193">
        <v>0.375</v>
      </c>
      <c r="F36" s="194"/>
      <c r="G36" s="193" t="str">
        <f>"1/2"</f>
        <v>1/2</v>
      </c>
      <c r="H36" s="194"/>
      <c r="I36" s="193" t="str">
        <f>"5/8"</f>
        <v>5/8</v>
      </c>
      <c r="J36" s="194"/>
      <c r="K36" s="193" t="str">
        <f>"3/4"</f>
        <v>3/4</v>
      </c>
      <c r="L36" s="194"/>
      <c r="M36" s="193" t="str">
        <f>"7/8"</f>
        <v>7/8</v>
      </c>
      <c r="N36" s="194"/>
      <c r="O36" s="193" t="s">
        <v>3901</v>
      </c>
      <c r="P36" s="194"/>
      <c r="Q36" s="193" t="s">
        <v>3902</v>
      </c>
      <c r="R36" s="194"/>
      <c r="S36" s="193" t="s">
        <v>3903</v>
      </c>
      <c r="T36" s="194"/>
      <c r="U36" s="193" t="s">
        <v>3904</v>
      </c>
      <c r="V36" s="194"/>
      <c r="W36" s="193" t="s">
        <v>3905</v>
      </c>
      <c r="X36" s="194"/>
      <c r="Y36" s="193" t="s">
        <v>3906</v>
      </c>
      <c r="Z36" s="194"/>
      <c r="AA36" s="193" t="s">
        <v>3907</v>
      </c>
      <c r="AB36" s="194"/>
      <c r="AC36" s="193" t="s">
        <v>3908</v>
      </c>
      <c r="AD36" s="194"/>
    </row>
    <row r="37" spans="2:35" x14ac:dyDescent="0.25">
      <c r="B37" s="96" t="s">
        <v>4210</v>
      </c>
      <c r="C37" s="181"/>
      <c r="D37" s="181"/>
      <c r="E37" s="182"/>
      <c r="F37" s="183"/>
      <c r="G37" s="182"/>
      <c r="H37" s="183"/>
      <c r="I37" s="182"/>
      <c r="J37" s="183"/>
      <c r="K37" s="182"/>
      <c r="L37" s="183"/>
      <c r="M37" s="182"/>
      <c r="N37" s="183"/>
      <c r="O37" s="182"/>
      <c r="P37" s="183"/>
      <c r="Q37" s="182"/>
      <c r="R37" s="183"/>
      <c r="S37" s="182"/>
      <c r="T37" s="183"/>
      <c r="U37" s="182"/>
      <c r="V37" s="183"/>
      <c r="W37" s="182"/>
      <c r="X37" s="183"/>
      <c r="Y37" s="182"/>
      <c r="Z37" s="183"/>
      <c r="AA37" s="182"/>
      <c r="AB37" s="183"/>
      <c r="AC37" s="182"/>
      <c r="AD37" s="183"/>
      <c r="AH37" t="s">
        <v>4224</v>
      </c>
    </row>
    <row r="38" spans="2:35" x14ac:dyDescent="0.25">
      <c r="B38" s="96" t="s">
        <v>4211</v>
      </c>
      <c r="C38" s="185">
        <f>ROUNDUP(0.3*C37,0)</f>
        <v>0</v>
      </c>
      <c r="D38" s="185"/>
      <c r="E38" s="185">
        <f>ROUNDUP(0.3*E37,0)</f>
        <v>0</v>
      </c>
      <c r="F38" s="185"/>
      <c r="G38" s="185">
        <f t="shared" ref="G38" si="44">ROUNDUP(0.3*G37,0)</f>
        <v>0</v>
      </c>
      <c r="H38" s="185"/>
      <c r="I38" s="185">
        <f t="shared" ref="I38" si="45">ROUNDUP(0.3*I37,0)</f>
        <v>0</v>
      </c>
      <c r="J38" s="185"/>
      <c r="K38" s="185">
        <f t="shared" ref="K38" si="46">ROUNDUP(0.3*K37,0)</f>
        <v>0</v>
      </c>
      <c r="L38" s="185"/>
      <c r="M38" s="185">
        <f t="shared" ref="M38" si="47">ROUNDUP(0.3*M37,0)</f>
        <v>0</v>
      </c>
      <c r="N38" s="185"/>
      <c r="O38" s="185">
        <f>ROUNDUP(0.2*O37,0)</f>
        <v>0</v>
      </c>
      <c r="P38" s="185"/>
      <c r="Q38" s="185">
        <f t="shared" ref="Q38" si="48">ROUNDUP(0.2*Q37,0)</f>
        <v>0</v>
      </c>
      <c r="R38" s="185"/>
      <c r="S38" s="185">
        <f t="shared" ref="S38" si="49">ROUNDUP(0.2*S37,0)</f>
        <v>0</v>
      </c>
      <c r="T38" s="185"/>
      <c r="U38" s="185">
        <f t="shared" ref="U38" si="50">ROUNDUP(0.2*U37,0)</f>
        <v>0</v>
      </c>
      <c r="V38" s="185"/>
      <c r="W38" s="185">
        <f t="shared" ref="W38" si="51">ROUNDUP(0.2*W37,0)</f>
        <v>0</v>
      </c>
      <c r="X38" s="185"/>
      <c r="Y38" s="185">
        <f t="shared" ref="Y38" si="52">ROUNDUP(0.2*Y37,0)</f>
        <v>0</v>
      </c>
      <c r="Z38" s="185"/>
      <c r="AA38" s="185">
        <f t="shared" ref="AA38" si="53">ROUNDUP(0.2*AA37,0)</f>
        <v>0</v>
      </c>
      <c r="AB38" s="185"/>
      <c r="AC38" s="185">
        <f t="shared" ref="AC38" si="54">ROUNDUP(0.2*AC37,0)</f>
        <v>0</v>
      </c>
      <c r="AD38" s="185"/>
      <c r="AI38" t="s">
        <v>4225</v>
      </c>
    </row>
    <row r="39" spans="2:35" x14ac:dyDescent="0.25">
      <c r="B39" s="96" t="s">
        <v>4212</v>
      </c>
      <c r="C39" s="185">
        <f>ROUNDUP(0.3*C37,0)</f>
        <v>0</v>
      </c>
      <c r="D39" s="185"/>
      <c r="E39" s="185">
        <f t="shared" ref="E39" si="55">ROUNDUP(0.3*E37,0)</f>
        <v>0</v>
      </c>
      <c r="F39" s="185"/>
      <c r="G39" s="185">
        <f t="shared" ref="G39" si="56">ROUNDUP(0.3*G37,0)</f>
        <v>0</v>
      </c>
      <c r="H39" s="185"/>
      <c r="I39" s="185">
        <f t="shared" ref="I39" si="57">ROUNDUP(0.3*I37,0)</f>
        <v>0</v>
      </c>
      <c r="J39" s="185"/>
      <c r="K39" s="185">
        <f t="shared" ref="K39" si="58">ROUNDUP(0.3*K37,0)</f>
        <v>0</v>
      </c>
      <c r="L39" s="185"/>
      <c r="M39" s="185">
        <f t="shared" ref="M39" si="59">ROUNDUP(0.3*M37,0)</f>
        <v>0</v>
      </c>
      <c r="N39" s="185"/>
      <c r="O39" s="185">
        <f>ROUNDUP(0.2*O37,0)</f>
        <v>0</v>
      </c>
      <c r="P39" s="185"/>
      <c r="Q39" s="185">
        <f t="shared" ref="Q39" si="60">ROUNDUP(0.2*Q37,0)</f>
        <v>0</v>
      </c>
      <c r="R39" s="185"/>
      <c r="S39" s="185">
        <f t="shared" ref="S39" si="61">ROUNDUP(0.2*S37,0)</f>
        <v>0</v>
      </c>
      <c r="T39" s="185"/>
      <c r="U39" s="186">
        <f t="shared" ref="U39" si="62">ROUNDUP(0.2*U37,0)</f>
        <v>0</v>
      </c>
      <c r="V39" s="187"/>
      <c r="W39" s="186">
        <f t="shared" ref="W39" si="63">ROUNDUP(0.2*W37,0)</f>
        <v>0</v>
      </c>
      <c r="X39" s="187"/>
      <c r="Y39" s="186">
        <f t="shared" ref="Y39" si="64">ROUNDUP(0.2*Y37,0)</f>
        <v>0</v>
      </c>
      <c r="Z39" s="187"/>
      <c r="AA39" s="186">
        <f t="shared" ref="AA39" si="65">ROUNDUP(0.2*AA37,0)</f>
        <v>0</v>
      </c>
      <c r="AB39" s="187"/>
      <c r="AC39" s="186">
        <f t="shared" ref="AC39" si="66">ROUNDUP(0.2*AC37,0)</f>
        <v>0</v>
      </c>
      <c r="AD39" s="187"/>
      <c r="AI39" t="s">
        <v>4226</v>
      </c>
    </row>
    <row r="40" spans="2:35" x14ac:dyDescent="0.25">
      <c r="B40" s="96" t="s">
        <v>4213</v>
      </c>
      <c r="C40" s="185"/>
      <c r="D40" s="185"/>
      <c r="E40" s="186"/>
      <c r="F40" s="187"/>
      <c r="G40" s="186"/>
      <c r="H40" s="187"/>
      <c r="I40" s="186"/>
      <c r="J40" s="187"/>
      <c r="K40" s="186"/>
      <c r="L40" s="187"/>
      <c r="M40" s="186"/>
      <c r="N40" s="187"/>
      <c r="O40" s="186"/>
      <c r="P40" s="187"/>
      <c r="Q40" s="186"/>
      <c r="R40" s="187"/>
      <c r="S40" s="186"/>
      <c r="T40" s="187"/>
      <c r="U40" s="186"/>
      <c r="V40" s="187"/>
      <c r="W40" s="186"/>
      <c r="X40" s="187"/>
      <c r="Y40" s="186"/>
      <c r="Z40" s="187"/>
      <c r="AA40" s="186"/>
      <c r="AB40" s="187"/>
      <c r="AC40" s="186"/>
      <c r="AD40" s="187"/>
      <c r="AI40" t="s">
        <v>4227</v>
      </c>
    </row>
    <row r="41" spans="2:35" x14ac:dyDescent="0.25">
      <c r="B41" s="96" t="s">
        <v>4214</v>
      </c>
      <c r="C41" s="185">
        <f>ROUNDUP(0.25*C37,0)</f>
        <v>0</v>
      </c>
      <c r="D41" s="185"/>
      <c r="E41" s="185">
        <f t="shared" ref="E41" si="67">ROUNDUP(0.25*E37,0)</f>
        <v>0</v>
      </c>
      <c r="F41" s="185"/>
      <c r="G41" s="185">
        <f t="shared" ref="G41" si="68">ROUNDUP(0.25*G37,0)</f>
        <v>0</v>
      </c>
      <c r="H41" s="185"/>
      <c r="I41" s="185">
        <f t="shared" ref="I41" si="69">ROUNDUP(0.25*I37,0)</f>
        <v>0</v>
      </c>
      <c r="J41" s="185"/>
      <c r="K41" s="185">
        <f t="shared" ref="K41" si="70">ROUNDUP(0.25*K37,0)</f>
        <v>0</v>
      </c>
      <c r="L41" s="185"/>
      <c r="M41" s="185">
        <f t="shared" ref="M41" si="71">ROUNDUP(0.25*M37,0)</f>
        <v>0</v>
      </c>
      <c r="N41" s="185"/>
      <c r="O41" s="185">
        <f t="shared" ref="O41" si="72">ROUNDUP(0.25*O37,0)</f>
        <v>0</v>
      </c>
      <c r="P41" s="185"/>
      <c r="Q41" s="185">
        <f t="shared" ref="Q41" si="73">ROUNDUP(0.25*Q37,0)</f>
        <v>0</v>
      </c>
      <c r="R41" s="185"/>
      <c r="S41" s="185">
        <f t="shared" ref="S41" si="74">ROUNDUP(0.25*S37,0)</f>
        <v>0</v>
      </c>
      <c r="T41" s="185"/>
      <c r="U41" s="185">
        <f t="shared" ref="U41" si="75">ROUNDUP(0.25*U37,0)</f>
        <v>0</v>
      </c>
      <c r="V41" s="185"/>
      <c r="W41" s="185">
        <f t="shared" ref="W41" si="76">ROUNDUP(0.25*W37,0)</f>
        <v>0</v>
      </c>
      <c r="X41" s="185"/>
      <c r="Y41" s="185">
        <f t="shared" ref="Y41" si="77">ROUNDUP(0.25*Y37,0)</f>
        <v>0</v>
      </c>
      <c r="Z41" s="185"/>
      <c r="AA41" s="185">
        <f t="shared" ref="AA41" si="78">ROUNDUP(0.25*AA37,0)</f>
        <v>0</v>
      </c>
      <c r="AB41" s="185"/>
      <c r="AC41" s="185">
        <f t="shared" ref="AC41" si="79">ROUNDUP(0.25*AC37,0)</f>
        <v>0</v>
      </c>
      <c r="AD41" s="185"/>
    </row>
    <row r="42" spans="2:35" x14ac:dyDescent="0.25">
      <c r="B42" s="96" t="s">
        <v>168</v>
      </c>
      <c r="C42" s="185">
        <f>ROUNDUP(0.25*C37,0)</f>
        <v>0</v>
      </c>
      <c r="D42" s="185"/>
      <c r="E42" s="185">
        <f t="shared" ref="E42" si="80">ROUNDUP(0.25*E37,0)</f>
        <v>0</v>
      </c>
      <c r="F42" s="185"/>
      <c r="G42" s="185">
        <f t="shared" ref="G42" si="81">ROUNDUP(0.25*G37,0)</f>
        <v>0</v>
      </c>
      <c r="H42" s="185"/>
      <c r="I42" s="185">
        <f t="shared" ref="I42" si="82">ROUNDUP(0.25*I37,0)</f>
        <v>0</v>
      </c>
      <c r="J42" s="185"/>
      <c r="K42" s="185">
        <f t="shared" ref="K42" si="83">ROUNDUP(0.25*K37,0)</f>
        <v>0</v>
      </c>
      <c r="L42" s="185"/>
      <c r="M42" s="185">
        <f t="shared" ref="M42" si="84">ROUNDUP(0.25*M37,0)</f>
        <v>0</v>
      </c>
      <c r="N42" s="185"/>
      <c r="O42" s="185">
        <f t="shared" ref="O42" si="85">ROUNDUP(0.25*O37,0)</f>
        <v>0</v>
      </c>
      <c r="P42" s="185"/>
      <c r="Q42" s="185">
        <f t="shared" ref="Q42" si="86">ROUNDUP(0.25*Q37,0)</f>
        <v>0</v>
      </c>
      <c r="R42" s="185"/>
      <c r="S42" s="185">
        <f t="shared" ref="S42" si="87">ROUNDUP(0.25*S37,0)</f>
        <v>0</v>
      </c>
      <c r="T42" s="185"/>
      <c r="U42" s="185">
        <f t="shared" ref="U42" si="88">ROUNDUP(0.25*U37,0)</f>
        <v>0</v>
      </c>
      <c r="V42" s="185"/>
      <c r="W42" s="185">
        <f t="shared" ref="W42" si="89">ROUNDUP(0.25*W37,0)</f>
        <v>0</v>
      </c>
      <c r="X42" s="185"/>
      <c r="Y42" s="185">
        <f t="shared" ref="Y42" si="90">ROUNDUP(0.25*Y37,0)</f>
        <v>0</v>
      </c>
      <c r="Z42" s="185"/>
      <c r="AA42" s="185">
        <f t="shared" ref="AA42" si="91">ROUNDUP(0.25*AA37,0)</f>
        <v>0</v>
      </c>
      <c r="AB42" s="185"/>
      <c r="AC42" s="185">
        <f t="shared" ref="AC42" si="92">ROUNDUP(0.25*AC37,0)</f>
        <v>0</v>
      </c>
      <c r="AD42" s="185"/>
    </row>
    <row r="43" spans="2:35" x14ac:dyDescent="0.25">
      <c r="B43" s="96" t="s">
        <v>167</v>
      </c>
      <c r="C43" s="181"/>
      <c r="D43" s="181"/>
      <c r="E43" s="182"/>
      <c r="F43" s="183"/>
      <c r="G43" s="182"/>
      <c r="H43" s="183"/>
      <c r="I43" s="182"/>
      <c r="J43" s="183"/>
      <c r="K43" s="182"/>
      <c r="L43" s="183"/>
      <c r="M43" s="182"/>
      <c r="N43" s="183"/>
      <c r="O43" s="182"/>
      <c r="P43" s="183"/>
      <c r="Q43" s="182"/>
      <c r="R43" s="183"/>
      <c r="S43" s="182"/>
      <c r="T43" s="183"/>
      <c r="U43" s="182"/>
      <c r="V43" s="183"/>
      <c r="W43" s="182"/>
      <c r="X43" s="183"/>
      <c r="Y43" s="182"/>
      <c r="Z43" s="183"/>
      <c r="AA43" s="182"/>
      <c r="AB43" s="183"/>
      <c r="AC43" s="182"/>
      <c r="AD43" s="183"/>
    </row>
    <row r="44" spans="2:35" x14ac:dyDescent="0.25">
      <c r="B44" s="192" t="s">
        <v>3926</v>
      </c>
      <c r="C44" s="89"/>
      <c r="D44" s="89"/>
      <c r="E44" s="87">
        <v>0.25</v>
      </c>
      <c r="F44" s="88"/>
      <c r="G44" s="87">
        <v>0.25</v>
      </c>
      <c r="H44" s="88"/>
      <c r="I44" s="87">
        <v>0.25</v>
      </c>
      <c r="J44" s="88"/>
      <c r="K44" s="87">
        <v>0.375</v>
      </c>
      <c r="L44" s="88"/>
      <c r="M44" s="87">
        <v>0.375</v>
      </c>
      <c r="N44" s="88"/>
      <c r="O44" s="87" t="str">
        <f>"5/8"</f>
        <v>5/8</v>
      </c>
      <c r="P44" s="88"/>
      <c r="Q44" s="87" t="str">
        <f>"5/8"</f>
        <v>5/8</v>
      </c>
      <c r="R44" s="88"/>
      <c r="S44" s="87" t="str">
        <f>"5/8"</f>
        <v>5/8</v>
      </c>
      <c r="T44" s="88"/>
      <c r="U44" s="87" t="str">
        <f>"7/8"</f>
        <v>7/8</v>
      </c>
      <c r="V44" s="88"/>
      <c r="W44" s="87" t="s">
        <v>3901</v>
      </c>
      <c r="X44" s="88"/>
      <c r="Y44" s="87" t="s">
        <v>3902</v>
      </c>
      <c r="Z44" s="88"/>
      <c r="AA44" s="87" t="s">
        <v>3904</v>
      </c>
      <c r="AB44" s="88"/>
      <c r="AC44" s="87" t="s">
        <v>3904</v>
      </c>
      <c r="AD44" s="88"/>
    </row>
    <row r="45" spans="2:35" x14ac:dyDescent="0.25">
      <c r="B45" s="192"/>
      <c r="C45" s="89"/>
      <c r="D45" s="89"/>
      <c r="E45" s="89"/>
      <c r="F45" s="89"/>
      <c r="G45" s="87">
        <v>0.375</v>
      </c>
      <c r="H45" s="88"/>
      <c r="I45" s="87">
        <v>0.375</v>
      </c>
      <c r="J45" s="88"/>
      <c r="K45" s="87" t="str">
        <f>"1/2"</f>
        <v>1/2</v>
      </c>
      <c r="L45" s="88"/>
      <c r="M45" s="87" t="str">
        <f>"1/2"</f>
        <v>1/2</v>
      </c>
      <c r="N45" s="88"/>
      <c r="O45" s="87" t="str">
        <f>"3/4"</f>
        <v>3/4</v>
      </c>
      <c r="P45" s="88"/>
      <c r="Q45" s="87" t="str">
        <f>"7/8"</f>
        <v>7/8</v>
      </c>
      <c r="R45" s="88"/>
      <c r="S45" s="87" t="str">
        <f>"7/8"</f>
        <v>7/8</v>
      </c>
      <c r="T45" s="88"/>
      <c r="U45" s="87" t="s">
        <v>3901</v>
      </c>
      <c r="V45" s="88"/>
      <c r="W45" s="87" t="s">
        <v>3902</v>
      </c>
      <c r="X45" s="88"/>
      <c r="Y45" s="87" t="s">
        <v>3903</v>
      </c>
      <c r="Z45" s="88"/>
      <c r="AA45" s="87" t="s">
        <v>3905</v>
      </c>
      <c r="AB45" s="88"/>
      <c r="AC45" s="87" t="s">
        <v>3905</v>
      </c>
      <c r="AD45" s="88"/>
    </row>
    <row r="46" spans="2:35" x14ac:dyDescent="0.25">
      <c r="B46" s="192"/>
      <c r="C46" s="89"/>
      <c r="D46" s="89"/>
      <c r="E46" s="89"/>
      <c r="F46" s="89"/>
      <c r="G46" s="89"/>
      <c r="H46" s="89"/>
      <c r="I46" s="87" t="str">
        <f>"1/2"</f>
        <v>1/2</v>
      </c>
      <c r="J46" s="88"/>
      <c r="K46" s="87" t="str">
        <f>"5/8"</f>
        <v>5/8</v>
      </c>
      <c r="L46" s="88"/>
      <c r="M46" s="87" t="str">
        <f>"5/8"</f>
        <v>5/8</v>
      </c>
      <c r="N46" s="88"/>
      <c r="O46" s="87" t="str">
        <f>"7/8"</f>
        <v>7/8</v>
      </c>
      <c r="P46" s="88"/>
      <c r="Q46" s="87" t="s">
        <v>3901</v>
      </c>
      <c r="R46" s="88"/>
      <c r="S46" s="87" t="s">
        <v>3901</v>
      </c>
      <c r="T46" s="88"/>
      <c r="U46" s="87" t="s">
        <v>3902</v>
      </c>
      <c r="V46" s="88"/>
      <c r="W46" s="87" t="s">
        <v>3903</v>
      </c>
      <c r="X46" s="88"/>
      <c r="Y46" s="87" t="s">
        <v>3904</v>
      </c>
      <c r="Z46" s="88"/>
      <c r="AA46" s="87" t="s">
        <v>3906</v>
      </c>
      <c r="AB46" s="88"/>
      <c r="AC46" s="87" t="s">
        <v>3906</v>
      </c>
      <c r="AD46" s="88"/>
    </row>
    <row r="47" spans="2:35" x14ac:dyDescent="0.25">
      <c r="B47" s="1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7" t="str">
        <f>"3/4"</f>
        <v>3/4</v>
      </c>
      <c r="N47" s="88"/>
      <c r="O47" s="89"/>
      <c r="P47" s="89"/>
      <c r="Q47" s="89"/>
      <c r="R47" s="89"/>
      <c r="S47" s="87" t="s">
        <v>3902</v>
      </c>
      <c r="T47" s="88"/>
      <c r="U47" s="87" t="s">
        <v>3903</v>
      </c>
      <c r="V47" s="88"/>
      <c r="W47" s="87" t="s">
        <v>3904</v>
      </c>
      <c r="X47" s="88"/>
      <c r="Y47" s="87" t="s">
        <v>3905</v>
      </c>
      <c r="Z47" s="88"/>
      <c r="AA47" s="89"/>
      <c r="AB47" s="89"/>
      <c r="AC47" s="87" t="s">
        <v>3907</v>
      </c>
      <c r="AD47" s="88"/>
    </row>
    <row r="48" spans="2:35" x14ac:dyDescent="0.25">
      <c r="B48" s="97" t="s">
        <v>147</v>
      </c>
      <c r="C48" s="182"/>
      <c r="D48" s="183"/>
      <c r="E48" s="182"/>
      <c r="F48" s="183"/>
      <c r="G48" s="182"/>
      <c r="H48" s="183"/>
      <c r="I48" s="182"/>
      <c r="J48" s="183"/>
      <c r="K48" s="182"/>
      <c r="L48" s="183"/>
      <c r="M48" s="182"/>
      <c r="N48" s="183"/>
      <c r="O48" s="182"/>
      <c r="P48" s="183"/>
      <c r="Q48" s="182"/>
      <c r="R48" s="183"/>
      <c r="S48" s="182"/>
      <c r="T48" s="183"/>
      <c r="U48" s="182"/>
      <c r="V48" s="183"/>
      <c r="W48" s="182"/>
      <c r="X48" s="183"/>
      <c r="Y48" s="182"/>
      <c r="Z48" s="183"/>
      <c r="AA48" s="182"/>
      <c r="AB48" s="183"/>
      <c r="AC48" s="182"/>
      <c r="AD48" s="183"/>
    </row>
    <row r="49" spans="2:30" x14ac:dyDescent="0.25">
      <c r="B49" s="192" t="s">
        <v>148</v>
      </c>
      <c r="C49" s="89"/>
      <c r="D49" s="89"/>
      <c r="E49" s="87">
        <v>0.25</v>
      </c>
      <c r="F49" s="86"/>
      <c r="G49" s="87">
        <v>0.375</v>
      </c>
      <c r="H49" s="86"/>
      <c r="I49" s="87">
        <v>0.375</v>
      </c>
      <c r="J49" s="86"/>
      <c r="K49" s="87">
        <v>0.375</v>
      </c>
      <c r="L49" s="86"/>
      <c r="M49" s="87">
        <v>0.375</v>
      </c>
      <c r="N49" s="86"/>
      <c r="O49" s="87">
        <v>0.5</v>
      </c>
      <c r="P49" s="86"/>
      <c r="Q49" s="87">
        <v>0.625</v>
      </c>
      <c r="R49" s="86"/>
      <c r="S49" s="87">
        <v>0.875</v>
      </c>
      <c r="T49" s="86"/>
      <c r="U49" s="87" t="s">
        <v>3901</v>
      </c>
      <c r="V49" s="86"/>
      <c r="W49" s="87" t="s">
        <v>3901</v>
      </c>
      <c r="X49" s="86"/>
      <c r="Y49" s="87" t="s">
        <v>3904</v>
      </c>
      <c r="Z49" s="86"/>
      <c r="AA49" s="93"/>
      <c r="AB49" s="93"/>
      <c r="AC49" s="89"/>
      <c r="AD49" s="89"/>
    </row>
    <row r="50" spans="2:30" x14ac:dyDescent="0.25">
      <c r="B50" s="192"/>
      <c r="C50" s="89"/>
      <c r="D50" s="89"/>
      <c r="E50" s="87" t="str">
        <f>"1/2"</f>
        <v>1/2</v>
      </c>
      <c r="F50" s="86"/>
      <c r="G50" s="87" t="str">
        <f>"5/8"</f>
        <v>5/8</v>
      </c>
      <c r="H50" s="86"/>
      <c r="I50" s="87">
        <v>0.5</v>
      </c>
      <c r="J50" s="86"/>
      <c r="K50" s="87">
        <v>0.5</v>
      </c>
      <c r="L50" s="86"/>
      <c r="M50" s="87">
        <v>0.5</v>
      </c>
      <c r="N50" s="86"/>
      <c r="O50" s="87">
        <v>0.625</v>
      </c>
      <c r="P50" s="86"/>
      <c r="Q50" s="87">
        <v>0.875</v>
      </c>
      <c r="R50" s="86"/>
      <c r="S50" s="87" t="s">
        <v>3901</v>
      </c>
      <c r="T50" s="86"/>
      <c r="U50" s="87" t="s">
        <v>3902</v>
      </c>
      <c r="V50" s="86"/>
      <c r="W50" s="87" t="s">
        <v>3902</v>
      </c>
      <c r="X50" s="86"/>
      <c r="Y50" s="87" t="s">
        <v>3905</v>
      </c>
      <c r="Z50" s="86"/>
      <c r="AA50" s="93"/>
      <c r="AB50" s="93"/>
      <c r="AC50" s="89"/>
      <c r="AD50" s="89"/>
    </row>
    <row r="51" spans="2:30" x14ac:dyDescent="0.25">
      <c r="B51" s="192"/>
      <c r="C51" s="89"/>
      <c r="D51" s="89"/>
      <c r="E51" s="87" t="str">
        <f>"5/8"</f>
        <v>5/8</v>
      </c>
      <c r="F51" s="86"/>
      <c r="G51" s="89"/>
      <c r="H51" s="89"/>
      <c r="I51" s="87">
        <v>0.75</v>
      </c>
      <c r="J51" s="86"/>
      <c r="K51" s="87">
        <v>0.625</v>
      </c>
      <c r="L51" s="86"/>
      <c r="M51" s="87">
        <v>0.625</v>
      </c>
      <c r="N51" s="86"/>
      <c r="O51" s="87">
        <v>0.75</v>
      </c>
      <c r="P51" s="86"/>
      <c r="Q51" s="87" t="s">
        <v>3901</v>
      </c>
      <c r="R51" s="86"/>
      <c r="S51" s="87" t="s">
        <v>3902</v>
      </c>
      <c r="T51" s="86"/>
      <c r="U51" s="87" t="s">
        <v>3903</v>
      </c>
      <c r="V51" s="86"/>
      <c r="W51" s="87" t="s">
        <v>3903</v>
      </c>
      <c r="X51" s="86"/>
      <c r="Y51" s="93"/>
      <c r="Z51" s="93"/>
      <c r="AA51" s="93"/>
      <c r="AB51" s="93"/>
      <c r="AC51" s="89"/>
      <c r="AD51" s="89"/>
    </row>
    <row r="52" spans="2:30" x14ac:dyDescent="0.25">
      <c r="B52" s="192"/>
      <c r="C52" s="89"/>
      <c r="D52" s="89"/>
      <c r="E52" s="89"/>
      <c r="F52" s="89"/>
      <c r="G52" s="89"/>
      <c r="H52" s="89"/>
      <c r="I52" s="87">
        <v>0.875</v>
      </c>
      <c r="J52" s="86"/>
      <c r="K52" s="87">
        <v>0.875</v>
      </c>
      <c r="L52" s="86"/>
      <c r="M52" s="87">
        <v>0.75</v>
      </c>
      <c r="N52" s="86"/>
      <c r="O52" s="87">
        <v>0.875</v>
      </c>
      <c r="P52" s="86"/>
      <c r="Q52" s="89"/>
      <c r="R52" s="89"/>
      <c r="S52" s="89"/>
      <c r="T52" s="89"/>
      <c r="U52" s="89"/>
      <c r="V52" s="89"/>
      <c r="W52" s="87" t="s">
        <v>3904</v>
      </c>
      <c r="X52" s="86"/>
      <c r="Y52" s="93"/>
      <c r="Z52" s="93"/>
      <c r="AA52" s="93"/>
      <c r="AB52" s="93"/>
      <c r="AC52" s="89"/>
      <c r="AD52" s="89"/>
    </row>
    <row r="53" spans="2:30" x14ac:dyDescent="0.25">
      <c r="B53" s="1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7" t="s">
        <v>3901</v>
      </c>
      <c r="N53" s="86"/>
      <c r="O53" s="87" t="s">
        <v>3902</v>
      </c>
      <c r="P53" s="86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89"/>
      <c r="AD53" s="89"/>
    </row>
    <row r="54" spans="2:30" x14ac:dyDescent="0.25">
      <c r="B54" s="97" t="s">
        <v>4216</v>
      </c>
      <c r="C54" s="181"/>
      <c r="D54" s="181"/>
      <c r="E54" s="182"/>
      <c r="F54" s="183"/>
      <c r="G54" s="182"/>
      <c r="H54" s="183"/>
      <c r="I54" s="182"/>
      <c r="J54" s="183"/>
      <c r="K54" s="179"/>
      <c r="L54" s="180"/>
      <c r="M54" s="179"/>
      <c r="N54" s="180"/>
      <c r="O54" s="179"/>
      <c r="P54" s="180"/>
      <c r="Q54" s="179"/>
      <c r="R54" s="180"/>
      <c r="S54" s="179"/>
      <c r="T54" s="180"/>
      <c r="U54" s="179"/>
      <c r="V54" s="180"/>
      <c r="W54" s="179"/>
      <c r="X54" s="180"/>
      <c r="Y54" s="179"/>
      <c r="Z54" s="180"/>
      <c r="AA54" s="179"/>
      <c r="AB54" s="180"/>
      <c r="AC54" s="179"/>
      <c r="AD54" s="180"/>
    </row>
    <row r="55" spans="2:30" x14ac:dyDescent="0.25">
      <c r="B55" s="97" t="s">
        <v>4215</v>
      </c>
      <c r="C55" s="181"/>
      <c r="D55" s="181"/>
      <c r="E55" s="182"/>
      <c r="F55" s="183"/>
      <c r="G55" s="182"/>
      <c r="H55" s="183"/>
      <c r="I55" s="182"/>
      <c r="J55" s="183"/>
      <c r="K55" s="179"/>
      <c r="L55" s="180"/>
      <c r="M55" s="179"/>
      <c r="N55" s="180"/>
      <c r="O55" s="179"/>
      <c r="P55" s="180"/>
      <c r="Q55" s="179"/>
      <c r="R55" s="180"/>
      <c r="S55" s="179"/>
      <c r="T55" s="180"/>
      <c r="U55" s="179"/>
      <c r="V55" s="180"/>
      <c r="W55" s="179"/>
      <c r="X55" s="180"/>
      <c r="Y55" s="179"/>
      <c r="Z55" s="180"/>
      <c r="AA55" s="179"/>
      <c r="AB55" s="180"/>
      <c r="AC55" s="179"/>
      <c r="AD55" s="180"/>
    </row>
    <row r="56" spans="2:30" x14ac:dyDescent="0.25">
      <c r="B56" s="97" t="s">
        <v>4217</v>
      </c>
      <c r="C56" s="181" t="s">
        <v>4240</v>
      </c>
      <c r="D56" s="181"/>
      <c r="E56" s="181" t="s">
        <v>4240</v>
      </c>
      <c r="F56" s="181"/>
      <c r="G56" s="181" t="s">
        <v>4240</v>
      </c>
      <c r="H56" s="181"/>
      <c r="I56" s="181" t="s">
        <v>4240</v>
      </c>
      <c r="J56" s="181"/>
      <c r="K56" s="181" t="s">
        <v>760</v>
      </c>
      <c r="L56" s="181"/>
      <c r="M56" s="181" t="s">
        <v>760</v>
      </c>
      <c r="N56" s="181"/>
      <c r="O56" s="181" t="s">
        <v>760</v>
      </c>
      <c r="P56" s="181"/>
      <c r="Q56" s="181" t="s">
        <v>760</v>
      </c>
      <c r="R56" s="181"/>
      <c r="S56" s="181" t="s">
        <v>760</v>
      </c>
      <c r="T56" s="181"/>
      <c r="U56" s="181" t="s">
        <v>760</v>
      </c>
      <c r="V56" s="181"/>
      <c r="W56" s="181" t="s">
        <v>760</v>
      </c>
      <c r="X56" s="181"/>
      <c r="Y56" s="181" t="s">
        <v>760</v>
      </c>
      <c r="Z56" s="181"/>
      <c r="AA56" s="181" t="s">
        <v>760</v>
      </c>
      <c r="AB56" s="181"/>
      <c r="AC56" s="181" t="s">
        <v>760</v>
      </c>
      <c r="AD56" s="181"/>
    </row>
    <row r="63" spans="2:30" x14ac:dyDescent="0.25">
      <c r="B63" s="85" t="s">
        <v>4209</v>
      </c>
      <c r="C63" s="191">
        <v>60</v>
      </c>
      <c r="D63" s="191"/>
      <c r="E63" t="s">
        <v>4206</v>
      </c>
    </row>
    <row r="64" spans="2:30" ht="19.5" x14ac:dyDescent="0.25">
      <c r="B64" s="98" t="s">
        <v>4235</v>
      </c>
      <c r="C64" s="188">
        <v>0.25</v>
      </c>
      <c r="D64" s="188"/>
      <c r="E64" s="189">
        <v>0.375</v>
      </c>
      <c r="F64" s="190"/>
      <c r="G64" s="189" t="str">
        <f>"1/2"</f>
        <v>1/2</v>
      </c>
      <c r="H64" s="190"/>
      <c r="I64" s="189" t="str">
        <f>"5/8"</f>
        <v>5/8</v>
      </c>
      <c r="J64" s="190"/>
      <c r="K64" s="189" t="str">
        <f>"3/4"</f>
        <v>3/4</v>
      </c>
      <c r="L64" s="190"/>
      <c r="M64" s="189" t="str">
        <f>"7/8"</f>
        <v>7/8</v>
      </c>
      <c r="N64" s="190"/>
      <c r="O64" s="189" t="s">
        <v>3901</v>
      </c>
      <c r="P64" s="190"/>
      <c r="Q64" s="189" t="s">
        <v>3902</v>
      </c>
      <c r="R64" s="190"/>
      <c r="S64" s="189" t="s">
        <v>3903</v>
      </c>
      <c r="T64" s="190"/>
      <c r="U64" s="189" t="s">
        <v>3904</v>
      </c>
      <c r="V64" s="190"/>
      <c r="W64" s="189" t="s">
        <v>3905</v>
      </c>
      <c r="X64" s="190"/>
      <c r="Y64" s="189" t="s">
        <v>3906</v>
      </c>
      <c r="Z64" s="190"/>
      <c r="AA64" s="189" t="s">
        <v>3907</v>
      </c>
      <c r="AB64" s="190"/>
      <c r="AC64" s="189" t="s">
        <v>3908</v>
      </c>
      <c r="AD64" s="190"/>
    </row>
    <row r="65" spans="2:30" x14ac:dyDescent="0.25">
      <c r="B65" s="99" t="s">
        <v>4210</v>
      </c>
      <c r="C65" s="181"/>
      <c r="D65" s="181"/>
      <c r="E65" s="182"/>
      <c r="F65" s="183"/>
      <c r="G65" s="182"/>
      <c r="H65" s="183"/>
      <c r="I65" s="182">
        <v>10</v>
      </c>
      <c r="J65" s="183"/>
      <c r="K65" s="182"/>
      <c r="L65" s="183"/>
      <c r="M65" s="182"/>
      <c r="N65" s="183"/>
      <c r="O65" s="182"/>
      <c r="P65" s="183"/>
      <c r="Q65" s="182"/>
      <c r="R65" s="183"/>
      <c r="S65" s="182"/>
      <c r="T65" s="183"/>
      <c r="U65" s="182"/>
      <c r="V65" s="183"/>
      <c r="W65" s="182"/>
      <c r="X65" s="183"/>
      <c r="Y65" s="182"/>
      <c r="Z65" s="183"/>
      <c r="AA65" s="182"/>
      <c r="AB65" s="183"/>
      <c r="AC65" s="182"/>
      <c r="AD65" s="183"/>
    </row>
    <row r="66" spans="2:30" x14ac:dyDescent="0.25">
      <c r="B66" s="99" t="s">
        <v>4211</v>
      </c>
      <c r="C66" s="185">
        <f>ROUNDUP(0.3*C65,0)</f>
        <v>0</v>
      </c>
      <c r="D66" s="185"/>
      <c r="E66" s="185">
        <f>ROUNDUP(0.3*E65,0)</f>
        <v>0</v>
      </c>
      <c r="F66" s="185"/>
      <c r="G66" s="185">
        <f t="shared" ref="G66" si="93">ROUNDUP(0.3*G65,0)</f>
        <v>0</v>
      </c>
      <c r="H66" s="185"/>
      <c r="I66" s="185">
        <f t="shared" ref="I66" si="94">ROUNDUP(0.3*I65,0)</f>
        <v>3</v>
      </c>
      <c r="J66" s="185"/>
      <c r="K66" s="185">
        <f t="shared" ref="K66" si="95">ROUNDUP(0.3*K65,0)</f>
        <v>0</v>
      </c>
      <c r="L66" s="185"/>
      <c r="M66" s="185">
        <f t="shared" ref="M66" si="96">ROUNDUP(0.3*M65,0)</f>
        <v>0</v>
      </c>
      <c r="N66" s="185"/>
      <c r="O66" s="185">
        <f>ROUNDUP(0.2*O65,0)</f>
        <v>0</v>
      </c>
      <c r="P66" s="185"/>
      <c r="Q66" s="185">
        <f t="shared" ref="Q66" si="97">ROUNDUP(0.2*Q65,0)</f>
        <v>0</v>
      </c>
      <c r="R66" s="185"/>
      <c r="S66" s="185">
        <f t="shared" ref="S66" si="98">ROUNDUP(0.2*S65,0)</f>
        <v>0</v>
      </c>
      <c r="T66" s="185"/>
      <c r="U66" s="185">
        <f t="shared" ref="U66" si="99">ROUNDUP(0.2*U65,0)</f>
        <v>0</v>
      </c>
      <c r="V66" s="185"/>
      <c r="W66" s="185">
        <f t="shared" ref="W66" si="100">ROUNDUP(0.2*W65,0)</f>
        <v>0</v>
      </c>
      <c r="X66" s="185"/>
      <c r="Y66" s="185">
        <f t="shared" ref="Y66" si="101">ROUNDUP(0.2*Y65,0)</f>
        <v>0</v>
      </c>
      <c r="Z66" s="185"/>
      <c r="AA66" s="185">
        <f t="shared" ref="AA66" si="102">ROUNDUP(0.2*AA65,0)</f>
        <v>0</v>
      </c>
      <c r="AB66" s="185"/>
      <c r="AC66" s="185">
        <f t="shared" ref="AC66" si="103">ROUNDUP(0.2*AC65,0)</f>
        <v>0</v>
      </c>
      <c r="AD66" s="185"/>
    </row>
    <row r="67" spans="2:30" x14ac:dyDescent="0.25">
      <c r="B67" s="99" t="s">
        <v>4212</v>
      </c>
      <c r="C67" s="185">
        <f>ROUNDUP(0.3*C65,0)</f>
        <v>0</v>
      </c>
      <c r="D67" s="185"/>
      <c r="E67" s="185">
        <f t="shared" ref="E67" si="104">ROUNDUP(0.3*E65,0)</f>
        <v>0</v>
      </c>
      <c r="F67" s="185"/>
      <c r="G67" s="185">
        <f t="shared" ref="G67" si="105">ROUNDUP(0.3*G65,0)</f>
        <v>0</v>
      </c>
      <c r="H67" s="185"/>
      <c r="I67" s="185">
        <f t="shared" ref="I67" si="106">ROUNDUP(0.3*I65,0)</f>
        <v>3</v>
      </c>
      <c r="J67" s="185"/>
      <c r="K67" s="185">
        <f t="shared" ref="K67" si="107">ROUNDUP(0.3*K65,0)</f>
        <v>0</v>
      </c>
      <c r="L67" s="185"/>
      <c r="M67" s="185">
        <f t="shared" ref="M67" si="108">ROUNDUP(0.3*M65,0)</f>
        <v>0</v>
      </c>
      <c r="N67" s="185"/>
      <c r="O67" s="185">
        <f>ROUNDUP(0.2*O65,0)</f>
        <v>0</v>
      </c>
      <c r="P67" s="185"/>
      <c r="Q67" s="185">
        <f t="shared" ref="Q67" si="109">ROUNDUP(0.2*Q65,0)</f>
        <v>0</v>
      </c>
      <c r="R67" s="185"/>
      <c r="S67" s="185">
        <f t="shared" ref="S67" si="110">ROUNDUP(0.2*S65,0)</f>
        <v>0</v>
      </c>
      <c r="T67" s="185"/>
      <c r="U67" s="186">
        <f t="shared" ref="U67" si="111">ROUNDUP(0.2*U65,0)</f>
        <v>0</v>
      </c>
      <c r="V67" s="187"/>
      <c r="W67" s="186">
        <f t="shared" ref="W67" si="112">ROUNDUP(0.2*W65,0)</f>
        <v>0</v>
      </c>
      <c r="X67" s="187"/>
      <c r="Y67" s="186">
        <f t="shared" ref="Y67" si="113">ROUNDUP(0.2*Y65,0)</f>
        <v>0</v>
      </c>
      <c r="Z67" s="187"/>
      <c r="AA67" s="186">
        <f t="shared" ref="AA67" si="114">ROUNDUP(0.2*AA65,0)</f>
        <v>0</v>
      </c>
      <c r="AB67" s="187"/>
      <c r="AC67" s="186">
        <f t="shared" ref="AC67" si="115">ROUNDUP(0.2*AC65,0)</f>
        <v>0</v>
      </c>
      <c r="AD67" s="187"/>
    </row>
    <row r="68" spans="2:30" x14ac:dyDescent="0.25">
      <c r="B68" s="99" t="s">
        <v>4213</v>
      </c>
      <c r="C68" s="185"/>
      <c r="D68" s="185"/>
      <c r="E68" s="186"/>
      <c r="F68" s="187"/>
      <c r="G68" s="186"/>
      <c r="H68" s="187"/>
      <c r="I68" s="186"/>
      <c r="J68" s="187"/>
      <c r="K68" s="186"/>
      <c r="L68" s="187"/>
      <c r="M68" s="186"/>
      <c r="N68" s="187"/>
      <c r="O68" s="186"/>
      <c r="P68" s="187"/>
      <c r="Q68" s="186"/>
      <c r="R68" s="187"/>
      <c r="S68" s="186"/>
      <c r="T68" s="187"/>
      <c r="U68" s="186"/>
      <c r="V68" s="187"/>
      <c r="W68" s="186"/>
      <c r="X68" s="187"/>
      <c r="Y68" s="186"/>
      <c r="Z68" s="187"/>
      <c r="AA68" s="186"/>
      <c r="AB68" s="187"/>
      <c r="AC68" s="186"/>
      <c r="AD68" s="187"/>
    </row>
    <row r="69" spans="2:30" x14ac:dyDescent="0.25">
      <c r="B69" s="99" t="s">
        <v>4214</v>
      </c>
      <c r="C69" s="185">
        <f>ROUNDUP(0.25*C65,0)</f>
        <v>0</v>
      </c>
      <c r="D69" s="185"/>
      <c r="E69" s="185">
        <f t="shared" ref="E69" si="116">ROUNDUP(0.25*E65,0)</f>
        <v>0</v>
      </c>
      <c r="F69" s="185"/>
      <c r="G69" s="185">
        <f t="shared" ref="G69" si="117">ROUNDUP(0.25*G65,0)</f>
        <v>0</v>
      </c>
      <c r="H69" s="185"/>
      <c r="I69" s="185">
        <f t="shared" ref="I69" si="118">ROUNDUP(0.25*I65,0)</f>
        <v>3</v>
      </c>
      <c r="J69" s="185"/>
      <c r="K69" s="185">
        <f t="shared" ref="K69" si="119">ROUNDUP(0.25*K65,0)</f>
        <v>0</v>
      </c>
      <c r="L69" s="185"/>
      <c r="M69" s="185">
        <f t="shared" ref="M69" si="120">ROUNDUP(0.25*M65,0)</f>
        <v>0</v>
      </c>
      <c r="N69" s="185"/>
      <c r="O69" s="185">
        <f t="shared" ref="O69" si="121">ROUNDUP(0.25*O65,0)</f>
        <v>0</v>
      </c>
      <c r="P69" s="185"/>
      <c r="Q69" s="185">
        <f t="shared" ref="Q69" si="122">ROUNDUP(0.25*Q65,0)</f>
        <v>0</v>
      </c>
      <c r="R69" s="185"/>
      <c r="S69" s="185">
        <f t="shared" ref="S69" si="123">ROUNDUP(0.25*S65,0)</f>
        <v>0</v>
      </c>
      <c r="T69" s="185"/>
      <c r="U69" s="185">
        <f t="shared" ref="U69" si="124">ROUNDUP(0.25*U65,0)</f>
        <v>0</v>
      </c>
      <c r="V69" s="185"/>
      <c r="W69" s="185">
        <f t="shared" ref="W69" si="125">ROUNDUP(0.25*W65,0)</f>
        <v>0</v>
      </c>
      <c r="X69" s="185"/>
      <c r="Y69" s="185">
        <f t="shared" ref="Y69" si="126">ROUNDUP(0.25*Y65,0)</f>
        <v>0</v>
      </c>
      <c r="Z69" s="185"/>
      <c r="AA69" s="185">
        <f t="shared" ref="AA69" si="127">ROUNDUP(0.25*AA65,0)</f>
        <v>0</v>
      </c>
      <c r="AB69" s="185"/>
      <c r="AC69" s="185">
        <f t="shared" ref="AC69" si="128">ROUNDUP(0.25*AC65,0)</f>
        <v>0</v>
      </c>
      <c r="AD69" s="185"/>
    </row>
    <row r="70" spans="2:30" x14ac:dyDescent="0.25">
      <c r="B70" s="99" t="s">
        <v>168</v>
      </c>
      <c r="C70" s="185">
        <f>ROUNDUP(0.25*C65,0)</f>
        <v>0</v>
      </c>
      <c r="D70" s="185"/>
      <c r="E70" s="185">
        <f t="shared" ref="E70" si="129">ROUNDUP(0.25*E65,0)</f>
        <v>0</v>
      </c>
      <c r="F70" s="185"/>
      <c r="G70" s="185">
        <f t="shared" ref="G70" si="130">ROUNDUP(0.25*G65,0)</f>
        <v>0</v>
      </c>
      <c r="H70" s="185"/>
      <c r="I70" s="185">
        <f t="shared" ref="I70" si="131">ROUNDUP(0.25*I65,0)</f>
        <v>3</v>
      </c>
      <c r="J70" s="185"/>
      <c r="K70" s="185">
        <f t="shared" ref="K70" si="132">ROUNDUP(0.25*K65,0)</f>
        <v>0</v>
      </c>
      <c r="L70" s="185"/>
      <c r="M70" s="185">
        <f t="shared" ref="M70" si="133">ROUNDUP(0.25*M65,0)</f>
        <v>0</v>
      </c>
      <c r="N70" s="185"/>
      <c r="O70" s="185">
        <f t="shared" ref="O70" si="134">ROUNDUP(0.25*O65,0)</f>
        <v>0</v>
      </c>
      <c r="P70" s="185"/>
      <c r="Q70" s="185">
        <f t="shared" ref="Q70" si="135">ROUNDUP(0.25*Q65,0)</f>
        <v>0</v>
      </c>
      <c r="R70" s="185"/>
      <c r="S70" s="185">
        <f t="shared" ref="S70" si="136">ROUNDUP(0.25*S65,0)</f>
        <v>0</v>
      </c>
      <c r="T70" s="185"/>
      <c r="U70" s="185">
        <f t="shared" ref="U70" si="137">ROUNDUP(0.25*U65,0)</f>
        <v>0</v>
      </c>
      <c r="V70" s="185"/>
      <c r="W70" s="185">
        <f t="shared" ref="W70" si="138">ROUNDUP(0.25*W65,0)</f>
        <v>0</v>
      </c>
      <c r="X70" s="185"/>
      <c r="Y70" s="185">
        <f t="shared" ref="Y70" si="139">ROUNDUP(0.25*Y65,0)</f>
        <v>0</v>
      </c>
      <c r="Z70" s="185"/>
      <c r="AA70" s="185">
        <f t="shared" ref="AA70" si="140">ROUNDUP(0.25*AA65,0)</f>
        <v>0</v>
      </c>
      <c r="AB70" s="185"/>
      <c r="AC70" s="185">
        <f t="shared" ref="AC70" si="141">ROUNDUP(0.25*AC65,0)</f>
        <v>0</v>
      </c>
      <c r="AD70" s="185"/>
    </row>
    <row r="71" spans="2:30" x14ac:dyDescent="0.25">
      <c r="B71" s="99" t="s">
        <v>167</v>
      </c>
      <c r="C71" s="181"/>
      <c r="D71" s="181"/>
      <c r="E71" s="182"/>
      <c r="F71" s="183"/>
      <c r="G71" s="182"/>
      <c r="H71" s="183"/>
      <c r="I71" s="182"/>
      <c r="J71" s="183"/>
      <c r="K71" s="182"/>
      <c r="L71" s="183"/>
      <c r="M71" s="182"/>
      <c r="N71" s="183"/>
      <c r="O71" s="182"/>
      <c r="P71" s="183"/>
      <c r="Q71" s="182"/>
      <c r="R71" s="183"/>
      <c r="S71" s="182"/>
      <c r="T71" s="183"/>
      <c r="U71" s="182"/>
      <c r="V71" s="183"/>
      <c r="W71" s="182"/>
      <c r="X71" s="183"/>
      <c r="Y71" s="182"/>
      <c r="Z71" s="183"/>
      <c r="AA71" s="182"/>
      <c r="AB71" s="183"/>
      <c r="AC71" s="182"/>
      <c r="AD71" s="183"/>
    </row>
    <row r="72" spans="2:30" x14ac:dyDescent="0.25">
      <c r="B72" s="184" t="s">
        <v>3926</v>
      </c>
      <c r="C72" s="89"/>
      <c r="D72" s="89"/>
      <c r="E72" s="87">
        <v>0.25</v>
      </c>
      <c r="F72" s="88"/>
      <c r="G72" s="87">
        <v>0.25</v>
      </c>
      <c r="H72" s="88"/>
      <c r="I72" s="87">
        <v>0.25</v>
      </c>
      <c r="J72" s="88"/>
      <c r="K72" s="87">
        <v>0.375</v>
      </c>
      <c r="L72" s="88"/>
      <c r="M72" s="87">
        <v>0.375</v>
      </c>
      <c r="N72" s="88"/>
      <c r="O72" s="87" t="str">
        <f>"5/8"</f>
        <v>5/8</v>
      </c>
      <c r="P72" s="88"/>
      <c r="Q72" s="87" t="str">
        <f>"5/8"</f>
        <v>5/8</v>
      </c>
      <c r="R72" s="88"/>
      <c r="S72" s="87" t="str">
        <f>"5/8"</f>
        <v>5/8</v>
      </c>
      <c r="T72" s="88"/>
      <c r="U72" s="87" t="str">
        <f>"7/8"</f>
        <v>7/8</v>
      </c>
      <c r="V72" s="88"/>
      <c r="W72" s="87" t="s">
        <v>3901</v>
      </c>
      <c r="X72" s="88"/>
      <c r="Y72" s="87" t="s">
        <v>3902</v>
      </c>
      <c r="Z72" s="88"/>
      <c r="AA72" s="87" t="s">
        <v>3904</v>
      </c>
      <c r="AB72" s="88"/>
      <c r="AC72" s="87" t="s">
        <v>3904</v>
      </c>
      <c r="AD72" s="88"/>
    </row>
    <row r="73" spans="2:30" x14ac:dyDescent="0.25">
      <c r="B73" s="184"/>
      <c r="C73" s="89"/>
      <c r="D73" s="89"/>
      <c r="E73" s="89"/>
      <c r="F73" s="89"/>
      <c r="G73" s="87">
        <v>0.375</v>
      </c>
      <c r="H73" s="88"/>
      <c r="I73" s="87">
        <v>0.375</v>
      </c>
      <c r="J73" s="88"/>
      <c r="K73" s="87" t="str">
        <f>"1/2"</f>
        <v>1/2</v>
      </c>
      <c r="L73" s="88"/>
      <c r="M73" s="87" t="str">
        <f>"1/2"</f>
        <v>1/2</v>
      </c>
      <c r="N73" s="88"/>
      <c r="O73" s="87" t="str">
        <f>"3/4"</f>
        <v>3/4</v>
      </c>
      <c r="P73" s="88"/>
      <c r="Q73" s="87" t="str">
        <f>"7/8"</f>
        <v>7/8</v>
      </c>
      <c r="R73" s="88"/>
      <c r="S73" s="87" t="str">
        <f>"7/8"</f>
        <v>7/8</v>
      </c>
      <c r="T73" s="88"/>
      <c r="U73" s="87" t="s">
        <v>3901</v>
      </c>
      <c r="V73" s="88"/>
      <c r="W73" s="87" t="s">
        <v>3902</v>
      </c>
      <c r="X73" s="88"/>
      <c r="Y73" s="87" t="s">
        <v>3903</v>
      </c>
      <c r="Z73" s="88"/>
      <c r="AA73" s="87" t="s">
        <v>3905</v>
      </c>
      <c r="AB73" s="88"/>
      <c r="AC73" s="87" t="s">
        <v>3905</v>
      </c>
      <c r="AD73" s="88"/>
    </row>
    <row r="74" spans="2:30" x14ac:dyDescent="0.25">
      <c r="B74" s="184"/>
      <c r="C74" s="89"/>
      <c r="D74" s="89"/>
      <c r="E74" s="89"/>
      <c r="F74" s="89"/>
      <c r="G74" s="89"/>
      <c r="H74" s="89"/>
      <c r="I74" s="87" t="str">
        <f>"1/2"</f>
        <v>1/2</v>
      </c>
      <c r="J74" s="88"/>
      <c r="K74" s="87" t="str">
        <f>"5/8"</f>
        <v>5/8</v>
      </c>
      <c r="L74" s="88"/>
      <c r="M74" s="87" t="str">
        <f>"5/8"</f>
        <v>5/8</v>
      </c>
      <c r="N74" s="88"/>
      <c r="O74" s="87" t="str">
        <f>"7/8"</f>
        <v>7/8</v>
      </c>
      <c r="P74" s="88"/>
      <c r="Q74" s="87" t="s">
        <v>3901</v>
      </c>
      <c r="R74" s="88"/>
      <c r="S74" s="87" t="s">
        <v>3901</v>
      </c>
      <c r="T74" s="88"/>
      <c r="U74" s="87" t="s">
        <v>3902</v>
      </c>
      <c r="V74" s="88"/>
      <c r="W74" s="87" t="s">
        <v>3903</v>
      </c>
      <c r="X74" s="88"/>
      <c r="Y74" s="87" t="s">
        <v>3904</v>
      </c>
      <c r="Z74" s="88"/>
      <c r="AA74" s="87" t="s">
        <v>3906</v>
      </c>
      <c r="AB74" s="88"/>
      <c r="AC74" s="87" t="s">
        <v>3906</v>
      </c>
      <c r="AD74" s="88"/>
    </row>
    <row r="75" spans="2:30" x14ac:dyDescent="0.25">
      <c r="B75" s="184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7" t="str">
        <f>"3/4"</f>
        <v>3/4</v>
      </c>
      <c r="N75" s="88"/>
      <c r="O75" s="89"/>
      <c r="P75" s="89"/>
      <c r="Q75" s="89"/>
      <c r="R75" s="89"/>
      <c r="S75" s="87" t="s">
        <v>3902</v>
      </c>
      <c r="T75" s="88"/>
      <c r="U75" s="87" t="s">
        <v>3903</v>
      </c>
      <c r="V75" s="88"/>
      <c r="W75" s="87" t="s">
        <v>3904</v>
      </c>
      <c r="X75" s="88"/>
      <c r="Y75" s="87" t="s">
        <v>3905</v>
      </c>
      <c r="Z75" s="88"/>
      <c r="AA75" s="89"/>
      <c r="AB75" s="89"/>
      <c r="AC75" s="87" t="s">
        <v>3907</v>
      </c>
      <c r="AD75" s="88"/>
    </row>
    <row r="76" spans="2:30" x14ac:dyDescent="0.25">
      <c r="B76" s="100" t="s">
        <v>147</v>
      </c>
      <c r="C76" s="182"/>
      <c r="D76" s="183"/>
      <c r="E76" s="182"/>
      <c r="F76" s="183"/>
      <c r="G76" s="182"/>
      <c r="H76" s="183"/>
      <c r="I76" s="182"/>
      <c r="J76" s="183"/>
      <c r="K76" s="182"/>
      <c r="L76" s="183"/>
      <c r="M76" s="182"/>
      <c r="N76" s="183"/>
      <c r="O76" s="182"/>
      <c r="P76" s="183"/>
      <c r="Q76" s="182"/>
      <c r="R76" s="183"/>
      <c r="S76" s="182"/>
      <c r="T76" s="183"/>
      <c r="U76" s="182"/>
      <c r="V76" s="183"/>
      <c r="W76" s="182"/>
      <c r="X76" s="183"/>
      <c r="Y76" s="182"/>
      <c r="Z76" s="183"/>
      <c r="AA76" s="182"/>
      <c r="AB76" s="183"/>
      <c r="AC76" s="182"/>
      <c r="AD76" s="183"/>
    </row>
    <row r="77" spans="2:30" x14ac:dyDescent="0.25">
      <c r="B77" s="184" t="s">
        <v>148</v>
      </c>
      <c r="C77" s="89"/>
      <c r="D77" s="89"/>
      <c r="E77" s="87">
        <v>0.25</v>
      </c>
      <c r="F77" s="86"/>
      <c r="G77" s="87">
        <v>0.375</v>
      </c>
      <c r="H77" s="86"/>
      <c r="I77" s="87">
        <v>0.375</v>
      </c>
      <c r="J77" s="86"/>
      <c r="K77" s="87">
        <v>0.375</v>
      </c>
      <c r="L77" s="86"/>
      <c r="M77" s="87">
        <v>0.375</v>
      </c>
      <c r="N77" s="86"/>
      <c r="O77" s="87">
        <v>0.5</v>
      </c>
      <c r="P77" s="86"/>
      <c r="Q77" s="87">
        <v>0.625</v>
      </c>
      <c r="R77" s="86"/>
      <c r="S77" s="87">
        <v>0.875</v>
      </c>
      <c r="T77" s="86"/>
      <c r="U77" s="87" t="s">
        <v>3901</v>
      </c>
      <c r="V77" s="86"/>
      <c r="W77" s="87" t="s">
        <v>3901</v>
      </c>
      <c r="X77" s="86"/>
      <c r="Y77" s="87" t="s">
        <v>3904</v>
      </c>
      <c r="Z77" s="86"/>
      <c r="AA77" s="93"/>
      <c r="AB77" s="93"/>
      <c r="AC77" s="89"/>
      <c r="AD77" s="89"/>
    </row>
    <row r="78" spans="2:30" x14ac:dyDescent="0.25">
      <c r="B78" s="184"/>
      <c r="C78" s="89"/>
      <c r="D78" s="89"/>
      <c r="E78" s="87" t="str">
        <f>"1/2"</f>
        <v>1/2</v>
      </c>
      <c r="F78" s="86"/>
      <c r="G78" s="87" t="str">
        <f>"5/8"</f>
        <v>5/8</v>
      </c>
      <c r="H78" s="86"/>
      <c r="I78" s="87">
        <v>0.5</v>
      </c>
      <c r="J78" s="86"/>
      <c r="K78" s="87">
        <v>0.5</v>
      </c>
      <c r="L78" s="86"/>
      <c r="M78" s="87">
        <v>0.5</v>
      </c>
      <c r="N78" s="86"/>
      <c r="O78" s="87">
        <v>0.625</v>
      </c>
      <c r="P78" s="86"/>
      <c r="Q78" s="87">
        <v>0.875</v>
      </c>
      <c r="R78" s="86"/>
      <c r="S78" s="87" t="s">
        <v>3901</v>
      </c>
      <c r="T78" s="86"/>
      <c r="U78" s="87" t="s">
        <v>3902</v>
      </c>
      <c r="V78" s="86"/>
      <c r="W78" s="87" t="s">
        <v>3902</v>
      </c>
      <c r="X78" s="86"/>
      <c r="Y78" s="87" t="s">
        <v>3905</v>
      </c>
      <c r="Z78" s="86"/>
      <c r="AA78" s="93"/>
      <c r="AB78" s="93"/>
      <c r="AC78" s="89"/>
      <c r="AD78" s="89"/>
    </row>
    <row r="79" spans="2:30" x14ac:dyDescent="0.25">
      <c r="B79" s="184"/>
      <c r="C79" s="89"/>
      <c r="D79" s="89"/>
      <c r="E79" s="87" t="str">
        <f>"5/8"</f>
        <v>5/8</v>
      </c>
      <c r="F79" s="86"/>
      <c r="G79" s="89"/>
      <c r="H79" s="89"/>
      <c r="I79" s="87">
        <v>0.75</v>
      </c>
      <c r="J79" s="86"/>
      <c r="K79" s="87">
        <v>0.625</v>
      </c>
      <c r="L79" s="86"/>
      <c r="M79" s="87">
        <v>0.625</v>
      </c>
      <c r="N79" s="86"/>
      <c r="O79" s="87">
        <v>0.75</v>
      </c>
      <c r="P79" s="86"/>
      <c r="Q79" s="87" t="s">
        <v>3901</v>
      </c>
      <c r="R79" s="86"/>
      <c r="S79" s="87" t="s">
        <v>3902</v>
      </c>
      <c r="T79" s="86"/>
      <c r="U79" s="87" t="s">
        <v>3903</v>
      </c>
      <c r="V79" s="86"/>
      <c r="W79" s="87" t="s">
        <v>3903</v>
      </c>
      <c r="X79" s="86"/>
      <c r="Y79" s="93"/>
      <c r="Z79" s="93"/>
      <c r="AA79" s="93"/>
      <c r="AB79" s="93"/>
      <c r="AC79" s="89"/>
      <c r="AD79" s="89"/>
    </row>
    <row r="80" spans="2:30" x14ac:dyDescent="0.25">
      <c r="B80" s="184"/>
      <c r="C80" s="89"/>
      <c r="D80" s="89"/>
      <c r="E80" s="89"/>
      <c r="F80" s="89"/>
      <c r="G80" s="89"/>
      <c r="H80" s="89"/>
      <c r="I80" s="87">
        <v>0.875</v>
      </c>
      <c r="J80" s="86"/>
      <c r="K80" s="87">
        <v>0.875</v>
      </c>
      <c r="L80" s="86"/>
      <c r="M80" s="87">
        <v>0.75</v>
      </c>
      <c r="N80" s="86"/>
      <c r="O80" s="87">
        <v>0.875</v>
      </c>
      <c r="P80" s="86"/>
      <c r="Q80" s="89"/>
      <c r="R80" s="89"/>
      <c r="S80" s="89"/>
      <c r="T80" s="89"/>
      <c r="U80" s="89"/>
      <c r="V80" s="89"/>
      <c r="W80" s="87" t="s">
        <v>3904</v>
      </c>
      <c r="X80" s="86"/>
      <c r="Y80" s="93"/>
      <c r="Z80" s="93"/>
      <c r="AA80" s="93"/>
      <c r="AB80" s="93"/>
      <c r="AC80" s="89"/>
      <c r="AD80" s="89"/>
    </row>
    <row r="81" spans="2:30" x14ac:dyDescent="0.25">
      <c r="B81" s="184"/>
      <c r="C81" s="89"/>
      <c r="D81" s="89"/>
      <c r="E81" s="89"/>
      <c r="F81" s="89"/>
      <c r="G81" s="89"/>
      <c r="H81" s="89"/>
      <c r="I81" s="89"/>
      <c r="J81" s="89"/>
      <c r="K81" s="89"/>
      <c r="L81" s="89"/>
      <c r="M81" s="87" t="s">
        <v>3901</v>
      </c>
      <c r="N81" s="86"/>
      <c r="O81" s="87" t="s">
        <v>3902</v>
      </c>
      <c r="P81" s="86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89"/>
      <c r="AD81" s="89"/>
    </row>
    <row r="82" spans="2:30" x14ac:dyDescent="0.25">
      <c r="B82" s="100" t="s">
        <v>4216</v>
      </c>
      <c r="C82" s="181"/>
      <c r="D82" s="181"/>
      <c r="E82" s="182"/>
      <c r="F82" s="183"/>
      <c r="G82" s="182"/>
      <c r="H82" s="183"/>
      <c r="I82" s="182"/>
      <c r="J82" s="183"/>
      <c r="K82" s="179"/>
      <c r="L82" s="180"/>
      <c r="M82" s="179"/>
      <c r="N82" s="180"/>
      <c r="O82" s="179"/>
      <c r="P82" s="180"/>
      <c r="Q82" s="179"/>
      <c r="R82" s="180"/>
      <c r="S82" s="179"/>
      <c r="T82" s="180"/>
      <c r="U82" s="179"/>
      <c r="V82" s="180"/>
      <c r="W82" s="179"/>
      <c r="X82" s="180"/>
      <c r="Y82" s="179"/>
      <c r="Z82" s="180"/>
      <c r="AA82" s="179"/>
      <c r="AB82" s="180"/>
      <c r="AC82" s="179"/>
      <c r="AD82" s="180"/>
    </row>
    <row r="83" spans="2:30" x14ac:dyDescent="0.25">
      <c r="B83" s="100" t="s">
        <v>4215</v>
      </c>
      <c r="C83" s="181"/>
      <c r="D83" s="181"/>
      <c r="E83" s="182"/>
      <c r="F83" s="183"/>
      <c r="G83" s="182"/>
      <c r="H83" s="183"/>
      <c r="I83" s="182"/>
      <c r="J83" s="183"/>
      <c r="K83" s="179"/>
      <c r="L83" s="180"/>
      <c r="M83" s="179"/>
      <c r="N83" s="180"/>
      <c r="O83" s="179"/>
      <c r="P83" s="180"/>
      <c r="Q83" s="179"/>
      <c r="R83" s="180"/>
      <c r="S83" s="179"/>
      <c r="T83" s="180"/>
      <c r="U83" s="179"/>
      <c r="V83" s="180"/>
      <c r="W83" s="179"/>
      <c r="X83" s="180"/>
      <c r="Y83" s="179"/>
      <c r="Z83" s="180"/>
      <c r="AA83" s="179"/>
      <c r="AB83" s="180"/>
      <c r="AC83" s="179"/>
      <c r="AD83" s="180"/>
    </row>
    <row r="84" spans="2:30" x14ac:dyDescent="0.25">
      <c r="B84" s="100" t="s">
        <v>4217</v>
      </c>
      <c r="C84" s="181" t="s">
        <v>4230</v>
      </c>
      <c r="D84" s="181"/>
      <c r="E84" s="181" t="s">
        <v>4230</v>
      </c>
      <c r="F84" s="181"/>
      <c r="G84" s="181" t="s">
        <v>4230</v>
      </c>
      <c r="H84" s="181"/>
      <c r="I84" s="181" t="s">
        <v>4230</v>
      </c>
      <c r="J84" s="181"/>
      <c r="K84" s="181" t="s">
        <v>4230</v>
      </c>
      <c r="L84" s="181"/>
      <c r="M84" s="181" t="s">
        <v>4230</v>
      </c>
      <c r="N84" s="181"/>
      <c r="O84" s="181" t="s">
        <v>4230</v>
      </c>
      <c r="P84" s="181"/>
      <c r="Q84" s="182" t="s">
        <v>4240</v>
      </c>
      <c r="R84" s="183"/>
      <c r="S84" s="182" t="s">
        <v>4240</v>
      </c>
      <c r="T84" s="183"/>
      <c r="U84" s="182" t="s">
        <v>4240</v>
      </c>
      <c r="V84" s="183"/>
      <c r="W84" s="182" t="s">
        <v>4240</v>
      </c>
      <c r="X84" s="183"/>
      <c r="Y84" s="182" t="s">
        <v>4240</v>
      </c>
      <c r="Z84" s="183"/>
      <c r="AA84" s="182" t="s">
        <v>4240</v>
      </c>
      <c r="AB84" s="183"/>
      <c r="AC84" s="182" t="s">
        <v>4240</v>
      </c>
      <c r="AD84" s="183"/>
    </row>
    <row r="89" spans="2:30" x14ac:dyDescent="0.25">
      <c r="L89" s="104"/>
    </row>
    <row r="90" spans="2:30" x14ac:dyDescent="0.25">
      <c r="B90" t="s">
        <v>4237</v>
      </c>
      <c r="E90" s="103">
        <v>0.8</v>
      </c>
      <c r="F90" t="s">
        <v>4236</v>
      </c>
      <c r="G90" s="102">
        <f>E90/35</f>
        <v>2.2857142857142857E-2</v>
      </c>
    </row>
    <row r="91" spans="2:30" x14ac:dyDescent="0.25">
      <c r="B91" t="s">
        <v>4238</v>
      </c>
      <c r="E91" s="103">
        <v>0</v>
      </c>
      <c r="F91" t="s">
        <v>4236</v>
      </c>
      <c r="G91" s="102">
        <f>E91/35</f>
        <v>0</v>
      </c>
    </row>
    <row r="98" spans="2:4" x14ac:dyDescent="0.25">
      <c r="B98" t="s">
        <v>4219</v>
      </c>
    </row>
    <row r="99" spans="2:4" x14ac:dyDescent="0.25">
      <c r="C99" t="s">
        <v>4220</v>
      </c>
    </row>
    <row r="100" spans="2:4" x14ac:dyDescent="0.25">
      <c r="C100" t="s">
        <v>4221</v>
      </c>
    </row>
    <row r="101" spans="2:4" x14ac:dyDescent="0.25">
      <c r="C101" t="s">
        <v>4222</v>
      </c>
    </row>
    <row r="102" spans="2:4" x14ac:dyDescent="0.25">
      <c r="C102" t="s">
        <v>4223</v>
      </c>
    </row>
    <row r="104" spans="2:4" x14ac:dyDescent="0.25">
      <c r="C104" t="s">
        <v>4224</v>
      </c>
    </row>
    <row r="105" spans="2:4" x14ac:dyDescent="0.25">
      <c r="D105" t="s">
        <v>4225</v>
      </c>
    </row>
    <row r="106" spans="2:4" x14ac:dyDescent="0.25">
      <c r="D106" t="s">
        <v>4226</v>
      </c>
    </row>
    <row r="107" spans="2:4" x14ac:dyDescent="0.25">
      <c r="D107" t="s">
        <v>4227</v>
      </c>
    </row>
  </sheetData>
  <mergeCells count="513">
    <mergeCell ref="B21:B25"/>
    <mergeCell ref="B16:B19"/>
    <mergeCell ref="C9:D9"/>
    <mergeCell ref="C10:D10"/>
    <mergeCell ref="C11:D11"/>
    <mergeCell ref="C12:D12"/>
    <mergeCell ref="C13:D13"/>
    <mergeCell ref="C14:D14"/>
    <mergeCell ref="C15:D15"/>
    <mergeCell ref="C20:D20"/>
    <mergeCell ref="Q11:R11"/>
    <mergeCell ref="AC9:AD9"/>
    <mergeCell ref="G10:H10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C10:AD10"/>
    <mergeCell ref="S9:T9"/>
    <mergeCell ref="U9:V9"/>
    <mergeCell ref="W9:X9"/>
    <mergeCell ref="Y9:Z9"/>
    <mergeCell ref="AA9:AB9"/>
    <mergeCell ref="I9:J9"/>
    <mergeCell ref="K9:L9"/>
    <mergeCell ref="M9:N9"/>
    <mergeCell ref="O9:P9"/>
    <mergeCell ref="Q9:R9"/>
    <mergeCell ref="AA13:AB13"/>
    <mergeCell ref="I13:J13"/>
    <mergeCell ref="K13:L13"/>
    <mergeCell ref="M13:N13"/>
    <mergeCell ref="O13:P13"/>
    <mergeCell ref="Q13:R13"/>
    <mergeCell ref="AC11:AD11"/>
    <mergeCell ref="G12:H12"/>
    <mergeCell ref="I12:J12"/>
    <mergeCell ref="K12:L12"/>
    <mergeCell ref="M12:N12"/>
    <mergeCell ref="O12:P12"/>
    <mergeCell ref="Q12:R12"/>
    <mergeCell ref="S12:T12"/>
    <mergeCell ref="U12:V12"/>
    <mergeCell ref="W12:X12"/>
    <mergeCell ref="Y12:Z12"/>
    <mergeCell ref="AA12:AB12"/>
    <mergeCell ref="AC12:AD12"/>
    <mergeCell ref="S11:T11"/>
    <mergeCell ref="U11:V11"/>
    <mergeCell ref="W11:X11"/>
    <mergeCell ref="Y11:Z11"/>
    <mergeCell ref="AA11:AB11"/>
    <mergeCell ref="Y15:Z15"/>
    <mergeCell ref="AA15:AB15"/>
    <mergeCell ref="I15:J15"/>
    <mergeCell ref="K15:L15"/>
    <mergeCell ref="M15:N15"/>
    <mergeCell ref="O15:P15"/>
    <mergeCell ref="Q15:R15"/>
    <mergeCell ref="AC13:AD13"/>
    <mergeCell ref="G14:H14"/>
    <mergeCell ref="I14:J14"/>
    <mergeCell ref="K14:L14"/>
    <mergeCell ref="M14:N14"/>
    <mergeCell ref="O14:P14"/>
    <mergeCell ref="Q14:R14"/>
    <mergeCell ref="S14:T14"/>
    <mergeCell ref="U14:V14"/>
    <mergeCell ref="W14:X14"/>
    <mergeCell ref="Y14:Z14"/>
    <mergeCell ref="AA14:AB14"/>
    <mergeCell ref="AC14:AD14"/>
    <mergeCell ref="S13:T13"/>
    <mergeCell ref="U13:V13"/>
    <mergeCell ref="W13:X13"/>
    <mergeCell ref="Y13:Z13"/>
    <mergeCell ref="Q8:R8"/>
    <mergeCell ref="S8:T8"/>
    <mergeCell ref="U8:V8"/>
    <mergeCell ref="W8:X8"/>
    <mergeCell ref="Y8:Z8"/>
    <mergeCell ref="AA8:AB8"/>
    <mergeCell ref="AC8:AD8"/>
    <mergeCell ref="C7:D7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Y20:Z20"/>
    <mergeCell ref="AA20:AB20"/>
    <mergeCell ref="AC20:AD20"/>
    <mergeCell ref="AC15:AD15"/>
    <mergeCell ref="S15:T15"/>
    <mergeCell ref="U15:V15"/>
    <mergeCell ref="W15:X15"/>
    <mergeCell ref="O8:P8"/>
    <mergeCell ref="I11:J11"/>
    <mergeCell ref="K11:L11"/>
    <mergeCell ref="M11:N11"/>
    <mergeCell ref="O11:P11"/>
    <mergeCell ref="G9:H9"/>
    <mergeCell ref="G11:H11"/>
    <mergeCell ref="G13:H13"/>
    <mergeCell ref="G15:H15"/>
    <mergeCell ref="G26:H26"/>
    <mergeCell ref="I26:J26"/>
    <mergeCell ref="K26:L26"/>
    <mergeCell ref="C8:D8"/>
    <mergeCell ref="E8:F8"/>
    <mergeCell ref="G8:H8"/>
    <mergeCell ref="I8:J8"/>
    <mergeCell ref="K8:L8"/>
    <mergeCell ref="M8:N8"/>
    <mergeCell ref="E9:F9"/>
    <mergeCell ref="E10:F10"/>
    <mergeCell ref="E11:F11"/>
    <mergeCell ref="E12:F12"/>
    <mergeCell ref="E13:F13"/>
    <mergeCell ref="E14:F14"/>
    <mergeCell ref="E15:F15"/>
    <mergeCell ref="E20:F20"/>
    <mergeCell ref="C35:D35"/>
    <mergeCell ref="W26:X26"/>
    <mergeCell ref="Y26:Z26"/>
    <mergeCell ref="AA26:AB26"/>
    <mergeCell ref="AC26:AD26"/>
    <mergeCell ref="C27:D27"/>
    <mergeCell ref="E27:F27"/>
    <mergeCell ref="G27:H27"/>
    <mergeCell ref="I27:J27"/>
    <mergeCell ref="K27:L27"/>
    <mergeCell ref="M27:N27"/>
    <mergeCell ref="O27:P27"/>
    <mergeCell ref="Q27:R27"/>
    <mergeCell ref="S27:T27"/>
    <mergeCell ref="U27:V27"/>
    <mergeCell ref="W27:X27"/>
    <mergeCell ref="Y27:Z27"/>
    <mergeCell ref="M26:N26"/>
    <mergeCell ref="O26:P26"/>
    <mergeCell ref="Q26:R26"/>
    <mergeCell ref="S26:T26"/>
    <mergeCell ref="U26:V26"/>
    <mergeCell ref="C26:D26"/>
    <mergeCell ref="E26:F26"/>
    <mergeCell ref="AA27:AB27"/>
    <mergeCell ref="AC27:AD27"/>
    <mergeCell ref="C28:D28"/>
    <mergeCell ref="E28:F28"/>
    <mergeCell ref="G28:H28"/>
    <mergeCell ref="I28:J28"/>
    <mergeCell ref="K28:L28"/>
    <mergeCell ref="M28:N28"/>
    <mergeCell ref="O28:P28"/>
    <mergeCell ref="Q28:R28"/>
    <mergeCell ref="S28:T28"/>
    <mergeCell ref="U28:V28"/>
    <mergeCell ref="W28:X28"/>
    <mergeCell ref="Y28:Z28"/>
    <mergeCell ref="AA28:AB28"/>
    <mergeCell ref="AC28:AD28"/>
    <mergeCell ref="Y36:Z36"/>
    <mergeCell ref="AA36:AB36"/>
    <mergeCell ref="I36:J36"/>
    <mergeCell ref="K36:L36"/>
    <mergeCell ref="M36:N36"/>
    <mergeCell ref="O36:P36"/>
    <mergeCell ref="Q36:R36"/>
    <mergeCell ref="C36:D36"/>
    <mergeCell ref="E36:F36"/>
    <mergeCell ref="G36:H36"/>
    <mergeCell ref="U38:V38"/>
    <mergeCell ref="C38:D38"/>
    <mergeCell ref="E38:F38"/>
    <mergeCell ref="G38:H38"/>
    <mergeCell ref="I38:J38"/>
    <mergeCell ref="K38:L38"/>
    <mergeCell ref="AC36:AD36"/>
    <mergeCell ref="C37:D37"/>
    <mergeCell ref="E37:F37"/>
    <mergeCell ref="G37:H37"/>
    <mergeCell ref="I37:J37"/>
    <mergeCell ref="K37:L37"/>
    <mergeCell ref="M37:N37"/>
    <mergeCell ref="O37:P37"/>
    <mergeCell ref="Q37:R37"/>
    <mergeCell ref="S37:T37"/>
    <mergeCell ref="U37:V37"/>
    <mergeCell ref="W37:X37"/>
    <mergeCell ref="Y37:Z37"/>
    <mergeCell ref="AA37:AB37"/>
    <mergeCell ref="AC37:AD37"/>
    <mergeCell ref="S36:T36"/>
    <mergeCell ref="U36:V36"/>
    <mergeCell ref="W36:X36"/>
    <mergeCell ref="W41:X41"/>
    <mergeCell ref="Y41:Z41"/>
    <mergeCell ref="AA41:AB41"/>
    <mergeCell ref="AC41:AD41"/>
    <mergeCell ref="W38:X38"/>
    <mergeCell ref="Y38:Z38"/>
    <mergeCell ref="AA38:AB38"/>
    <mergeCell ref="AC38:AD38"/>
    <mergeCell ref="C39:D39"/>
    <mergeCell ref="E39:F39"/>
    <mergeCell ref="G39:H39"/>
    <mergeCell ref="I39:J39"/>
    <mergeCell ref="K39:L39"/>
    <mergeCell ref="M39:N39"/>
    <mergeCell ref="O39:P39"/>
    <mergeCell ref="Q39:R39"/>
    <mergeCell ref="S39:T39"/>
    <mergeCell ref="U39:V39"/>
    <mergeCell ref="W39:X39"/>
    <mergeCell ref="Y39:Z39"/>
    <mergeCell ref="M38:N38"/>
    <mergeCell ref="O38:P38"/>
    <mergeCell ref="Q38:R38"/>
    <mergeCell ref="S38:T38"/>
    <mergeCell ref="AA39:AB39"/>
    <mergeCell ref="AC39:AD39"/>
    <mergeCell ref="C40:D40"/>
    <mergeCell ref="E40:F40"/>
    <mergeCell ref="G40:H40"/>
    <mergeCell ref="I40:J40"/>
    <mergeCell ref="K40:L40"/>
    <mergeCell ref="M40:N40"/>
    <mergeCell ref="O40:P40"/>
    <mergeCell ref="Q40:R40"/>
    <mergeCell ref="S40:T40"/>
    <mergeCell ref="U40:V40"/>
    <mergeCell ref="W40:X40"/>
    <mergeCell ref="Y40:Z40"/>
    <mergeCell ref="AA40:AB40"/>
    <mergeCell ref="AC40:AD40"/>
    <mergeCell ref="M41:N41"/>
    <mergeCell ref="O41:P41"/>
    <mergeCell ref="Q41:R41"/>
    <mergeCell ref="S41:T41"/>
    <mergeCell ref="U41:V41"/>
    <mergeCell ref="C41:D41"/>
    <mergeCell ref="E41:F41"/>
    <mergeCell ref="G41:H41"/>
    <mergeCell ref="C42:D42"/>
    <mergeCell ref="E42:F42"/>
    <mergeCell ref="G42:H42"/>
    <mergeCell ref="I42:J42"/>
    <mergeCell ref="K42:L42"/>
    <mergeCell ref="M42:N42"/>
    <mergeCell ref="O42:P42"/>
    <mergeCell ref="Q42:R42"/>
    <mergeCell ref="S42:T42"/>
    <mergeCell ref="I41:J41"/>
    <mergeCell ref="K41:L41"/>
    <mergeCell ref="AA42:AB42"/>
    <mergeCell ref="AC42:AD42"/>
    <mergeCell ref="C43:D43"/>
    <mergeCell ref="E43:F43"/>
    <mergeCell ref="G43:H43"/>
    <mergeCell ref="I43:J43"/>
    <mergeCell ref="K43:L43"/>
    <mergeCell ref="M43:N43"/>
    <mergeCell ref="O43:P43"/>
    <mergeCell ref="Q43:R43"/>
    <mergeCell ref="S43:T43"/>
    <mergeCell ref="U43:V43"/>
    <mergeCell ref="W43:X43"/>
    <mergeCell ref="Y43:Z43"/>
    <mergeCell ref="AA43:AB43"/>
    <mergeCell ref="AC43:AD43"/>
    <mergeCell ref="U42:V42"/>
    <mergeCell ref="W42:X42"/>
    <mergeCell ref="Y42:Z42"/>
    <mergeCell ref="K48:L48"/>
    <mergeCell ref="M48:N48"/>
    <mergeCell ref="O48:P48"/>
    <mergeCell ref="Q48:R48"/>
    <mergeCell ref="S48:T48"/>
    <mergeCell ref="B44:B47"/>
    <mergeCell ref="C48:D48"/>
    <mergeCell ref="E48:F48"/>
    <mergeCell ref="G48:H48"/>
    <mergeCell ref="I48:J48"/>
    <mergeCell ref="O55:P55"/>
    <mergeCell ref="Q55:R55"/>
    <mergeCell ref="S55:T55"/>
    <mergeCell ref="U55:V55"/>
    <mergeCell ref="U48:V48"/>
    <mergeCell ref="W48:X48"/>
    <mergeCell ref="Y48:Z48"/>
    <mergeCell ref="AA48:AB48"/>
    <mergeCell ref="AC48:AD48"/>
    <mergeCell ref="G56:H56"/>
    <mergeCell ref="I56:J56"/>
    <mergeCell ref="K56:L56"/>
    <mergeCell ref="M56:N56"/>
    <mergeCell ref="W55:X55"/>
    <mergeCell ref="Y55:Z55"/>
    <mergeCell ref="AA55:AB55"/>
    <mergeCell ref="AC55:AD55"/>
    <mergeCell ref="B49:B53"/>
    <mergeCell ref="C54:D54"/>
    <mergeCell ref="E54:F54"/>
    <mergeCell ref="G54:H54"/>
    <mergeCell ref="I54:J54"/>
    <mergeCell ref="U54:V54"/>
    <mergeCell ref="W54:X54"/>
    <mergeCell ref="Y54:Z54"/>
    <mergeCell ref="AA54:AB54"/>
    <mergeCell ref="AC54:AD54"/>
    <mergeCell ref="K54:L54"/>
    <mergeCell ref="M54:N54"/>
    <mergeCell ref="O54:P54"/>
    <mergeCell ref="Q54:R54"/>
    <mergeCell ref="S54:T54"/>
    <mergeCell ref="M55:N55"/>
    <mergeCell ref="I55:J55"/>
    <mergeCell ref="K55:L55"/>
    <mergeCell ref="AA56:AB56"/>
    <mergeCell ref="AC56:AD56"/>
    <mergeCell ref="C64:D64"/>
    <mergeCell ref="E64:F64"/>
    <mergeCell ref="G64:H64"/>
    <mergeCell ref="I64:J64"/>
    <mergeCell ref="K64:L64"/>
    <mergeCell ref="M64:N64"/>
    <mergeCell ref="O64:P64"/>
    <mergeCell ref="Q64:R64"/>
    <mergeCell ref="S64:T64"/>
    <mergeCell ref="U64:V64"/>
    <mergeCell ref="W64:X64"/>
    <mergeCell ref="Y64:Z64"/>
    <mergeCell ref="AA64:AB64"/>
    <mergeCell ref="AC64:AD64"/>
    <mergeCell ref="C63:D63"/>
    <mergeCell ref="U56:V56"/>
    <mergeCell ref="W56:X56"/>
    <mergeCell ref="C55:D55"/>
    <mergeCell ref="E55:F55"/>
    <mergeCell ref="G55:H55"/>
    <mergeCell ref="AA65:AB65"/>
    <mergeCell ref="AC65:AD65"/>
    <mergeCell ref="AA66:AB66"/>
    <mergeCell ref="AC66:AD66"/>
    <mergeCell ref="U67:V67"/>
    <mergeCell ref="W67:X67"/>
    <mergeCell ref="Y67:Z67"/>
    <mergeCell ref="Y56:Z56"/>
    <mergeCell ref="C65:D65"/>
    <mergeCell ref="E65:F65"/>
    <mergeCell ref="G65:H65"/>
    <mergeCell ref="C66:D66"/>
    <mergeCell ref="E66:F66"/>
    <mergeCell ref="G66:H66"/>
    <mergeCell ref="I66:J66"/>
    <mergeCell ref="K66:L66"/>
    <mergeCell ref="M66:N66"/>
    <mergeCell ref="I65:J65"/>
    <mergeCell ref="K65:L65"/>
    <mergeCell ref="O56:P56"/>
    <mergeCell ref="Q56:R56"/>
    <mergeCell ref="S56:T56"/>
    <mergeCell ref="C56:D56"/>
    <mergeCell ref="E56:F56"/>
    <mergeCell ref="U66:V66"/>
    <mergeCell ref="W66:X66"/>
    <mergeCell ref="Y66:Z66"/>
    <mergeCell ref="M65:N65"/>
    <mergeCell ref="O65:P65"/>
    <mergeCell ref="Q65:R65"/>
    <mergeCell ref="S65:T65"/>
    <mergeCell ref="U65:V65"/>
    <mergeCell ref="O66:P66"/>
    <mergeCell ref="Q66:R66"/>
    <mergeCell ref="S66:T66"/>
    <mergeCell ref="W65:X65"/>
    <mergeCell ref="Y65:Z65"/>
    <mergeCell ref="C68:D68"/>
    <mergeCell ref="E68:F68"/>
    <mergeCell ref="G68:H68"/>
    <mergeCell ref="I68:J68"/>
    <mergeCell ref="K68:L68"/>
    <mergeCell ref="C67:D67"/>
    <mergeCell ref="E67:F67"/>
    <mergeCell ref="G67:H67"/>
    <mergeCell ref="I67:J67"/>
    <mergeCell ref="K67:L67"/>
    <mergeCell ref="Q69:R69"/>
    <mergeCell ref="S69:T69"/>
    <mergeCell ref="AA67:AB67"/>
    <mergeCell ref="AC67:AD67"/>
    <mergeCell ref="M68:N68"/>
    <mergeCell ref="O68:P68"/>
    <mergeCell ref="Q68:R68"/>
    <mergeCell ref="S68:T68"/>
    <mergeCell ref="U68:V68"/>
    <mergeCell ref="M67:N67"/>
    <mergeCell ref="O67:P67"/>
    <mergeCell ref="Q67:R67"/>
    <mergeCell ref="S67:T67"/>
    <mergeCell ref="W68:X68"/>
    <mergeCell ref="Y68:Z68"/>
    <mergeCell ref="AA68:AB68"/>
    <mergeCell ref="AC68:AD68"/>
    <mergeCell ref="AA69:AB69"/>
    <mergeCell ref="AC69:AD69"/>
    <mergeCell ref="U70:V70"/>
    <mergeCell ref="W70:X70"/>
    <mergeCell ref="Y70:Z70"/>
    <mergeCell ref="AA70:AB70"/>
    <mergeCell ref="AC70:AD70"/>
    <mergeCell ref="U69:V69"/>
    <mergeCell ref="W69:X69"/>
    <mergeCell ref="Y69:Z69"/>
    <mergeCell ref="C69:D69"/>
    <mergeCell ref="E69:F69"/>
    <mergeCell ref="G69:H69"/>
    <mergeCell ref="I69:J69"/>
    <mergeCell ref="K69:L69"/>
    <mergeCell ref="C70:D70"/>
    <mergeCell ref="E70:F70"/>
    <mergeCell ref="G70:H70"/>
    <mergeCell ref="I70:J70"/>
    <mergeCell ref="K70:L70"/>
    <mergeCell ref="M70:N70"/>
    <mergeCell ref="O70:P70"/>
    <mergeCell ref="Q70:R70"/>
    <mergeCell ref="S70:T70"/>
    <mergeCell ref="M69:N69"/>
    <mergeCell ref="O69:P69"/>
    <mergeCell ref="W82:X82"/>
    <mergeCell ref="Y82:Z82"/>
    <mergeCell ref="AA82:AB82"/>
    <mergeCell ref="AC82:AD82"/>
    <mergeCell ref="W71:X71"/>
    <mergeCell ref="Y71:Z71"/>
    <mergeCell ref="AA71:AB71"/>
    <mergeCell ref="AC71:AD71"/>
    <mergeCell ref="B72:B75"/>
    <mergeCell ref="M71:N71"/>
    <mergeCell ref="O71:P71"/>
    <mergeCell ref="Q71:R71"/>
    <mergeCell ref="S71:T71"/>
    <mergeCell ref="U71:V71"/>
    <mergeCell ref="C71:D71"/>
    <mergeCell ref="E71:F71"/>
    <mergeCell ref="G71:H71"/>
    <mergeCell ref="I71:J71"/>
    <mergeCell ref="K71:L71"/>
    <mergeCell ref="W76:X76"/>
    <mergeCell ref="Y76:Z76"/>
    <mergeCell ref="AA76:AB76"/>
    <mergeCell ref="AC76:AD76"/>
    <mergeCell ref="B77:B81"/>
    <mergeCell ref="M76:N76"/>
    <mergeCell ref="O76:P76"/>
    <mergeCell ref="Q76:R76"/>
    <mergeCell ref="S76:T76"/>
    <mergeCell ref="U76:V76"/>
    <mergeCell ref="C76:D76"/>
    <mergeCell ref="E76:F76"/>
    <mergeCell ref="G76:H76"/>
    <mergeCell ref="I76:J76"/>
    <mergeCell ref="K76:L76"/>
    <mergeCell ref="M82:N82"/>
    <mergeCell ref="O82:P82"/>
    <mergeCell ref="Q82:R82"/>
    <mergeCell ref="S82:T82"/>
    <mergeCell ref="U82:V82"/>
    <mergeCell ref="C82:D82"/>
    <mergeCell ref="E82:F82"/>
    <mergeCell ref="G82:H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I82:J82"/>
    <mergeCell ref="K82:L82"/>
    <mergeCell ref="AA83:AB83"/>
    <mergeCell ref="AC83:AD83"/>
    <mergeCell ref="C84:D84"/>
    <mergeCell ref="E84:F84"/>
    <mergeCell ref="G84:H84"/>
    <mergeCell ref="I84:J84"/>
    <mergeCell ref="K84:L84"/>
    <mergeCell ref="M84:N84"/>
    <mergeCell ref="O84:P84"/>
    <mergeCell ref="Q84:R84"/>
    <mergeCell ref="S84:T84"/>
    <mergeCell ref="U84:V84"/>
    <mergeCell ref="W84:X84"/>
    <mergeCell ref="Y84:Z84"/>
    <mergeCell ref="AA84:AB84"/>
    <mergeCell ref="AC84:AD84"/>
    <mergeCell ref="U83:V83"/>
    <mergeCell ref="W83:X83"/>
    <mergeCell ref="Y83:Z83"/>
  </mergeCells>
  <phoneticPr fontId="1" type="noConversion"/>
  <dataValidations count="1">
    <dataValidation type="list" allowBlank="1" showInputMessage="1" showErrorMessage="1" sqref="C84:AD84 C28:AD28 C56:AD56" xr:uid="{59BE9F38-B3D5-43A7-AE05-D2AF6A0FF8E0}">
      <formula1>"Aucune,13 mm,19 mm, 32 mm"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A9FC3-565F-4E88-85A1-9E01E44A0EE1}">
  <sheetPr codeName="Feuil6">
    <outlinePr summaryBelow="0" summaryRight="0"/>
  </sheetPr>
  <dimension ref="A1:AJ3100"/>
  <sheetViews>
    <sheetView tabSelected="1" zoomScale="85" zoomScaleNormal="85" zoomScaleSheetLayoutView="100" workbookViewId="0">
      <pane ySplit="12" topLeftCell="A2238" activePane="bottomLeft" state="frozen"/>
      <selection pane="bottomLeft" activeCell="C3" sqref="C3:F3"/>
    </sheetView>
  </sheetViews>
  <sheetFormatPr baseColWidth="10" defaultColWidth="11.42578125" defaultRowHeight="18" customHeight="1" outlineLevelRow="4" x14ac:dyDescent="0.2"/>
  <cols>
    <col min="1" max="1" width="9.7109375" style="10" customWidth="1"/>
    <col min="2" max="2" width="17.28515625" style="10" customWidth="1"/>
    <col min="3" max="3" width="28.5703125" style="10" customWidth="1"/>
    <col min="4" max="4" width="23.140625" style="10" customWidth="1"/>
    <col min="5" max="5" width="19.7109375" style="34" customWidth="1"/>
    <col min="6" max="6" width="14.7109375" style="10" customWidth="1"/>
    <col min="7" max="7" width="40.7109375" style="10" customWidth="1"/>
    <col min="8" max="8" width="11.42578125" style="25"/>
    <col min="9" max="9" width="11.42578125" style="9"/>
    <col min="10" max="28" width="0" style="9" hidden="1" customWidth="1"/>
    <col min="29" max="32" width="11.42578125" style="9" customWidth="1"/>
    <col min="33" max="16384" width="11.42578125" style="9"/>
  </cols>
  <sheetData>
    <row r="1" spans="1:11" ht="18" customHeight="1" x14ac:dyDescent="0.2">
      <c r="H1" s="28"/>
    </row>
    <row r="2" spans="1:11" ht="18" customHeight="1" x14ac:dyDescent="0.2">
      <c r="C2" s="154" t="s">
        <v>177</v>
      </c>
      <c r="D2" s="154"/>
      <c r="E2" s="154"/>
      <c r="F2" s="154"/>
      <c r="G2" s="22"/>
      <c r="H2" s="10"/>
    </row>
    <row r="3" spans="1:11" ht="18" customHeight="1" x14ac:dyDescent="0.2">
      <c r="C3" s="155" t="s">
        <v>178</v>
      </c>
      <c r="D3" s="155"/>
      <c r="E3" s="155"/>
      <c r="F3" s="155"/>
      <c r="H3" s="10"/>
    </row>
    <row r="4" spans="1:11" ht="18" customHeight="1" x14ac:dyDescent="0.2">
      <c r="C4" s="155" t="s">
        <v>179</v>
      </c>
      <c r="D4" s="155"/>
      <c r="E4" s="155"/>
      <c r="F4" s="155"/>
      <c r="H4" s="10"/>
    </row>
    <row r="5" spans="1:11" ht="18" customHeight="1" x14ac:dyDescent="0.2">
      <c r="A5" s="107" t="s">
        <v>171</v>
      </c>
      <c r="B5" s="13"/>
      <c r="C5" s="156" t="s">
        <v>176</v>
      </c>
      <c r="D5" s="156"/>
      <c r="E5" s="156"/>
      <c r="F5" s="156"/>
      <c r="G5" s="8"/>
      <c r="H5" s="8"/>
    </row>
    <row r="6" spans="1:11" ht="18" customHeight="1" x14ac:dyDescent="0.2">
      <c r="A6" s="108" t="s">
        <v>172</v>
      </c>
      <c r="B6" s="14"/>
      <c r="C6" s="8"/>
      <c r="D6" s="7"/>
      <c r="E6" s="35"/>
      <c r="F6" s="7"/>
      <c r="G6" s="8"/>
      <c r="H6" s="8"/>
    </row>
    <row r="7" spans="1:11" ht="18" customHeight="1" x14ac:dyDescent="0.2">
      <c r="A7" s="108" t="s">
        <v>173</v>
      </c>
      <c r="B7" s="15" t="s">
        <v>199</v>
      </c>
      <c r="C7" s="8" t="s">
        <v>196</v>
      </c>
      <c r="D7" s="150" t="s">
        <v>12</v>
      </c>
      <c r="E7" s="150"/>
      <c r="F7" s="150"/>
      <c r="G7" s="17"/>
      <c r="H7" s="28"/>
    </row>
    <row r="8" spans="1:11" ht="18" customHeight="1" x14ac:dyDescent="0.2">
      <c r="A8" s="108" t="s">
        <v>174</v>
      </c>
      <c r="B8" s="15"/>
      <c r="C8" s="8"/>
      <c r="D8" s="151" t="s">
        <v>197</v>
      </c>
      <c r="E8" s="151"/>
      <c r="F8" s="151"/>
      <c r="G8" s="16"/>
      <c r="H8" s="29"/>
    </row>
    <row r="9" spans="1:11" ht="18" customHeight="1" x14ac:dyDescent="0.2">
      <c r="A9" s="108" t="s">
        <v>175</v>
      </c>
      <c r="B9" s="15" t="s">
        <v>195</v>
      </c>
      <c r="C9" s="8" t="s">
        <v>196</v>
      </c>
      <c r="D9" s="151"/>
      <c r="E9" s="151"/>
      <c r="F9" s="151"/>
      <c r="G9" s="16"/>
      <c r="H9" s="29"/>
    </row>
    <row r="10" spans="1:11" ht="18" customHeight="1" x14ac:dyDescent="0.2">
      <c r="H10" s="28"/>
    </row>
    <row r="11" spans="1:11" ht="18" customHeight="1" x14ac:dyDescent="0.2">
      <c r="A11" s="152" t="s">
        <v>180</v>
      </c>
      <c r="B11" s="143" t="s">
        <v>4244</v>
      </c>
      <c r="C11" s="143" t="s">
        <v>16</v>
      </c>
      <c r="D11" s="143" t="s">
        <v>34</v>
      </c>
      <c r="E11" s="144" t="s">
        <v>198</v>
      </c>
      <c r="F11" s="143" t="s">
        <v>194</v>
      </c>
      <c r="G11" s="146" t="s">
        <v>35</v>
      </c>
      <c r="H11" s="148" t="s">
        <v>200</v>
      </c>
    </row>
    <row r="12" spans="1:11" ht="18" customHeight="1" x14ac:dyDescent="0.2">
      <c r="A12" s="153"/>
      <c r="B12" s="143"/>
      <c r="C12" s="143"/>
      <c r="D12" s="143"/>
      <c r="E12" s="145"/>
      <c r="F12" s="143"/>
      <c r="G12" s="147"/>
      <c r="H12" s="149"/>
    </row>
    <row r="13" spans="1:11" ht="18" customHeight="1" collapsed="1" x14ac:dyDescent="0.2">
      <c r="A13" s="141" t="s">
        <v>47</v>
      </c>
      <c r="B13" s="142"/>
      <c r="C13" s="142"/>
      <c r="D13" s="142"/>
      <c r="E13" s="142"/>
      <c r="F13" s="142"/>
      <c r="G13" s="142"/>
      <c r="H13" s="142"/>
    </row>
    <row r="14" spans="1:11" ht="18" hidden="1" customHeight="1" outlineLevel="1" x14ac:dyDescent="0.2">
      <c r="A14" s="119" t="s">
        <v>192</v>
      </c>
      <c r="B14" s="120"/>
      <c r="C14" s="120"/>
      <c r="D14" s="120"/>
      <c r="E14" s="120"/>
      <c r="F14" s="120"/>
      <c r="G14" s="120"/>
      <c r="H14" s="120"/>
    </row>
    <row r="15" spans="1:11" ht="18" hidden="1" customHeight="1" outlineLevel="2" x14ac:dyDescent="0.25">
      <c r="A15" s="39"/>
      <c r="B15" s="40" t="s">
        <v>182</v>
      </c>
      <c r="C15" s="41" t="s">
        <v>183</v>
      </c>
      <c r="D15" s="42" t="s">
        <v>184</v>
      </c>
      <c r="E15" s="43" t="s">
        <v>201</v>
      </c>
      <c r="F15" s="42" t="s">
        <v>202</v>
      </c>
      <c r="G15" s="44"/>
      <c r="H15" s="42" t="s">
        <v>211</v>
      </c>
      <c r="K15"/>
    </row>
    <row r="16" spans="1:11" ht="18" hidden="1" customHeight="1" outlineLevel="2" x14ac:dyDescent="0.25">
      <c r="A16" s="39"/>
      <c r="B16" s="40" t="s">
        <v>182</v>
      </c>
      <c r="C16" s="41" t="s">
        <v>183</v>
      </c>
      <c r="D16" s="42" t="s">
        <v>184</v>
      </c>
      <c r="E16" s="43" t="s">
        <v>203</v>
      </c>
      <c r="F16" s="42" t="s">
        <v>204</v>
      </c>
      <c r="G16" s="44"/>
      <c r="H16" s="42" t="s">
        <v>212</v>
      </c>
      <c r="K16"/>
    </row>
    <row r="17" spans="1:11" ht="18" hidden="1" customHeight="1" outlineLevel="2" x14ac:dyDescent="0.25">
      <c r="A17" s="39"/>
      <c r="B17" s="40" t="s">
        <v>182</v>
      </c>
      <c r="C17" s="41" t="s">
        <v>183</v>
      </c>
      <c r="D17" s="42" t="s">
        <v>185</v>
      </c>
      <c r="E17" s="43" t="s">
        <v>205</v>
      </c>
      <c r="F17" s="46" t="s">
        <v>202</v>
      </c>
      <c r="G17" s="44"/>
      <c r="H17" s="42" t="s">
        <v>213</v>
      </c>
      <c r="K17"/>
    </row>
    <row r="18" spans="1:11" ht="18" hidden="1" customHeight="1" outlineLevel="2" x14ac:dyDescent="0.25">
      <c r="A18" s="39"/>
      <c r="B18" s="40" t="s">
        <v>182</v>
      </c>
      <c r="C18" s="41" t="s">
        <v>183</v>
      </c>
      <c r="D18" s="42" t="s">
        <v>185</v>
      </c>
      <c r="E18" s="43" t="s">
        <v>206</v>
      </c>
      <c r="F18" s="42" t="s">
        <v>204</v>
      </c>
      <c r="G18" s="44"/>
      <c r="H18" s="42" t="s">
        <v>212</v>
      </c>
      <c r="K18"/>
    </row>
    <row r="19" spans="1:11" ht="18" hidden="1" customHeight="1" outlineLevel="2" x14ac:dyDescent="0.25">
      <c r="A19" s="39"/>
      <c r="B19" s="40" t="s">
        <v>182</v>
      </c>
      <c r="C19" s="47" t="s">
        <v>186</v>
      </c>
      <c r="D19" s="42" t="s">
        <v>187</v>
      </c>
      <c r="E19" s="48" t="s">
        <v>207</v>
      </c>
      <c r="F19" s="42" t="s">
        <v>204</v>
      </c>
      <c r="G19" s="44" t="s">
        <v>191</v>
      </c>
      <c r="H19" s="42" t="s">
        <v>214</v>
      </c>
      <c r="K19"/>
    </row>
    <row r="20" spans="1:11" ht="18" hidden="1" customHeight="1" outlineLevel="2" x14ac:dyDescent="0.25">
      <c r="A20" s="39"/>
      <c r="B20" s="40" t="s">
        <v>182</v>
      </c>
      <c r="C20" s="47" t="s">
        <v>186</v>
      </c>
      <c r="D20" s="42" t="s">
        <v>188</v>
      </c>
      <c r="E20" s="48" t="s">
        <v>208</v>
      </c>
      <c r="F20" s="42" t="s">
        <v>204</v>
      </c>
      <c r="G20" s="44"/>
      <c r="H20" s="42" t="s">
        <v>213</v>
      </c>
      <c r="K20"/>
    </row>
    <row r="21" spans="1:11" ht="18" hidden="1" customHeight="1" outlineLevel="2" x14ac:dyDescent="0.25">
      <c r="A21" s="39"/>
      <c r="B21" s="40" t="s">
        <v>182</v>
      </c>
      <c r="C21" s="47" t="s">
        <v>189</v>
      </c>
      <c r="D21" s="42" t="s">
        <v>190</v>
      </c>
      <c r="E21" s="48" t="s">
        <v>209</v>
      </c>
      <c r="F21" s="42" t="s">
        <v>210</v>
      </c>
      <c r="G21" s="44"/>
      <c r="H21" s="42" t="s">
        <v>213</v>
      </c>
      <c r="K21"/>
    </row>
    <row r="22" spans="1:11" ht="18" hidden="1" customHeight="1" outlineLevel="2" x14ac:dyDescent="0.25">
      <c r="A22" s="39"/>
      <c r="B22" s="40" t="s">
        <v>182</v>
      </c>
      <c r="C22" s="47" t="s">
        <v>215</v>
      </c>
      <c r="D22" s="42" t="s">
        <v>216</v>
      </c>
      <c r="E22" s="48" t="s">
        <v>217</v>
      </c>
      <c r="F22" s="42" t="s">
        <v>204</v>
      </c>
      <c r="G22" s="49" t="s">
        <v>220</v>
      </c>
      <c r="H22" s="42" t="s">
        <v>222</v>
      </c>
      <c r="K22"/>
    </row>
    <row r="23" spans="1:11" ht="18" hidden="1" customHeight="1" outlineLevel="2" x14ac:dyDescent="0.25">
      <c r="A23" s="39"/>
      <c r="B23" s="40" t="s">
        <v>223</v>
      </c>
      <c r="C23" s="47" t="s">
        <v>189</v>
      </c>
      <c r="D23" s="42" t="s">
        <v>218</v>
      </c>
      <c r="E23" s="48" t="s">
        <v>219</v>
      </c>
      <c r="F23" s="42" t="s">
        <v>204</v>
      </c>
      <c r="G23" s="49" t="s">
        <v>221</v>
      </c>
      <c r="H23" s="42" t="s">
        <v>214</v>
      </c>
      <c r="K23"/>
    </row>
    <row r="24" spans="1:11" ht="18" hidden="1" customHeight="1" outlineLevel="2" x14ac:dyDescent="0.25">
      <c r="A24" s="39"/>
      <c r="B24" s="40" t="s">
        <v>223</v>
      </c>
      <c r="C24" s="50" t="s">
        <v>279</v>
      </c>
      <c r="D24" s="24" t="s">
        <v>280</v>
      </c>
      <c r="E24" s="48" t="s">
        <v>281</v>
      </c>
      <c r="F24" s="42" t="s">
        <v>204</v>
      </c>
      <c r="G24" s="49"/>
      <c r="H24" s="42"/>
      <c r="K24"/>
    </row>
    <row r="25" spans="1:11" ht="18" hidden="1" customHeight="1" outlineLevel="2" x14ac:dyDescent="0.25">
      <c r="A25" s="39"/>
      <c r="B25" s="40" t="s">
        <v>223</v>
      </c>
      <c r="C25" s="50" t="s">
        <v>279</v>
      </c>
      <c r="D25" s="24" t="s">
        <v>282</v>
      </c>
      <c r="E25" s="48" t="s">
        <v>283</v>
      </c>
      <c r="F25" s="42" t="s">
        <v>204</v>
      </c>
      <c r="G25" s="49"/>
      <c r="H25" s="42"/>
      <c r="K25"/>
    </row>
    <row r="26" spans="1:11" ht="18" hidden="1" customHeight="1" outlineLevel="2" x14ac:dyDescent="0.25">
      <c r="A26" s="39"/>
      <c r="B26" s="40" t="s">
        <v>223</v>
      </c>
      <c r="C26" s="51" t="s">
        <v>279</v>
      </c>
      <c r="D26" s="26" t="s">
        <v>284</v>
      </c>
      <c r="E26" s="48" t="s">
        <v>285</v>
      </c>
      <c r="F26" s="42" t="s">
        <v>204</v>
      </c>
      <c r="G26" s="49"/>
      <c r="H26" s="42" t="s">
        <v>211</v>
      </c>
      <c r="K26"/>
    </row>
    <row r="27" spans="1:11" ht="18" hidden="1" customHeight="1" outlineLevel="2" x14ac:dyDescent="0.25">
      <c r="A27" s="39"/>
      <c r="B27" s="40" t="s">
        <v>223</v>
      </c>
      <c r="C27" s="50" t="s">
        <v>279</v>
      </c>
      <c r="D27" s="26" t="s">
        <v>286</v>
      </c>
      <c r="E27" s="48" t="s">
        <v>287</v>
      </c>
      <c r="F27" s="42" t="s">
        <v>204</v>
      </c>
      <c r="G27" s="49"/>
      <c r="H27" s="42" t="s">
        <v>211</v>
      </c>
      <c r="K27"/>
    </row>
    <row r="28" spans="1:11" ht="18" hidden="1" customHeight="1" outlineLevel="2" x14ac:dyDescent="0.25">
      <c r="A28" s="39"/>
      <c r="B28" s="40" t="s">
        <v>182</v>
      </c>
      <c r="C28" s="51" t="s">
        <v>279</v>
      </c>
      <c r="D28" s="26" t="s">
        <v>288</v>
      </c>
      <c r="E28" s="48" t="s">
        <v>289</v>
      </c>
      <c r="F28" s="42" t="s">
        <v>204</v>
      </c>
      <c r="G28" s="49"/>
      <c r="H28" s="42" t="s">
        <v>211</v>
      </c>
      <c r="K28"/>
    </row>
    <row r="29" spans="1:11" ht="18" hidden="1" customHeight="1" outlineLevel="2" x14ac:dyDescent="0.25">
      <c r="A29" s="39"/>
      <c r="B29" s="40" t="s">
        <v>223</v>
      </c>
      <c r="C29" s="50" t="s">
        <v>279</v>
      </c>
      <c r="D29" s="27" t="s">
        <v>290</v>
      </c>
      <c r="E29" s="48" t="s">
        <v>291</v>
      </c>
      <c r="F29" s="42" t="s">
        <v>254</v>
      </c>
      <c r="G29" s="49"/>
      <c r="H29" s="42" t="s">
        <v>211</v>
      </c>
      <c r="K29"/>
    </row>
    <row r="30" spans="1:11" ht="18" hidden="1" customHeight="1" outlineLevel="2" x14ac:dyDescent="0.25">
      <c r="A30" s="39"/>
      <c r="B30" s="40" t="s">
        <v>223</v>
      </c>
      <c r="C30" s="50" t="s">
        <v>279</v>
      </c>
      <c r="D30" s="27" t="s">
        <v>292</v>
      </c>
      <c r="E30" s="48" t="s">
        <v>293</v>
      </c>
      <c r="F30" s="42" t="s">
        <v>254</v>
      </c>
      <c r="G30" s="49"/>
      <c r="H30" s="42" t="s">
        <v>211</v>
      </c>
      <c r="K30"/>
    </row>
    <row r="31" spans="1:11" ht="18" hidden="1" customHeight="1" outlineLevel="2" x14ac:dyDescent="0.25">
      <c r="A31" s="39"/>
      <c r="B31" s="40"/>
      <c r="C31" s="45"/>
      <c r="D31" s="42"/>
      <c r="E31" s="48"/>
      <c r="F31" s="42"/>
      <c r="G31" s="49"/>
      <c r="H31" s="42"/>
      <c r="K31"/>
    </row>
    <row r="32" spans="1:11" ht="18" hidden="1" customHeight="1" outlineLevel="1" x14ac:dyDescent="0.2">
      <c r="A32" s="119" t="s">
        <v>26</v>
      </c>
      <c r="B32" s="120"/>
      <c r="C32" s="120"/>
      <c r="D32" s="120"/>
      <c r="E32" s="120"/>
      <c r="F32" s="120"/>
      <c r="G32" s="120"/>
      <c r="H32" s="120"/>
    </row>
    <row r="33" spans="1:11" ht="18" hidden="1" customHeight="1" outlineLevel="2" x14ac:dyDescent="0.2">
      <c r="A33" s="39"/>
      <c r="B33" s="40" t="s">
        <v>223</v>
      </c>
      <c r="C33" s="45" t="s">
        <v>224</v>
      </c>
      <c r="D33" s="42" t="s">
        <v>225</v>
      </c>
      <c r="E33" s="52" t="s">
        <v>226</v>
      </c>
      <c r="F33" s="42" t="s">
        <v>204</v>
      </c>
      <c r="G33" s="49" t="s">
        <v>231</v>
      </c>
      <c r="H33" s="42" t="s">
        <v>213</v>
      </c>
    </row>
    <row r="34" spans="1:11" ht="18" hidden="1" customHeight="1" outlineLevel="2" x14ac:dyDescent="0.2">
      <c r="A34" s="39"/>
      <c r="B34" s="40" t="s">
        <v>182</v>
      </c>
      <c r="C34" s="47" t="s">
        <v>224</v>
      </c>
      <c r="D34" s="42" t="s">
        <v>227</v>
      </c>
      <c r="E34" s="52" t="s">
        <v>228</v>
      </c>
      <c r="F34" s="42" t="s">
        <v>204</v>
      </c>
      <c r="G34" s="49" t="s">
        <v>232</v>
      </c>
      <c r="H34" s="42" t="s">
        <v>211</v>
      </c>
    </row>
    <row r="35" spans="1:11" ht="18" hidden="1" customHeight="1" outlineLevel="2" x14ac:dyDescent="0.2">
      <c r="A35" s="39"/>
      <c r="B35" s="40" t="s">
        <v>223</v>
      </c>
      <c r="C35" s="45" t="s">
        <v>224</v>
      </c>
      <c r="D35" s="42" t="s">
        <v>229</v>
      </c>
      <c r="E35" s="52" t="s">
        <v>230</v>
      </c>
      <c r="F35" s="42" t="s">
        <v>204</v>
      </c>
      <c r="G35" s="49" t="s">
        <v>233</v>
      </c>
      <c r="H35" s="42" t="s">
        <v>211</v>
      </c>
    </row>
    <row r="36" spans="1:11" ht="18" hidden="1" customHeight="1" outlineLevel="2" x14ac:dyDescent="0.25">
      <c r="A36" s="39"/>
      <c r="B36" s="40" t="s">
        <v>351</v>
      </c>
      <c r="C36" s="51" t="s">
        <v>319</v>
      </c>
      <c r="D36" s="24" t="s">
        <v>252</v>
      </c>
      <c r="E36" s="48" t="s">
        <v>320</v>
      </c>
      <c r="F36" s="42" t="s">
        <v>204</v>
      </c>
      <c r="G36" s="54" t="s">
        <v>343</v>
      </c>
      <c r="H36" s="45">
        <v>100</v>
      </c>
      <c r="K36"/>
    </row>
    <row r="37" spans="1:11" ht="18" hidden="1" customHeight="1" outlineLevel="2" x14ac:dyDescent="0.25">
      <c r="A37" s="39"/>
      <c r="B37" s="40" t="s">
        <v>351</v>
      </c>
      <c r="C37" s="51" t="s">
        <v>319</v>
      </c>
      <c r="D37" s="26" t="s">
        <v>256</v>
      </c>
      <c r="E37" s="48" t="s">
        <v>321</v>
      </c>
      <c r="F37" s="42" t="s">
        <v>204</v>
      </c>
      <c r="G37" s="54" t="s">
        <v>344</v>
      </c>
      <c r="H37" s="45">
        <v>100</v>
      </c>
      <c r="K37"/>
    </row>
    <row r="38" spans="1:11" ht="18" hidden="1" customHeight="1" outlineLevel="2" x14ac:dyDescent="0.25">
      <c r="A38" s="39"/>
      <c r="B38" s="40" t="s">
        <v>351</v>
      </c>
      <c r="C38" s="51" t="s">
        <v>319</v>
      </c>
      <c r="D38" s="27" t="s">
        <v>322</v>
      </c>
      <c r="E38" s="48" t="s">
        <v>323</v>
      </c>
      <c r="F38" s="42" t="s">
        <v>204</v>
      </c>
      <c r="G38" s="54" t="s">
        <v>345</v>
      </c>
      <c r="H38" s="45">
        <v>50</v>
      </c>
      <c r="K38"/>
    </row>
    <row r="39" spans="1:11" ht="18" hidden="1" customHeight="1" outlineLevel="2" x14ac:dyDescent="0.25">
      <c r="A39" s="39"/>
      <c r="B39" s="40" t="s">
        <v>351</v>
      </c>
      <c r="C39" s="51" t="s">
        <v>324</v>
      </c>
      <c r="D39" s="42" t="s">
        <v>325</v>
      </c>
      <c r="E39" s="48" t="s">
        <v>326</v>
      </c>
      <c r="F39" s="42" t="s">
        <v>202</v>
      </c>
      <c r="G39" s="54" t="s">
        <v>346</v>
      </c>
      <c r="H39" s="45">
        <v>50</v>
      </c>
      <c r="K39"/>
    </row>
    <row r="40" spans="1:11" ht="18" hidden="1" customHeight="1" outlineLevel="2" x14ac:dyDescent="0.25">
      <c r="A40" s="39"/>
      <c r="B40" s="40" t="s">
        <v>351</v>
      </c>
      <c r="C40" s="51" t="s">
        <v>327</v>
      </c>
      <c r="D40" s="42" t="s">
        <v>328</v>
      </c>
      <c r="E40" s="48" t="s">
        <v>329</v>
      </c>
      <c r="F40" s="42" t="s">
        <v>330</v>
      </c>
      <c r="G40" s="54" t="s">
        <v>347</v>
      </c>
      <c r="H40" s="45">
        <v>100</v>
      </c>
      <c r="K40"/>
    </row>
    <row r="41" spans="1:11" ht="18" hidden="1" customHeight="1" outlineLevel="2" x14ac:dyDescent="0.25">
      <c r="A41" s="39"/>
      <c r="B41" s="40" t="s">
        <v>223</v>
      </c>
      <c r="C41" s="50" t="s">
        <v>324</v>
      </c>
      <c r="D41" s="42" t="s">
        <v>328</v>
      </c>
      <c r="E41" s="48" t="s">
        <v>331</v>
      </c>
      <c r="F41" s="42" t="s">
        <v>330</v>
      </c>
      <c r="G41" s="54"/>
      <c r="H41" s="45">
        <v>200</v>
      </c>
      <c r="K41"/>
    </row>
    <row r="42" spans="1:11" ht="18" hidden="1" customHeight="1" outlineLevel="2" x14ac:dyDescent="0.25">
      <c r="A42" s="39"/>
      <c r="B42" s="40" t="s">
        <v>223</v>
      </c>
      <c r="C42" s="50" t="s">
        <v>324</v>
      </c>
      <c r="D42" s="42" t="s">
        <v>328</v>
      </c>
      <c r="E42" s="48" t="s">
        <v>332</v>
      </c>
      <c r="F42" s="42" t="s">
        <v>202</v>
      </c>
      <c r="G42" s="54" t="s">
        <v>346</v>
      </c>
      <c r="H42" s="45">
        <v>100</v>
      </c>
      <c r="K42"/>
    </row>
    <row r="43" spans="1:11" ht="18" hidden="1" customHeight="1" outlineLevel="2" x14ac:dyDescent="0.25">
      <c r="A43" s="39"/>
      <c r="B43" s="40" t="s">
        <v>223</v>
      </c>
      <c r="C43" s="50" t="s">
        <v>333</v>
      </c>
      <c r="D43" s="24" t="s">
        <v>53</v>
      </c>
      <c r="E43" s="48" t="s">
        <v>334</v>
      </c>
      <c r="F43" s="42" t="s">
        <v>204</v>
      </c>
      <c r="G43" s="55"/>
      <c r="H43" s="42" t="s">
        <v>211</v>
      </c>
      <c r="K43"/>
    </row>
    <row r="44" spans="1:11" ht="18" hidden="1" customHeight="1" outlineLevel="2" x14ac:dyDescent="0.25">
      <c r="A44" s="39"/>
      <c r="B44" s="40" t="s">
        <v>351</v>
      </c>
      <c r="C44" s="51" t="s">
        <v>333</v>
      </c>
      <c r="D44" s="26" t="s">
        <v>54</v>
      </c>
      <c r="E44" s="48" t="s">
        <v>335</v>
      </c>
      <c r="F44" s="42" t="s">
        <v>204</v>
      </c>
      <c r="G44" s="55"/>
      <c r="H44" s="42" t="s">
        <v>211</v>
      </c>
      <c r="K44"/>
    </row>
    <row r="45" spans="1:11" ht="18" hidden="1" customHeight="1" outlineLevel="2" x14ac:dyDescent="0.25">
      <c r="A45" s="39"/>
      <c r="B45" s="40" t="s">
        <v>223</v>
      </c>
      <c r="C45" s="50" t="s">
        <v>333</v>
      </c>
      <c r="D45" s="27" t="s">
        <v>55</v>
      </c>
      <c r="E45" s="48" t="s">
        <v>336</v>
      </c>
      <c r="F45" s="42" t="s">
        <v>204</v>
      </c>
      <c r="G45" s="55"/>
      <c r="H45" s="42" t="s">
        <v>350</v>
      </c>
      <c r="K45"/>
    </row>
    <row r="46" spans="1:11" ht="18" hidden="1" customHeight="1" outlineLevel="2" x14ac:dyDescent="0.2">
      <c r="A46" s="39"/>
      <c r="B46" s="40" t="s">
        <v>223</v>
      </c>
      <c r="C46" s="50" t="s">
        <v>337</v>
      </c>
      <c r="D46" s="24" t="s">
        <v>53</v>
      </c>
      <c r="E46" s="48" t="s">
        <v>338</v>
      </c>
      <c r="F46" s="42" t="s">
        <v>204</v>
      </c>
      <c r="G46" s="55"/>
      <c r="H46" s="42" t="s">
        <v>350</v>
      </c>
    </row>
    <row r="47" spans="1:11" ht="18" hidden="1" customHeight="1" outlineLevel="2" x14ac:dyDescent="0.2">
      <c r="A47" s="39"/>
      <c r="B47" s="40" t="s">
        <v>351</v>
      </c>
      <c r="C47" s="51" t="s">
        <v>337</v>
      </c>
      <c r="D47" s="26" t="s">
        <v>54</v>
      </c>
      <c r="E47" s="48" t="s">
        <v>339</v>
      </c>
      <c r="F47" s="42" t="s">
        <v>204</v>
      </c>
      <c r="G47" s="55"/>
      <c r="H47" s="42" t="s">
        <v>350</v>
      </c>
    </row>
    <row r="48" spans="1:11" ht="18" hidden="1" customHeight="1" outlineLevel="2" x14ac:dyDescent="0.2">
      <c r="A48" s="39"/>
      <c r="B48" s="40" t="s">
        <v>353</v>
      </c>
      <c r="C48" s="51" t="s">
        <v>340</v>
      </c>
      <c r="D48" s="26" t="s">
        <v>54</v>
      </c>
      <c r="E48" s="48" t="s">
        <v>341</v>
      </c>
      <c r="F48" s="42" t="s">
        <v>204</v>
      </c>
      <c r="G48" s="55" t="s">
        <v>348</v>
      </c>
      <c r="H48" s="42" t="s">
        <v>350</v>
      </c>
    </row>
    <row r="49" spans="1:8" ht="18" hidden="1" customHeight="1" outlineLevel="2" x14ac:dyDescent="0.2">
      <c r="A49" s="39"/>
      <c r="B49" s="40" t="s">
        <v>354</v>
      </c>
      <c r="C49" s="50" t="s">
        <v>340</v>
      </c>
      <c r="D49" s="27" t="s">
        <v>55</v>
      </c>
      <c r="E49" s="48" t="s">
        <v>342</v>
      </c>
      <c r="F49" s="42" t="s">
        <v>204</v>
      </c>
      <c r="G49" s="55" t="s">
        <v>349</v>
      </c>
      <c r="H49" s="42" t="s">
        <v>350</v>
      </c>
    </row>
    <row r="50" spans="1:8" ht="18" hidden="1" customHeight="1" outlineLevel="2" x14ac:dyDescent="0.2">
      <c r="A50" s="39"/>
      <c r="B50" s="40"/>
      <c r="C50" s="45"/>
      <c r="D50" s="42"/>
      <c r="E50" s="52"/>
      <c r="F50" s="42"/>
      <c r="G50" s="49"/>
      <c r="H50" s="42"/>
    </row>
    <row r="51" spans="1:8" ht="18" hidden="1" customHeight="1" outlineLevel="1" x14ac:dyDescent="0.2">
      <c r="A51" s="119" t="s">
        <v>3745</v>
      </c>
      <c r="B51" s="120"/>
      <c r="C51" s="120"/>
      <c r="D51" s="120"/>
      <c r="E51" s="120"/>
      <c r="F51" s="120"/>
      <c r="G51" s="120"/>
      <c r="H51" s="120"/>
    </row>
    <row r="52" spans="1:8" ht="18" hidden="1" customHeight="1" outlineLevel="2" x14ac:dyDescent="0.2">
      <c r="A52" s="39"/>
      <c r="B52" s="40" t="s">
        <v>223</v>
      </c>
      <c r="C52" s="45" t="s">
        <v>243</v>
      </c>
      <c r="D52" s="40" t="s">
        <v>244</v>
      </c>
      <c r="E52" s="48" t="s">
        <v>245</v>
      </c>
      <c r="F52" s="42" t="s">
        <v>204</v>
      </c>
      <c r="G52" s="44"/>
      <c r="H52" s="42" t="s">
        <v>211</v>
      </c>
    </row>
    <row r="53" spans="1:8" ht="18" hidden="1" customHeight="1" outlineLevel="2" x14ac:dyDescent="0.2">
      <c r="A53" s="39"/>
      <c r="B53" s="40" t="s">
        <v>223</v>
      </c>
      <c r="C53" s="45" t="s">
        <v>243</v>
      </c>
      <c r="D53" s="40" t="s">
        <v>246</v>
      </c>
      <c r="E53" s="48" t="s">
        <v>247</v>
      </c>
      <c r="F53" s="42" t="s">
        <v>204</v>
      </c>
      <c r="G53" s="44"/>
      <c r="H53" s="42" t="s">
        <v>213</v>
      </c>
    </row>
    <row r="54" spans="1:8" ht="18" hidden="1" customHeight="1" outlineLevel="2" x14ac:dyDescent="0.25">
      <c r="A54" s="39"/>
      <c r="B54" s="40" t="s">
        <v>223</v>
      </c>
      <c r="C54" s="51" t="s">
        <v>250</v>
      </c>
      <c r="D54" s="26" t="s">
        <v>256</v>
      </c>
      <c r="E54" s="48" t="s">
        <v>260</v>
      </c>
      <c r="F54" s="42" t="s">
        <v>204</v>
      </c>
      <c r="G54" s="44"/>
      <c r="H54" s="53"/>
    </row>
    <row r="55" spans="1:8" ht="18" hidden="1" customHeight="1" outlineLevel="2" x14ac:dyDescent="0.25">
      <c r="A55" s="39"/>
      <c r="B55" s="40" t="s">
        <v>223</v>
      </c>
      <c r="C55" s="51" t="s">
        <v>251</v>
      </c>
      <c r="D55" s="26" t="s">
        <v>256</v>
      </c>
      <c r="E55" s="48" t="s">
        <v>261</v>
      </c>
      <c r="F55" s="42" t="s">
        <v>204</v>
      </c>
      <c r="G55" s="44"/>
      <c r="H55" s="53"/>
    </row>
    <row r="56" spans="1:8" ht="18" hidden="1" customHeight="1" outlineLevel="2" x14ac:dyDescent="0.2">
      <c r="A56" s="39"/>
      <c r="B56" s="40"/>
      <c r="C56" s="45"/>
      <c r="D56" s="40"/>
      <c r="E56" s="48"/>
      <c r="F56" s="42"/>
      <c r="G56" s="44"/>
      <c r="H56" s="42"/>
    </row>
    <row r="57" spans="1:8" ht="18" hidden="1" customHeight="1" outlineLevel="1" x14ac:dyDescent="0.2">
      <c r="A57" s="119" t="s">
        <v>28</v>
      </c>
      <c r="B57" s="120"/>
      <c r="C57" s="120"/>
      <c r="D57" s="120"/>
      <c r="E57" s="120"/>
      <c r="F57" s="120"/>
      <c r="G57" s="120"/>
      <c r="H57" s="120"/>
    </row>
    <row r="58" spans="1:8" ht="18" hidden="1" customHeight="1" outlineLevel="2" x14ac:dyDescent="0.2">
      <c r="A58" s="39"/>
      <c r="B58" s="40" t="s">
        <v>268</v>
      </c>
      <c r="C58" s="45" t="s">
        <v>248</v>
      </c>
      <c r="D58" s="24" t="s">
        <v>263</v>
      </c>
      <c r="E58" s="48" t="s">
        <v>253</v>
      </c>
      <c r="F58" s="42" t="s">
        <v>254</v>
      </c>
      <c r="G58" s="44"/>
      <c r="H58" s="42" t="s">
        <v>266</v>
      </c>
    </row>
    <row r="59" spans="1:8" ht="18" hidden="1" customHeight="1" outlineLevel="2" x14ac:dyDescent="0.2">
      <c r="A59" s="39"/>
      <c r="B59" s="40" t="s">
        <v>269</v>
      </c>
      <c r="C59" s="45" t="s">
        <v>249</v>
      </c>
      <c r="D59" s="24" t="s">
        <v>262</v>
      </c>
      <c r="E59" s="48" t="s">
        <v>255</v>
      </c>
      <c r="F59" s="42" t="s">
        <v>254</v>
      </c>
      <c r="G59" s="44"/>
      <c r="H59" s="42" t="s">
        <v>211</v>
      </c>
    </row>
    <row r="60" spans="1:8" ht="18" hidden="1" customHeight="1" outlineLevel="2" x14ac:dyDescent="0.2">
      <c r="A60" s="39"/>
      <c r="B60" s="40" t="s">
        <v>270</v>
      </c>
      <c r="C60" s="47" t="s">
        <v>248</v>
      </c>
      <c r="D60" s="26" t="s">
        <v>264</v>
      </c>
      <c r="E60" s="48" t="s">
        <v>257</v>
      </c>
      <c r="F60" s="42" t="s">
        <v>254</v>
      </c>
      <c r="G60" s="44"/>
      <c r="H60" s="42" t="s">
        <v>267</v>
      </c>
    </row>
    <row r="61" spans="1:8" ht="18" hidden="1" customHeight="1" outlineLevel="2" x14ac:dyDescent="0.2">
      <c r="A61" s="39"/>
      <c r="B61" s="40" t="s">
        <v>271</v>
      </c>
      <c r="C61" s="47" t="s">
        <v>248</v>
      </c>
      <c r="D61" s="26" t="s">
        <v>265</v>
      </c>
      <c r="E61" s="48" t="s">
        <v>258</v>
      </c>
      <c r="F61" s="42" t="s">
        <v>254</v>
      </c>
      <c r="G61" s="44"/>
      <c r="H61" s="42" t="s">
        <v>267</v>
      </c>
    </row>
    <row r="62" spans="1:8" ht="18" hidden="1" customHeight="1" outlineLevel="2" x14ac:dyDescent="0.2">
      <c r="A62" s="39"/>
      <c r="B62" s="40" t="s">
        <v>272</v>
      </c>
      <c r="C62" s="47" t="s">
        <v>249</v>
      </c>
      <c r="D62" s="26" t="s">
        <v>256</v>
      </c>
      <c r="E62" s="48" t="s">
        <v>259</v>
      </c>
      <c r="F62" s="42" t="s">
        <v>254</v>
      </c>
      <c r="G62" s="44"/>
      <c r="H62" s="42" t="s">
        <v>211</v>
      </c>
    </row>
    <row r="63" spans="1:8" ht="18" hidden="1" customHeight="1" outlineLevel="2" x14ac:dyDescent="0.25">
      <c r="A63" s="39"/>
      <c r="B63" s="40"/>
      <c r="C63" s="40"/>
      <c r="D63" s="40"/>
      <c r="E63" s="56"/>
      <c r="F63" s="40"/>
      <c r="G63" s="44"/>
      <c r="H63" s="53"/>
    </row>
    <row r="64" spans="1:8" ht="18" hidden="1" customHeight="1" outlineLevel="1" x14ac:dyDescent="0.2">
      <c r="A64" s="119" t="s">
        <v>273</v>
      </c>
      <c r="B64" s="120"/>
      <c r="C64" s="120"/>
      <c r="D64" s="120"/>
      <c r="E64" s="120"/>
      <c r="F64" s="120"/>
      <c r="G64" s="120"/>
      <c r="H64" s="120"/>
    </row>
    <row r="65" spans="1:8" ht="18" hidden="1" customHeight="1" outlineLevel="2" x14ac:dyDescent="0.25">
      <c r="A65" s="39"/>
      <c r="B65" s="40" t="s">
        <v>223</v>
      </c>
      <c r="C65" s="50" t="s">
        <v>274</v>
      </c>
      <c r="D65" s="24" t="s">
        <v>53</v>
      </c>
      <c r="E65" s="48" t="s">
        <v>275</v>
      </c>
      <c r="F65" s="42" t="s">
        <v>204</v>
      </c>
      <c r="G65" s="44"/>
      <c r="H65" s="53">
        <v>200</v>
      </c>
    </row>
    <row r="66" spans="1:8" ht="18" hidden="1" customHeight="1" outlineLevel="2" x14ac:dyDescent="0.25">
      <c r="A66" s="39"/>
      <c r="B66" s="40" t="s">
        <v>182</v>
      </c>
      <c r="C66" s="51" t="s">
        <v>274</v>
      </c>
      <c r="D66" s="26" t="s">
        <v>54</v>
      </c>
      <c r="E66" s="48" t="s">
        <v>276</v>
      </c>
      <c r="F66" s="42" t="s">
        <v>204</v>
      </c>
      <c r="G66" s="44"/>
      <c r="H66" s="53">
        <v>200</v>
      </c>
    </row>
    <row r="67" spans="1:8" ht="18" hidden="1" customHeight="1" outlineLevel="2" x14ac:dyDescent="0.25">
      <c r="A67" s="39"/>
      <c r="B67" s="40" t="s">
        <v>223</v>
      </c>
      <c r="C67" s="50" t="s">
        <v>274</v>
      </c>
      <c r="D67" s="27" t="s">
        <v>55</v>
      </c>
      <c r="E67" s="48" t="s">
        <v>277</v>
      </c>
      <c r="F67" s="42" t="s">
        <v>204</v>
      </c>
      <c r="G67" s="44"/>
      <c r="H67" s="53">
        <v>200</v>
      </c>
    </row>
    <row r="68" spans="1:8" ht="18" hidden="1" customHeight="1" outlineLevel="2" x14ac:dyDescent="0.25">
      <c r="A68" s="39"/>
      <c r="B68" s="40"/>
      <c r="C68" s="40"/>
      <c r="D68" s="40"/>
      <c r="E68" s="56"/>
      <c r="F68" s="40"/>
      <c r="G68" s="44"/>
      <c r="H68" s="53"/>
    </row>
    <row r="69" spans="1:8" ht="18" hidden="1" customHeight="1" outlineLevel="1" x14ac:dyDescent="0.2">
      <c r="A69" s="119" t="s">
        <v>295</v>
      </c>
      <c r="B69" s="120"/>
      <c r="C69" s="120"/>
      <c r="D69" s="120"/>
      <c r="E69" s="120"/>
      <c r="F69" s="120"/>
      <c r="G69" s="120"/>
      <c r="H69" s="120"/>
    </row>
    <row r="70" spans="1:8" ht="18" hidden="1" customHeight="1" outlineLevel="2" x14ac:dyDescent="0.2">
      <c r="A70" s="39"/>
      <c r="B70" s="40" t="s">
        <v>182</v>
      </c>
      <c r="C70" s="50" t="s">
        <v>0</v>
      </c>
      <c r="D70" s="24" t="s">
        <v>296</v>
      </c>
      <c r="E70" s="48" t="s">
        <v>297</v>
      </c>
      <c r="F70" s="42" t="s">
        <v>204</v>
      </c>
      <c r="G70" s="54" t="s">
        <v>309</v>
      </c>
      <c r="H70" s="42" t="s">
        <v>213</v>
      </c>
    </row>
    <row r="71" spans="1:8" ht="18" hidden="1" customHeight="1" outlineLevel="2" x14ac:dyDescent="0.2">
      <c r="A71" s="39"/>
      <c r="B71" s="40" t="s">
        <v>223</v>
      </c>
      <c r="C71" s="50" t="s">
        <v>0</v>
      </c>
      <c r="D71" s="24" t="s">
        <v>298</v>
      </c>
      <c r="E71" s="48" t="s">
        <v>299</v>
      </c>
      <c r="F71" s="42" t="s">
        <v>254</v>
      </c>
      <c r="G71" s="54" t="s">
        <v>310</v>
      </c>
      <c r="H71" s="42" t="s">
        <v>211</v>
      </c>
    </row>
    <row r="72" spans="1:8" ht="18" hidden="1" customHeight="1" outlineLevel="2" x14ac:dyDescent="0.2">
      <c r="A72" s="39"/>
      <c r="B72" s="40" t="s">
        <v>182</v>
      </c>
      <c r="C72" s="51" t="s">
        <v>0</v>
      </c>
      <c r="D72" s="26" t="s">
        <v>300</v>
      </c>
      <c r="E72" s="48" t="s">
        <v>301</v>
      </c>
      <c r="F72" s="42" t="s">
        <v>204</v>
      </c>
      <c r="G72" s="54" t="s">
        <v>309</v>
      </c>
      <c r="H72" s="42" t="s">
        <v>213</v>
      </c>
    </row>
    <row r="73" spans="1:8" ht="18" hidden="1" customHeight="1" outlineLevel="2" x14ac:dyDescent="0.2">
      <c r="A73" s="39"/>
      <c r="B73" s="40" t="s">
        <v>223</v>
      </c>
      <c r="C73" s="50" t="s">
        <v>0</v>
      </c>
      <c r="D73" s="26" t="s">
        <v>302</v>
      </c>
      <c r="E73" s="48" t="s">
        <v>303</v>
      </c>
      <c r="F73" s="42" t="s">
        <v>254</v>
      </c>
      <c r="G73" s="54" t="s">
        <v>309</v>
      </c>
      <c r="H73" s="42" t="s">
        <v>211</v>
      </c>
    </row>
    <row r="74" spans="1:8" ht="18" hidden="1" customHeight="1" outlineLevel="2" x14ac:dyDescent="0.2">
      <c r="A74" s="39"/>
      <c r="B74" s="40" t="s">
        <v>223</v>
      </c>
      <c r="C74" s="50" t="s">
        <v>0</v>
      </c>
      <c r="D74" s="27" t="s">
        <v>304</v>
      </c>
      <c r="E74" s="48" t="s">
        <v>305</v>
      </c>
      <c r="F74" s="42" t="s">
        <v>254</v>
      </c>
      <c r="G74" s="54" t="s">
        <v>310</v>
      </c>
      <c r="H74" s="42" t="s">
        <v>211</v>
      </c>
    </row>
    <row r="75" spans="1:8" ht="18" hidden="1" customHeight="1" outlineLevel="2" x14ac:dyDescent="0.2">
      <c r="A75" s="39"/>
      <c r="B75" s="40" t="s">
        <v>223</v>
      </c>
      <c r="C75" s="50" t="s">
        <v>0</v>
      </c>
      <c r="D75" s="27" t="s">
        <v>306</v>
      </c>
      <c r="E75" s="48" t="s">
        <v>307</v>
      </c>
      <c r="F75" s="42" t="s">
        <v>254</v>
      </c>
      <c r="G75" s="54" t="s">
        <v>309</v>
      </c>
      <c r="H75" s="42" t="s">
        <v>211</v>
      </c>
    </row>
    <row r="76" spans="1:8" ht="18" hidden="1" customHeight="1" outlineLevel="2" x14ac:dyDescent="0.2">
      <c r="A76" s="39"/>
      <c r="B76" s="40" t="s">
        <v>223</v>
      </c>
      <c r="C76" s="50" t="s">
        <v>0</v>
      </c>
      <c r="D76" s="27" t="s">
        <v>306</v>
      </c>
      <c r="E76" s="48" t="s">
        <v>308</v>
      </c>
      <c r="F76" s="42" t="s">
        <v>204</v>
      </c>
      <c r="G76" s="54" t="s">
        <v>309</v>
      </c>
      <c r="H76" s="42" t="s">
        <v>211</v>
      </c>
    </row>
    <row r="77" spans="1:8" ht="18" hidden="1" customHeight="1" outlineLevel="2" x14ac:dyDescent="0.25">
      <c r="A77" s="39"/>
      <c r="B77" s="40"/>
      <c r="C77" s="40"/>
      <c r="D77" s="40"/>
      <c r="E77" s="56"/>
      <c r="F77" s="40"/>
      <c r="G77" s="44"/>
      <c r="H77" s="53"/>
    </row>
    <row r="78" spans="1:8" ht="18" hidden="1" customHeight="1" outlineLevel="1" x14ac:dyDescent="0.2">
      <c r="A78" s="119" t="s">
        <v>31</v>
      </c>
      <c r="B78" s="120"/>
      <c r="C78" s="120"/>
      <c r="D78" s="120"/>
      <c r="E78" s="120"/>
      <c r="F78" s="120"/>
      <c r="G78" s="120"/>
      <c r="H78" s="120"/>
    </row>
    <row r="79" spans="1:8" ht="18" hidden="1" customHeight="1" outlineLevel="2" x14ac:dyDescent="0.2">
      <c r="A79" s="39"/>
      <c r="B79" s="40" t="s">
        <v>223</v>
      </c>
      <c r="C79" s="51" t="s">
        <v>311</v>
      </c>
      <c r="D79" s="27" t="s">
        <v>312</v>
      </c>
      <c r="E79" s="48" t="s">
        <v>313</v>
      </c>
      <c r="F79" s="42" t="s">
        <v>254</v>
      </c>
      <c r="G79" s="54"/>
      <c r="H79" s="42" t="s">
        <v>213</v>
      </c>
    </row>
    <row r="80" spans="1:8" ht="18" hidden="1" customHeight="1" outlineLevel="2" x14ac:dyDescent="0.2">
      <c r="A80" s="39"/>
      <c r="B80" s="40" t="s">
        <v>223</v>
      </c>
      <c r="C80" s="51" t="s">
        <v>311</v>
      </c>
      <c r="D80" s="27" t="s">
        <v>314</v>
      </c>
      <c r="E80" s="48" t="s">
        <v>315</v>
      </c>
      <c r="F80" s="42" t="s">
        <v>254</v>
      </c>
      <c r="G80" s="54"/>
      <c r="H80" s="42" t="s">
        <v>211</v>
      </c>
    </row>
    <row r="81" spans="1:8" ht="18" hidden="1" customHeight="1" outlineLevel="2" x14ac:dyDescent="0.2">
      <c r="A81" s="39"/>
      <c r="B81" s="40" t="s">
        <v>223</v>
      </c>
      <c r="C81" s="50" t="s">
        <v>311</v>
      </c>
      <c r="D81" s="27" t="s">
        <v>316</v>
      </c>
      <c r="E81" s="48" t="s">
        <v>317</v>
      </c>
      <c r="F81" s="42" t="s">
        <v>204</v>
      </c>
      <c r="G81" s="54"/>
      <c r="H81" s="42" t="s">
        <v>211</v>
      </c>
    </row>
    <row r="82" spans="1:8" ht="18" hidden="1" customHeight="1" outlineLevel="2" x14ac:dyDescent="0.2">
      <c r="A82" s="39"/>
      <c r="B82" s="40" t="s">
        <v>223</v>
      </c>
      <c r="C82" s="50" t="s">
        <v>311</v>
      </c>
      <c r="D82" s="27" t="s">
        <v>318</v>
      </c>
      <c r="E82" s="48"/>
      <c r="F82" s="42"/>
      <c r="G82" s="54"/>
      <c r="H82" s="42"/>
    </row>
    <row r="83" spans="1:8" ht="18" hidden="1" customHeight="1" outlineLevel="2" x14ac:dyDescent="0.25">
      <c r="A83" s="39"/>
      <c r="B83" s="40"/>
      <c r="C83" s="40"/>
      <c r="D83" s="40"/>
      <c r="E83" s="56"/>
      <c r="F83" s="40"/>
      <c r="G83" s="44"/>
      <c r="H83" s="53"/>
    </row>
    <row r="84" spans="1:8" ht="18" hidden="1" customHeight="1" outlineLevel="1" x14ac:dyDescent="0.2">
      <c r="A84" s="119" t="s">
        <v>32</v>
      </c>
      <c r="B84" s="120"/>
      <c r="C84" s="120"/>
      <c r="D84" s="120"/>
      <c r="E84" s="120"/>
      <c r="F84" s="120"/>
      <c r="G84" s="120"/>
      <c r="H84" s="120"/>
    </row>
    <row r="85" spans="1:8" ht="18" hidden="1" customHeight="1" outlineLevel="2" x14ac:dyDescent="0.2">
      <c r="A85" s="39"/>
      <c r="B85" s="40" t="s">
        <v>223</v>
      </c>
      <c r="C85" s="50" t="s">
        <v>355</v>
      </c>
      <c r="D85" s="54" t="s">
        <v>356</v>
      </c>
      <c r="E85" s="48" t="s">
        <v>357</v>
      </c>
      <c r="F85" s="42" t="s">
        <v>254</v>
      </c>
      <c r="G85" s="55" t="s">
        <v>373</v>
      </c>
      <c r="H85" s="42" t="s">
        <v>375</v>
      </c>
    </row>
    <row r="86" spans="1:8" ht="18" hidden="1" customHeight="1" outlineLevel="2" x14ac:dyDescent="0.2">
      <c r="A86" s="39"/>
      <c r="B86" s="40" t="s">
        <v>223</v>
      </c>
      <c r="C86" s="50" t="s">
        <v>355</v>
      </c>
      <c r="D86" s="54" t="s">
        <v>358</v>
      </c>
      <c r="E86" s="48" t="s">
        <v>359</v>
      </c>
      <c r="F86" s="42" t="s">
        <v>254</v>
      </c>
      <c r="G86" s="55" t="s">
        <v>373</v>
      </c>
      <c r="H86" s="42" t="s">
        <v>375</v>
      </c>
    </row>
    <row r="87" spans="1:8" ht="18" hidden="1" customHeight="1" outlineLevel="2" x14ac:dyDescent="0.2">
      <c r="A87" s="39"/>
      <c r="B87" s="40" t="s">
        <v>223</v>
      </c>
      <c r="C87" s="50" t="s">
        <v>360</v>
      </c>
      <c r="D87" s="54" t="s">
        <v>361</v>
      </c>
      <c r="E87" s="48" t="s">
        <v>362</v>
      </c>
      <c r="F87" s="42" t="s">
        <v>254</v>
      </c>
      <c r="G87" s="55" t="s">
        <v>373</v>
      </c>
      <c r="H87" s="42" t="s">
        <v>375</v>
      </c>
    </row>
    <row r="88" spans="1:8" ht="18" hidden="1" customHeight="1" outlineLevel="2" x14ac:dyDescent="0.2">
      <c r="A88" s="39"/>
      <c r="B88" s="40" t="s">
        <v>223</v>
      </c>
      <c r="C88" s="50" t="s">
        <v>360</v>
      </c>
      <c r="D88" s="54" t="s">
        <v>356</v>
      </c>
      <c r="E88" s="48" t="s">
        <v>363</v>
      </c>
      <c r="F88" s="42" t="s">
        <v>254</v>
      </c>
      <c r="G88" s="45" t="s">
        <v>374</v>
      </c>
      <c r="H88" s="42"/>
    </row>
    <row r="89" spans="1:8" ht="18" hidden="1" customHeight="1" outlineLevel="2" x14ac:dyDescent="0.2">
      <c r="A89" s="39"/>
      <c r="B89" s="40" t="s">
        <v>377</v>
      </c>
      <c r="C89" s="50" t="s">
        <v>360</v>
      </c>
      <c r="D89" s="54" t="s">
        <v>364</v>
      </c>
      <c r="E89" s="48" t="s">
        <v>365</v>
      </c>
      <c r="F89" s="42" t="s">
        <v>254</v>
      </c>
      <c r="G89" s="55" t="s">
        <v>373</v>
      </c>
      <c r="H89" s="42" t="s">
        <v>376</v>
      </c>
    </row>
    <row r="90" spans="1:8" ht="18" hidden="1" customHeight="1" outlineLevel="2" x14ac:dyDescent="0.2">
      <c r="A90" s="39"/>
      <c r="B90" s="40" t="s">
        <v>223</v>
      </c>
      <c r="C90" s="51" t="s">
        <v>360</v>
      </c>
      <c r="D90" s="54" t="s">
        <v>358</v>
      </c>
      <c r="E90" s="48" t="s">
        <v>366</v>
      </c>
      <c r="F90" s="42" t="s">
        <v>254</v>
      </c>
      <c r="G90" s="55" t="s">
        <v>373</v>
      </c>
      <c r="H90" s="42" t="s">
        <v>376</v>
      </c>
    </row>
    <row r="91" spans="1:8" ht="18" hidden="1" customHeight="1" outlineLevel="2" x14ac:dyDescent="0.2">
      <c r="A91" s="39"/>
      <c r="B91" s="40" t="s">
        <v>378</v>
      </c>
      <c r="C91" s="50" t="s">
        <v>360</v>
      </c>
      <c r="D91" s="54" t="s">
        <v>367</v>
      </c>
      <c r="E91" s="48" t="s">
        <v>368</v>
      </c>
      <c r="F91" s="42" t="s">
        <v>254</v>
      </c>
      <c r="G91" s="55" t="s">
        <v>373</v>
      </c>
      <c r="H91" s="42" t="s">
        <v>376</v>
      </c>
    </row>
    <row r="92" spans="1:8" ht="18" hidden="1" customHeight="1" outlineLevel="2" x14ac:dyDescent="0.2">
      <c r="A92" s="39"/>
      <c r="B92" s="40" t="s">
        <v>379</v>
      </c>
      <c r="C92" s="50" t="s">
        <v>360</v>
      </c>
      <c r="D92" s="54" t="s">
        <v>369</v>
      </c>
      <c r="E92" s="48" t="s">
        <v>370</v>
      </c>
      <c r="F92" s="42" t="s">
        <v>254</v>
      </c>
      <c r="G92" s="55" t="s">
        <v>373</v>
      </c>
      <c r="H92" s="42" t="s">
        <v>376</v>
      </c>
    </row>
    <row r="93" spans="1:8" ht="18" hidden="1" customHeight="1" outlineLevel="2" x14ac:dyDescent="0.2">
      <c r="A93" s="39"/>
      <c r="B93" s="40" t="s">
        <v>380</v>
      </c>
      <c r="C93" s="51" t="s">
        <v>360</v>
      </c>
      <c r="D93" s="54" t="s">
        <v>371</v>
      </c>
      <c r="E93" s="48" t="s">
        <v>372</v>
      </c>
      <c r="F93" s="42" t="s">
        <v>254</v>
      </c>
      <c r="G93" s="55" t="s">
        <v>373</v>
      </c>
      <c r="H93" s="42" t="s">
        <v>375</v>
      </c>
    </row>
    <row r="94" spans="1:8" ht="18" hidden="1" customHeight="1" outlineLevel="2" x14ac:dyDescent="0.25">
      <c r="A94" s="39"/>
      <c r="B94" s="40"/>
      <c r="C94" s="40"/>
      <c r="D94" s="40"/>
      <c r="E94" s="56"/>
      <c r="F94" s="40"/>
      <c r="G94" s="44"/>
      <c r="H94" s="53"/>
    </row>
    <row r="95" spans="1:8" ht="18" hidden="1" customHeight="1" outlineLevel="1" x14ac:dyDescent="0.2">
      <c r="A95" s="119" t="s">
        <v>381</v>
      </c>
      <c r="B95" s="120"/>
      <c r="C95" s="120"/>
      <c r="D95" s="120"/>
      <c r="E95" s="120"/>
      <c r="F95" s="120"/>
      <c r="G95" s="120"/>
      <c r="H95" s="120"/>
    </row>
    <row r="96" spans="1:8" ht="18" hidden="1" customHeight="1" outlineLevel="2" x14ac:dyDescent="0.2">
      <c r="A96" s="39"/>
      <c r="B96" s="40" t="s">
        <v>223</v>
      </c>
      <c r="C96" s="57" t="s">
        <v>382</v>
      </c>
      <c r="D96" s="54" t="s">
        <v>384</v>
      </c>
      <c r="E96" s="48" t="s">
        <v>385</v>
      </c>
      <c r="F96" s="42" t="s">
        <v>254</v>
      </c>
      <c r="G96" s="54" t="s">
        <v>398</v>
      </c>
      <c r="H96" s="42" t="s">
        <v>403</v>
      </c>
    </row>
    <row r="97" spans="1:11" ht="18" hidden="1" customHeight="1" outlineLevel="2" x14ac:dyDescent="0.2">
      <c r="A97" s="39"/>
      <c r="B97" s="40" t="s">
        <v>431</v>
      </c>
      <c r="C97" s="51" t="s">
        <v>382</v>
      </c>
      <c r="D97" s="54" t="s">
        <v>386</v>
      </c>
      <c r="E97" s="48" t="s">
        <v>387</v>
      </c>
      <c r="F97" s="42" t="s">
        <v>254</v>
      </c>
      <c r="G97" s="54" t="s">
        <v>398</v>
      </c>
      <c r="H97" s="42" t="s">
        <v>404</v>
      </c>
    </row>
    <row r="98" spans="1:11" ht="18" hidden="1" customHeight="1" outlineLevel="2" x14ac:dyDescent="0.2">
      <c r="A98" s="39"/>
      <c r="B98" s="40" t="s">
        <v>431</v>
      </c>
      <c r="C98" s="50" t="s">
        <v>382</v>
      </c>
      <c r="D98" s="54" t="s">
        <v>386</v>
      </c>
      <c r="E98" s="48" t="s">
        <v>388</v>
      </c>
      <c r="F98" s="42" t="s">
        <v>254</v>
      </c>
      <c r="G98" s="54" t="s">
        <v>399</v>
      </c>
      <c r="H98" s="42" t="s">
        <v>57</v>
      </c>
    </row>
    <row r="99" spans="1:11" ht="18" hidden="1" customHeight="1" outlineLevel="2" x14ac:dyDescent="0.2">
      <c r="A99" s="39"/>
      <c r="B99" s="40" t="s">
        <v>432</v>
      </c>
      <c r="C99" s="50" t="s">
        <v>382</v>
      </c>
      <c r="D99" s="54" t="s">
        <v>389</v>
      </c>
      <c r="E99" s="48" t="s">
        <v>390</v>
      </c>
      <c r="F99" s="42" t="s">
        <v>254</v>
      </c>
      <c r="G99" s="54" t="s">
        <v>400</v>
      </c>
      <c r="H99" s="42" t="s">
        <v>375</v>
      </c>
    </row>
    <row r="100" spans="1:11" ht="18" hidden="1" customHeight="1" outlineLevel="2" x14ac:dyDescent="0.2">
      <c r="A100" s="39"/>
      <c r="B100" s="40" t="s">
        <v>223</v>
      </c>
      <c r="C100" s="50" t="s">
        <v>382</v>
      </c>
      <c r="D100" s="54" t="s">
        <v>389</v>
      </c>
      <c r="E100" s="48" t="s">
        <v>391</v>
      </c>
      <c r="F100" s="42" t="s">
        <v>254</v>
      </c>
      <c r="G100" s="54" t="s">
        <v>401</v>
      </c>
      <c r="H100" s="42" t="s">
        <v>375</v>
      </c>
    </row>
    <row r="101" spans="1:11" ht="18" hidden="1" customHeight="1" outlineLevel="2" x14ac:dyDescent="0.2">
      <c r="A101" s="39"/>
      <c r="B101" s="40" t="s">
        <v>223</v>
      </c>
      <c r="C101" s="50" t="s">
        <v>382</v>
      </c>
      <c r="D101" s="54" t="s">
        <v>392</v>
      </c>
      <c r="E101" s="56" t="s">
        <v>393</v>
      </c>
      <c r="F101" s="40" t="s">
        <v>254</v>
      </c>
      <c r="G101" s="54" t="s">
        <v>402</v>
      </c>
      <c r="H101" s="42" t="s">
        <v>375</v>
      </c>
    </row>
    <row r="102" spans="1:11" ht="18" hidden="1" customHeight="1" outlineLevel="2" x14ac:dyDescent="0.25">
      <c r="A102" s="39"/>
      <c r="B102" s="40" t="s">
        <v>223</v>
      </c>
      <c r="C102" s="50" t="s">
        <v>383</v>
      </c>
      <c r="D102" s="40" t="s">
        <v>394</v>
      </c>
      <c r="E102" s="56" t="s">
        <v>395</v>
      </c>
      <c r="F102" s="40" t="s">
        <v>254</v>
      </c>
      <c r="G102" s="55" t="s">
        <v>410</v>
      </c>
      <c r="H102" s="42" t="s">
        <v>211</v>
      </c>
      <c r="K102"/>
    </row>
    <row r="103" spans="1:11" ht="18" hidden="1" customHeight="1" outlineLevel="2" x14ac:dyDescent="0.25">
      <c r="A103" s="39"/>
      <c r="B103" s="40" t="s">
        <v>433</v>
      </c>
      <c r="C103" s="51" t="s">
        <v>383</v>
      </c>
      <c r="D103" s="40" t="s">
        <v>386</v>
      </c>
      <c r="E103" s="56" t="s">
        <v>396</v>
      </c>
      <c r="F103" s="40" t="s">
        <v>254</v>
      </c>
      <c r="G103" s="55" t="s">
        <v>411</v>
      </c>
      <c r="H103" s="42" t="s">
        <v>350</v>
      </c>
      <c r="K103"/>
    </row>
    <row r="104" spans="1:11" ht="18" hidden="1" customHeight="1" outlineLevel="2" x14ac:dyDescent="0.25">
      <c r="A104" s="39"/>
      <c r="B104" s="40" t="s">
        <v>434</v>
      </c>
      <c r="C104" s="50" t="s">
        <v>383</v>
      </c>
      <c r="D104" s="40" t="s">
        <v>389</v>
      </c>
      <c r="E104" s="56" t="s">
        <v>397</v>
      </c>
      <c r="F104" s="40" t="s">
        <v>254</v>
      </c>
      <c r="G104" s="55" t="s">
        <v>412</v>
      </c>
      <c r="H104" s="42" t="s">
        <v>405</v>
      </c>
      <c r="K104"/>
    </row>
    <row r="105" spans="1:11" ht="18" hidden="1" customHeight="1" outlineLevel="2" x14ac:dyDescent="0.25">
      <c r="A105" s="39"/>
      <c r="B105" s="40" t="s">
        <v>435</v>
      </c>
      <c r="C105" s="51" t="s">
        <v>407</v>
      </c>
      <c r="D105" s="42" t="s">
        <v>408</v>
      </c>
      <c r="E105" s="48" t="s">
        <v>409</v>
      </c>
      <c r="F105" s="45" t="s">
        <v>254</v>
      </c>
      <c r="G105" s="44" t="s">
        <v>413</v>
      </c>
      <c r="H105" s="53">
        <v>25</v>
      </c>
      <c r="K105"/>
    </row>
    <row r="106" spans="1:11" ht="18" hidden="1" customHeight="1" outlineLevel="2" x14ac:dyDescent="0.25">
      <c r="A106" s="39"/>
      <c r="B106" s="40" t="s">
        <v>476</v>
      </c>
      <c r="C106" s="51" t="s">
        <v>436</v>
      </c>
      <c r="D106" s="42" t="s">
        <v>54</v>
      </c>
      <c r="E106" s="48" t="s">
        <v>437</v>
      </c>
      <c r="F106" s="45" t="s">
        <v>254</v>
      </c>
      <c r="G106" s="55">
        <v>79621</v>
      </c>
      <c r="H106" s="53" t="s">
        <v>350</v>
      </c>
      <c r="K106"/>
    </row>
    <row r="107" spans="1:11" ht="18" hidden="1" customHeight="1" outlineLevel="2" x14ac:dyDescent="0.25">
      <c r="A107" s="39"/>
      <c r="B107" s="40" t="s">
        <v>352</v>
      </c>
      <c r="C107" s="50" t="s">
        <v>438</v>
      </c>
      <c r="D107" s="42" t="s">
        <v>439</v>
      </c>
      <c r="E107" s="48" t="s">
        <v>440</v>
      </c>
      <c r="F107" s="45" t="s">
        <v>254</v>
      </c>
      <c r="G107" s="55" t="s">
        <v>486</v>
      </c>
      <c r="H107" s="53" t="s">
        <v>211</v>
      </c>
      <c r="K107"/>
    </row>
    <row r="108" spans="1:11" ht="18" hidden="1" customHeight="1" outlineLevel="2" x14ac:dyDescent="0.25">
      <c r="A108" s="39"/>
      <c r="B108" s="40" t="s">
        <v>352</v>
      </c>
      <c r="C108" s="50" t="s">
        <v>438</v>
      </c>
      <c r="D108" s="42" t="s">
        <v>441</v>
      </c>
      <c r="E108" s="48" t="s">
        <v>442</v>
      </c>
      <c r="F108" s="45" t="s">
        <v>443</v>
      </c>
      <c r="G108" s="55"/>
      <c r="H108" s="53" t="s">
        <v>213</v>
      </c>
      <c r="K108"/>
    </row>
    <row r="109" spans="1:11" ht="18" hidden="1" customHeight="1" outlineLevel="2" x14ac:dyDescent="0.25">
      <c r="A109" s="39"/>
      <c r="B109" s="40" t="s">
        <v>352</v>
      </c>
      <c r="C109" s="50" t="s">
        <v>438</v>
      </c>
      <c r="D109" s="42" t="s">
        <v>444</v>
      </c>
      <c r="E109" s="48" t="s">
        <v>445</v>
      </c>
      <c r="F109" s="45" t="s">
        <v>443</v>
      </c>
      <c r="G109" s="55"/>
      <c r="H109" s="53" t="s">
        <v>211</v>
      </c>
      <c r="K109"/>
    </row>
    <row r="110" spans="1:11" ht="18" hidden="1" customHeight="1" outlineLevel="2" x14ac:dyDescent="0.25">
      <c r="A110" s="39"/>
      <c r="B110" s="40" t="s">
        <v>477</v>
      </c>
      <c r="C110" s="51" t="s">
        <v>438</v>
      </c>
      <c r="D110" s="42" t="s">
        <v>446</v>
      </c>
      <c r="E110" s="48" t="s">
        <v>447</v>
      </c>
      <c r="F110" s="45" t="s">
        <v>254</v>
      </c>
      <c r="G110" s="55" t="s">
        <v>487</v>
      </c>
      <c r="H110" s="53" t="s">
        <v>211</v>
      </c>
      <c r="K110"/>
    </row>
    <row r="111" spans="1:11" ht="18" hidden="1" customHeight="1" outlineLevel="2" x14ac:dyDescent="0.25">
      <c r="A111" s="39"/>
      <c r="B111" s="40" t="s">
        <v>478</v>
      </c>
      <c r="C111" s="50" t="s">
        <v>438</v>
      </c>
      <c r="D111" s="42" t="s">
        <v>448</v>
      </c>
      <c r="E111" s="48" t="s">
        <v>449</v>
      </c>
      <c r="F111" s="45" t="s">
        <v>254</v>
      </c>
      <c r="G111" s="55"/>
      <c r="H111" s="53" t="s">
        <v>211</v>
      </c>
      <c r="K111"/>
    </row>
    <row r="112" spans="1:11" ht="18" hidden="1" customHeight="1" outlineLevel="2" x14ac:dyDescent="0.25">
      <c r="A112" s="39"/>
      <c r="B112" s="40" t="s">
        <v>352</v>
      </c>
      <c r="C112" s="50" t="s">
        <v>450</v>
      </c>
      <c r="D112" s="42" t="s">
        <v>451</v>
      </c>
      <c r="E112" s="48" t="s">
        <v>452</v>
      </c>
      <c r="F112" s="45" t="s">
        <v>254</v>
      </c>
      <c r="G112" s="44" t="s">
        <v>488</v>
      </c>
      <c r="H112" s="53" t="s">
        <v>211</v>
      </c>
      <c r="K112"/>
    </row>
    <row r="113" spans="1:11" ht="18" hidden="1" customHeight="1" outlineLevel="2" x14ac:dyDescent="0.25">
      <c r="A113" s="39"/>
      <c r="B113" s="40" t="s">
        <v>479</v>
      </c>
      <c r="C113" s="51" t="s">
        <v>450</v>
      </c>
      <c r="D113" s="42" t="s">
        <v>453</v>
      </c>
      <c r="E113" s="48" t="s">
        <v>454</v>
      </c>
      <c r="F113" s="45" t="s">
        <v>254</v>
      </c>
      <c r="G113" s="44" t="s">
        <v>489</v>
      </c>
      <c r="H113" s="53" t="s">
        <v>211</v>
      </c>
      <c r="K113"/>
    </row>
    <row r="114" spans="1:11" ht="18" hidden="1" customHeight="1" outlineLevel="2" x14ac:dyDescent="0.25">
      <c r="A114" s="39"/>
      <c r="B114" s="40" t="s">
        <v>352</v>
      </c>
      <c r="C114" s="50" t="s">
        <v>450</v>
      </c>
      <c r="D114" s="42" t="s">
        <v>455</v>
      </c>
      <c r="E114" s="48" t="s">
        <v>456</v>
      </c>
      <c r="F114" s="45" t="s">
        <v>254</v>
      </c>
      <c r="G114" s="44" t="s">
        <v>490</v>
      </c>
      <c r="H114" s="53" t="s">
        <v>211</v>
      </c>
      <c r="K114"/>
    </row>
    <row r="115" spans="1:11" ht="18" hidden="1" customHeight="1" outlineLevel="2" x14ac:dyDescent="0.25">
      <c r="A115" s="39"/>
      <c r="B115" s="40" t="s">
        <v>352</v>
      </c>
      <c r="C115" s="50" t="s">
        <v>457</v>
      </c>
      <c r="D115" s="42" t="s">
        <v>458</v>
      </c>
      <c r="E115" s="48" t="s">
        <v>459</v>
      </c>
      <c r="F115" s="45" t="s">
        <v>254</v>
      </c>
      <c r="G115" s="44" t="s">
        <v>491</v>
      </c>
      <c r="H115" s="53" t="s">
        <v>375</v>
      </c>
      <c r="K115"/>
    </row>
    <row r="116" spans="1:11" ht="18" hidden="1" customHeight="1" outlineLevel="2" x14ac:dyDescent="0.25">
      <c r="A116" s="39"/>
      <c r="B116" s="40" t="s">
        <v>352</v>
      </c>
      <c r="C116" s="50" t="s">
        <v>457</v>
      </c>
      <c r="D116" s="42" t="s">
        <v>460</v>
      </c>
      <c r="E116" s="48" t="s">
        <v>461</v>
      </c>
      <c r="F116" s="45" t="s">
        <v>254</v>
      </c>
      <c r="G116" s="44">
        <v>79409</v>
      </c>
      <c r="H116" s="53" t="s">
        <v>375</v>
      </c>
      <c r="K116"/>
    </row>
    <row r="117" spans="1:11" ht="18" hidden="1" customHeight="1" outlineLevel="2" x14ac:dyDescent="0.25">
      <c r="A117" s="39"/>
      <c r="B117" s="40" t="s">
        <v>480</v>
      </c>
      <c r="C117" s="51" t="s">
        <v>462</v>
      </c>
      <c r="D117" s="42" t="s">
        <v>460</v>
      </c>
      <c r="E117" s="48" t="s">
        <v>463</v>
      </c>
      <c r="F117" s="45" t="s">
        <v>254</v>
      </c>
      <c r="G117" s="44" t="s">
        <v>492</v>
      </c>
      <c r="H117" s="53" t="s">
        <v>375</v>
      </c>
      <c r="K117"/>
    </row>
    <row r="118" spans="1:11" ht="18" hidden="1" customHeight="1" outlineLevel="2" x14ac:dyDescent="0.25">
      <c r="A118" s="39"/>
      <c r="B118" s="40" t="s">
        <v>481</v>
      </c>
      <c r="C118" s="51" t="s">
        <v>462</v>
      </c>
      <c r="D118" s="42" t="s">
        <v>458</v>
      </c>
      <c r="E118" s="48" t="s">
        <v>464</v>
      </c>
      <c r="F118" s="45" t="s">
        <v>254</v>
      </c>
      <c r="G118" s="44" t="s">
        <v>493</v>
      </c>
      <c r="H118" s="53" t="s">
        <v>375</v>
      </c>
      <c r="K118"/>
    </row>
    <row r="119" spans="1:11" ht="18" hidden="1" customHeight="1" outlineLevel="2" x14ac:dyDescent="0.25">
      <c r="A119" s="39"/>
      <c r="B119" s="40" t="s">
        <v>482</v>
      </c>
      <c r="C119" s="50" t="s">
        <v>465</v>
      </c>
      <c r="D119" s="42" t="s">
        <v>466</v>
      </c>
      <c r="E119" s="48" t="s">
        <v>467</v>
      </c>
      <c r="F119" s="45" t="s">
        <v>254</v>
      </c>
      <c r="G119" s="44" t="s">
        <v>494</v>
      </c>
      <c r="H119" s="53" t="s">
        <v>375</v>
      </c>
      <c r="K119"/>
    </row>
    <row r="120" spans="1:11" ht="18" hidden="1" customHeight="1" outlineLevel="2" x14ac:dyDescent="0.25">
      <c r="A120" s="39"/>
      <c r="B120" s="40" t="s">
        <v>352</v>
      </c>
      <c r="C120" s="50" t="s">
        <v>468</v>
      </c>
      <c r="D120" s="42" t="s">
        <v>469</v>
      </c>
      <c r="E120" s="48" t="s">
        <v>470</v>
      </c>
      <c r="F120" s="45" t="s">
        <v>254</v>
      </c>
      <c r="G120" s="44" t="s">
        <v>495</v>
      </c>
      <c r="H120" s="53" t="s">
        <v>350</v>
      </c>
      <c r="K120"/>
    </row>
    <row r="121" spans="1:11" ht="18" hidden="1" customHeight="1" outlineLevel="2" x14ac:dyDescent="0.25">
      <c r="A121" s="39"/>
      <c r="B121" s="40" t="s">
        <v>352</v>
      </c>
      <c r="C121" s="50" t="s">
        <v>468</v>
      </c>
      <c r="D121" s="42" t="s">
        <v>471</v>
      </c>
      <c r="E121" s="48" t="s">
        <v>472</v>
      </c>
      <c r="F121" s="45" t="s">
        <v>254</v>
      </c>
      <c r="G121" s="44" t="s">
        <v>496</v>
      </c>
      <c r="H121" s="53" t="s">
        <v>350</v>
      </c>
      <c r="K121"/>
    </row>
    <row r="122" spans="1:11" ht="18" hidden="1" customHeight="1" outlineLevel="2" x14ac:dyDescent="0.25">
      <c r="A122" s="39"/>
      <c r="B122" s="40" t="s">
        <v>483</v>
      </c>
      <c r="C122" s="51" t="s">
        <v>473</v>
      </c>
      <c r="D122" s="42" t="s">
        <v>469</v>
      </c>
      <c r="E122" s="48" t="s">
        <v>474</v>
      </c>
      <c r="F122" s="45" t="s">
        <v>254</v>
      </c>
      <c r="G122" s="44" t="s">
        <v>497</v>
      </c>
      <c r="H122" s="53" t="s">
        <v>405</v>
      </c>
      <c r="K122"/>
    </row>
    <row r="123" spans="1:11" ht="18" hidden="1" customHeight="1" outlineLevel="2" x14ac:dyDescent="0.25">
      <c r="A123" s="39"/>
      <c r="B123" s="40" t="s">
        <v>484</v>
      </c>
      <c r="C123" s="51" t="s">
        <v>473</v>
      </c>
      <c r="D123" s="42" t="s">
        <v>471</v>
      </c>
      <c r="E123" s="48" t="s">
        <v>475</v>
      </c>
      <c r="F123" s="45" t="s">
        <v>254</v>
      </c>
      <c r="G123" s="44" t="s">
        <v>498</v>
      </c>
      <c r="H123" s="53" t="s">
        <v>405</v>
      </c>
      <c r="K123"/>
    </row>
    <row r="124" spans="1:11" ht="18" hidden="1" customHeight="1" outlineLevel="2" x14ac:dyDescent="0.25">
      <c r="A124" s="39"/>
      <c r="B124" s="40"/>
      <c r="C124" s="40"/>
      <c r="D124" s="40"/>
      <c r="E124" s="56"/>
      <c r="F124" s="40"/>
      <c r="G124" s="44"/>
      <c r="H124" s="53"/>
      <c r="K124"/>
    </row>
    <row r="125" spans="1:11" ht="18" hidden="1" customHeight="1" outlineLevel="1" collapsed="1" x14ac:dyDescent="0.25">
      <c r="A125" s="119" t="s">
        <v>414</v>
      </c>
      <c r="B125" s="120"/>
      <c r="C125" s="120"/>
      <c r="D125" s="120"/>
      <c r="E125" s="120"/>
      <c r="F125" s="120"/>
      <c r="G125" s="120"/>
      <c r="H125" s="120"/>
      <c r="K125"/>
    </row>
    <row r="126" spans="1:11" ht="18" hidden="1" customHeight="1" outlineLevel="4" x14ac:dyDescent="0.25">
      <c r="A126" s="39"/>
      <c r="B126" s="40" t="s">
        <v>423</v>
      </c>
      <c r="C126" s="58" t="s">
        <v>415</v>
      </c>
      <c r="D126" s="40" t="s">
        <v>386</v>
      </c>
      <c r="E126" s="56" t="s">
        <v>416</v>
      </c>
      <c r="F126" s="40" t="s">
        <v>254</v>
      </c>
      <c r="G126" s="44" t="s">
        <v>428</v>
      </c>
      <c r="H126" s="42" t="s">
        <v>426</v>
      </c>
      <c r="K126"/>
    </row>
    <row r="127" spans="1:11" ht="18" hidden="1" customHeight="1" outlineLevel="4" x14ac:dyDescent="0.25">
      <c r="A127" s="39"/>
      <c r="B127" s="40" t="s">
        <v>352</v>
      </c>
      <c r="C127" s="40" t="s">
        <v>415</v>
      </c>
      <c r="D127" s="40" t="s">
        <v>389</v>
      </c>
      <c r="E127" s="56" t="s">
        <v>417</v>
      </c>
      <c r="F127" s="40" t="s">
        <v>254</v>
      </c>
      <c r="G127" s="44" t="s">
        <v>429</v>
      </c>
      <c r="H127" s="42" t="s">
        <v>426</v>
      </c>
      <c r="K127"/>
    </row>
    <row r="128" spans="1:11" ht="18" hidden="1" customHeight="1" outlineLevel="4" x14ac:dyDescent="0.25">
      <c r="A128" s="39"/>
      <c r="B128" s="40" t="s">
        <v>424</v>
      </c>
      <c r="C128" s="58" t="s">
        <v>418</v>
      </c>
      <c r="D128" s="40" t="s">
        <v>419</v>
      </c>
      <c r="E128" s="56" t="s">
        <v>420</v>
      </c>
      <c r="F128" s="40" t="s">
        <v>254</v>
      </c>
      <c r="G128" s="44" t="s">
        <v>430</v>
      </c>
      <c r="H128" s="42" t="s">
        <v>350</v>
      </c>
      <c r="K128"/>
    </row>
    <row r="129" spans="1:11" ht="18" hidden="1" customHeight="1" outlineLevel="4" x14ac:dyDescent="0.25">
      <c r="A129" s="39"/>
      <c r="B129" s="40" t="s">
        <v>425</v>
      </c>
      <c r="C129" s="40" t="s">
        <v>418</v>
      </c>
      <c r="D129" s="40" t="s">
        <v>421</v>
      </c>
      <c r="E129" s="56" t="s">
        <v>422</v>
      </c>
      <c r="F129" s="40" t="s">
        <v>254</v>
      </c>
      <c r="G129" s="44" t="s">
        <v>427</v>
      </c>
      <c r="H129" s="42" t="s">
        <v>350</v>
      </c>
      <c r="K129"/>
    </row>
    <row r="130" spans="1:11" ht="18" hidden="1" customHeight="1" outlineLevel="4" x14ac:dyDescent="0.25">
      <c r="A130" s="39"/>
      <c r="B130" s="40"/>
      <c r="C130" s="40"/>
      <c r="D130" s="40"/>
      <c r="E130" s="56"/>
      <c r="F130" s="40"/>
      <c r="G130" s="44"/>
      <c r="H130" s="53"/>
    </row>
    <row r="131" spans="1:11" ht="18" hidden="1" customHeight="1" outlineLevel="1" x14ac:dyDescent="0.2">
      <c r="A131" s="119" t="s">
        <v>499</v>
      </c>
      <c r="B131" s="120"/>
      <c r="C131" s="120"/>
      <c r="D131" s="120"/>
      <c r="E131" s="120"/>
      <c r="F131" s="120"/>
      <c r="G131" s="120"/>
      <c r="H131" s="120"/>
    </row>
    <row r="132" spans="1:11" ht="18" hidden="1" customHeight="1" outlineLevel="2" x14ac:dyDescent="0.25">
      <c r="A132" s="39"/>
      <c r="B132" s="40" t="s">
        <v>536</v>
      </c>
      <c r="C132" s="58" t="s">
        <v>500</v>
      </c>
      <c r="D132" s="40" t="s">
        <v>501</v>
      </c>
      <c r="E132" s="56">
        <v>118701</v>
      </c>
      <c r="F132" s="40" t="s">
        <v>254</v>
      </c>
      <c r="G132" s="44" t="s">
        <v>524</v>
      </c>
      <c r="H132" s="53"/>
    </row>
    <row r="133" spans="1:11" ht="18" hidden="1" customHeight="1" outlineLevel="2" x14ac:dyDescent="0.25">
      <c r="A133" s="39"/>
      <c r="B133" s="40" t="s">
        <v>537</v>
      </c>
      <c r="C133" s="58" t="s">
        <v>500</v>
      </c>
      <c r="D133" s="40" t="s">
        <v>502</v>
      </c>
      <c r="E133" s="56">
        <v>118629</v>
      </c>
      <c r="F133" s="40" t="s">
        <v>254</v>
      </c>
      <c r="G133" s="44" t="s">
        <v>525</v>
      </c>
      <c r="H133" s="53"/>
    </row>
    <row r="134" spans="1:11" ht="18" hidden="1" customHeight="1" outlineLevel="2" x14ac:dyDescent="0.25">
      <c r="A134" s="39"/>
      <c r="B134" s="40" t="s">
        <v>538</v>
      </c>
      <c r="C134" s="58" t="s">
        <v>500</v>
      </c>
      <c r="D134" s="40" t="s">
        <v>503</v>
      </c>
      <c r="E134" s="56">
        <v>118689</v>
      </c>
      <c r="F134" s="40" t="s">
        <v>254</v>
      </c>
      <c r="G134" s="44" t="s">
        <v>526</v>
      </c>
      <c r="H134" s="53"/>
    </row>
    <row r="135" spans="1:11" ht="18" hidden="1" customHeight="1" outlineLevel="2" x14ac:dyDescent="0.25">
      <c r="A135" s="39"/>
      <c r="B135" s="40" t="s">
        <v>539</v>
      </c>
      <c r="C135" s="58" t="s">
        <v>500</v>
      </c>
      <c r="D135" s="40" t="s">
        <v>504</v>
      </c>
      <c r="E135" s="56">
        <v>118601</v>
      </c>
      <c r="F135" s="40" t="s">
        <v>254</v>
      </c>
      <c r="G135" s="44" t="s">
        <v>527</v>
      </c>
      <c r="H135" s="53"/>
    </row>
    <row r="136" spans="1:11" ht="18" hidden="1" customHeight="1" outlineLevel="2" x14ac:dyDescent="0.25">
      <c r="A136" s="39"/>
      <c r="B136" s="40" t="s">
        <v>540</v>
      </c>
      <c r="C136" s="58" t="s">
        <v>500</v>
      </c>
      <c r="D136" s="40" t="s">
        <v>505</v>
      </c>
      <c r="E136" s="56">
        <v>118613</v>
      </c>
      <c r="F136" s="40" t="s">
        <v>254</v>
      </c>
      <c r="G136" s="44" t="s">
        <v>528</v>
      </c>
      <c r="H136" s="53"/>
    </row>
    <row r="137" spans="1:11" ht="18" hidden="1" customHeight="1" outlineLevel="2" x14ac:dyDescent="0.25">
      <c r="A137" s="39"/>
      <c r="B137" s="40" t="s">
        <v>541</v>
      </c>
      <c r="C137" s="40" t="s">
        <v>500</v>
      </c>
      <c r="D137" s="40" t="s">
        <v>506</v>
      </c>
      <c r="E137" s="56">
        <v>118605</v>
      </c>
      <c r="F137" s="40" t="s">
        <v>254</v>
      </c>
      <c r="G137" s="44" t="s">
        <v>529</v>
      </c>
      <c r="H137" s="53"/>
    </row>
    <row r="138" spans="1:11" ht="18" hidden="1" customHeight="1" outlineLevel="2" x14ac:dyDescent="0.25">
      <c r="A138" s="39"/>
      <c r="B138" s="40" t="s">
        <v>223</v>
      </c>
      <c r="C138" s="40" t="s">
        <v>500</v>
      </c>
      <c r="D138" s="40" t="s">
        <v>507</v>
      </c>
      <c r="E138" s="56">
        <v>118720</v>
      </c>
      <c r="F138" s="40" t="s">
        <v>254</v>
      </c>
      <c r="G138" s="44" t="s">
        <v>532</v>
      </c>
      <c r="H138" s="53"/>
    </row>
    <row r="139" spans="1:11" ht="18" hidden="1" customHeight="1" outlineLevel="2" x14ac:dyDescent="0.25">
      <c r="A139" s="39"/>
      <c r="B139" s="40" t="s">
        <v>223</v>
      </c>
      <c r="C139" s="40" t="s">
        <v>500</v>
      </c>
      <c r="D139" s="40" t="s">
        <v>508</v>
      </c>
      <c r="E139" s="56">
        <v>118665</v>
      </c>
      <c r="F139" s="40" t="s">
        <v>254</v>
      </c>
      <c r="G139" s="44" t="s">
        <v>532</v>
      </c>
      <c r="H139" s="53"/>
    </row>
    <row r="140" spans="1:11" ht="18" hidden="1" customHeight="1" outlineLevel="2" x14ac:dyDescent="0.25">
      <c r="A140" s="39"/>
      <c r="B140" s="40" t="s">
        <v>542</v>
      </c>
      <c r="C140" s="40" t="s">
        <v>500</v>
      </c>
      <c r="D140" s="40" t="s">
        <v>509</v>
      </c>
      <c r="E140" s="56">
        <v>118728</v>
      </c>
      <c r="F140" s="40" t="s">
        <v>254</v>
      </c>
      <c r="G140" s="44" t="s">
        <v>531</v>
      </c>
      <c r="H140" s="53"/>
    </row>
    <row r="141" spans="1:11" ht="18" hidden="1" customHeight="1" outlineLevel="2" x14ac:dyDescent="0.25">
      <c r="A141" s="39"/>
      <c r="B141" s="40" t="s">
        <v>223</v>
      </c>
      <c r="C141" s="40" t="s">
        <v>500</v>
      </c>
      <c r="D141" s="40" t="s">
        <v>510</v>
      </c>
      <c r="E141" s="56">
        <v>118673</v>
      </c>
      <c r="F141" s="40" t="s">
        <v>254</v>
      </c>
      <c r="G141" s="44" t="s">
        <v>530</v>
      </c>
      <c r="H141" s="53"/>
    </row>
    <row r="142" spans="1:11" ht="18" hidden="1" customHeight="1" outlineLevel="2" x14ac:dyDescent="0.25">
      <c r="A142" s="39"/>
      <c r="B142" s="40" t="s">
        <v>543</v>
      </c>
      <c r="C142" s="40" t="s">
        <v>500</v>
      </c>
      <c r="D142" s="40" t="s">
        <v>511</v>
      </c>
      <c r="E142" s="56">
        <v>118736</v>
      </c>
      <c r="F142" s="40" t="s">
        <v>254</v>
      </c>
      <c r="G142" s="44" t="s">
        <v>533</v>
      </c>
      <c r="H142" s="53"/>
    </row>
    <row r="143" spans="1:11" ht="18" hidden="1" customHeight="1" outlineLevel="2" x14ac:dyDescent="0.25">
      <c r="A143" s="39"/>
      <c r="B143" s="40" t="s">
        <v>223</v>
      </c>
      <c r="C143" s="40" t="s">
        <v>500</v>
      </c>
      <c r="D143" s="40" t="s">
        <v>512</v>
      </c>
      <c r="E143" s="56">
        <v>118681</v>
      </c>
      <c r="F143" s="40" t="s">
        <v>254</v>
      </c>
      <c r="G143" s="44" t="s">
        <v>534</v>
      </c>
      <c r="H143" s="53"/>
    </row>
    <row r="144" spans="1:11" ht="18" hidden="1" customHeight="1" outlineLevel="2" x14ac:dyDescent="0.25">
      <c r="A144" s="39"/>
      <c r="B144" s="40" t="s">
        <v>544</v>
      </c>
      <c r="C144" s="40" t="s">
        <v>500</v>
      </c>
      <c r="D144" s="40" t="s">
        <v>513</v>
      </c>
      <c r="E144" s="56" t="s">
        <v>514</v>
      </c>
      <c r="F144" s="40" t="s">
        <v>254</v>
      </c>
      <c r="G144" s="44" t="s">
        <v>533</v>
      </c>
      <c r="H144" s="53"/>
    </row>
    <row r="145" spans="1:8" ht="18" hidden="1" customHeight="1" outlineLevel="2" x14ac:dyDescent="0.25">
      <c r="A145" s="39"/>
      <c r="B145" s="40" t="s">
        <v>545</v>
      </c>
      <c r="C145" s="40" t="s">
        <v>500</v>
      </c>
      <c r="D145" s="40" t="s">
        <v>515</v>
      </c>
      <c r="E145" s="56" t="s">
        <v>516</v>
      </c>
      <c r="F145" s="40" t="s">
        <v>254</v>
      </c>
      <c r="G145" s="44" t="s">
        <v>535</v>
      </c>
      <c r="H145" s="53"/>
    </row>
    <row r="146" spans="1:8" ht="18" hidden="1" customHeight="1" outlineLevel="2" x14ac:dyDescent="0.25">
      <c r="A146" s="39"/>
      <c r="B146" s="40"/>
      <c r="C146" s="40"/>
      <c r="D146" s="40"/>
      <c r="E146" s="56"/>
      <c r="F146" s="40"/>
      <c r="G146" s="44"/>
      <c r="H146" s="53"/>
    </row>
    <row r="147" spans="1:8" ht="18" hidden="1" customHeight="1" outlineLevel="2" x14ac:dyDescent="0.2">
      <c r="A147" s="25"/>
      <c r="B147" s="25" t="s">
        <v>3372</v>
      </c>
      <c r="C147" s="59" t="s">
        <v>3847</v>
      </c>
      <c r="D147" s="25" t="s">
        <v>2081</v>
      </c>
      <c r="E147" s="25" t="s">
        <v>2082</v>
      </c>
      <c r="F147" s="25" t="s">
        <v>773</v>
      </c>
      <c r="G147" s="25" t="s">
        <v>2083</v>
      </c>
      <c r="H147" s="25" t="s">
        <v>376</v>
      </c>
    </row>
    <row r="148" spans="1:8" ht="18" hidden="1" customHeight="1" outlineLevel="2" x14ac:dyDescent="0.2">
      <c r="A148" s="25"/>
      <c r="B148" s="25" t="s">
        <v>3373</v>
      </c>
      <c r="C148" s="59" t="s">
        <v>3848</v>
      </c>
      <c r="D148" s="25" t="s">
        <v>3868</v>
      </c>
      <c r="E148" s="25" t="s">
        <v>2084</v>
      </c>
      <c r="F148" s="25" t="s">
        <v>773</v>
      </c>
      <c r="G148" s="25" t="s">
        <v>2085</v>
      </c>
      <c r="H148" s="25" t="s">
        <v>376</v>
      </c>
    </row>
    <row r="149" spans="1:8" ht="18" hidden="1" customHeight="1" outlineLevel="2" x14ac:dyDescent="0.2">
      <c r="A149" s="25"/>
      <c r="B149" s="25"/>
      <c r="C149" s="59" t="s">
        <v>3849</v>
      </c>
      <c r="D149" s="25" t="s">
        <v>3869</v>
      </c>
      <c r="E149" s="25" t="s">
        <v>2086</v>
      </c>
      <c r="F149" s="25" t="s">
        <v>773</v>
      </c>
      <c r="G149" s="25"/>
    </row>
    <row r="150" spans="1:8" ht="18" hidden="1" customHeight="1" outlineLevel="2" x14ac:dyDescent="0.25">
      <c r="A150" s="39"/>
      <c r="B150" s="40"/>
      <c r="C150" s="40"/>
      <c r="D150" s="40"/>
      <c r="E150" s="56"/>
      <c r="F150" s="40"/>
      <c r="G150" s="44"/>
      <c r="H150" s="53"/>
    </row>
    <row r="151" spans="1:8" ht="18" hidden="1" customHeight="1" outlineLevel="1" x14ac:dyDescent="0.2">
      <c r="A151" s="119" t="s">
        <v>3844</v>
      </c>
      <c r="B151" s="120"/>
      <c r="C151" s="120"/>
      <c r="D151" s="120"/>
      <c r="E151" s="120"/>
      <c r="F151" s="120"/>
      <c r="G151" s="120"/>
      <c r="H151" s="120"/>
    </row>
    <row r="152" spans="1:8" ht="18" hidden="1" customHeight="1" outlineLevel="2" x14ac:dyDescent="0.2">
      <c r="A152" s="25"/>
      <c r="B152" s="25" t="s">
        <v>352</v>
      </c>
      <c r="C152" s="65" t="s">
        <v>2097</v>
      </c>
      <c r="D152" s="25" t="s">
        <v>2098</v>
      </c>
      <c r="E152" s="25" t="s">
        <v>2099</v>
      </c>
      <c r="F152" s="25" t="s">
        <v>1348</v>
      </c>
      <c r="G152" s="25" t="s">
        <v>2100</v>
      </c>
      <c r="H152" s="25" t="s">
        <v>3104</v>
      </c>
    </row>
    <row r="153" spans="1:8" ht="18" hidden="1" customHeight="1" outlineLevel="2" x14ac:dyDescent="0.2">
      <c r="A153" s="25"/>
      <c r="B153" s="25" t="s">
        <v>352</v>
      </c>
      <c r="C153" s="65" t="s">
        <v>2097</v>
      </c>
      <c r="D153" s="25" t="s">
        <v>2098</v>
      </c>
      <c r="E153" s="25" t="s">
        <v>2101</v>
      </c>
      <c r="F153" s="25" t="s">
        <v>773</v>
      </c>
      <c r="G153" s="25" t="s">
        <v>2100</v>
      </c>
      <c r="H153" s="25" t="s">
        <v>3104</v>
      </c>
    </row>
    <row r="154" spans="1:8" ht="18" hidden="1" customHeight="1" outlineLevel="2" x14ac:dyDescent="0.2">
      <c r="A154" s="25"/>
      <c r="B154" s="25" t="s">
        <v>352</v>
      </c>
      <c r="C154" s="65" t="s">
        <v>2097</v>
      </c>
      <c r="D154" s="25" t="s">
        <v>2102</v>
      </c>
      <c r="E154" s="25" t="s">
        <v>2103</v>
      </c>
      <c r="F154" s="25" t="s">
        <v>1348</v>
      </c>
      <c r="G154" s="25" t="s">
        <v>2104</v>
      </c>
      <c r="H154" s="25" t="s">
        <v>3104</v>
      </c>
    </row>
    <row r="155" spans="1:8" ht="18" hidden="1" customHeight="1" outlineLevel="2" x14ac:dyDescent="0.2">
      <c r="A155" s="25"/>
      <c r="B155" s="25" t="s">
        <v>352</v>
      </c>
      <c r="C155" s="65" t="s">
        <v>2097</v>
      </c>
      <c r="D155" s="25" t="s">
        <v>2102</v>
      </c>
      <c r="E155" s="25" t="s">
        <v>2105</v>
      </c>
      <c r="F155" s="25" t="s">
        <v>773</v>
      </c>
      <c r="G155" s="25" t="s">
        <v>2104</v>
      </c>
    </row>
    <row r="156" spans="1:8" ht="18" hidden="1" customHeight="1" outlineLevel="2" x14ac:dyDescent="0.2">
      <c r="A156" s="25"/>
      <c r="B156" s="25" t="s">
        <v>352</v>
      </c>
      <c r="C156" s="65" t="s">
        <v>2097</v>
      </c>
      <c r="D156" s="25" t="s">
        <v>2106</v>
      </c>
      <c r="E156" s="25" t="s">
        <v>2107</v>
      </c>
      <c r="F156" s="25" t="s">
        <v>1348</v>
      </c>
      <c r="G156" s="25" t="s">
        <v>2108</v>
      </c>
      <c r="H156" s="25" t="s">
        <v>3104</v>
      </c>
    </row>
    <row r="157" spans="1:8" ht="18" hidden="1" customHeight="1" outlineLevel="2" x14ac:dyDescent="0.2">
      <c r="A157" s="25"/>
      <c r="B157" s="25" t="s">
        <v>352</v>
      </c>
      <c r="C157" s="65" t="s">
        <v>2097</v>
      </c>
      <c r="D157" s="25" t="s">
        <v>2106</v>
      </c>
      <c r="E157" s="25" t="s">
        <v>2109</v>
      </c>
      <c r="F157" s="25" t="s">
        <v>773</v>
      </c>
      <c r="G157" s="25" t="s">
        <v>2108</v>
      </c>
      <c r="H157" s="25" t="s">
        <v>3104</v>
      </c>
    </row>
    <row r="158" spans="1:8" ht="18" hidden="1" customHeight="1" outlineLevel="2" x14ac:dyDescent="0.2">
      <c r="A158" s="25"/>
      <c r="B158" s="25" t="s">
        <v>352</v>
      </c>
      <c r="C158" s="70" t="s">
        <v>2097</v>
      </c>
      <c r="D158" s="25" t="s">
        <v>2110</v>
      </c>
      <c r="E158" s="25" t="s">
        <v>2111</v>
      </c>
      <c r="F158" s="25" t="s">
        <v>1348</v>
      </c>
      <c r="G158" s="25" t="s">
        <v>2112</v>
      </c>
      <c r="H158" s="25" t="s">
        <v>3104</v>
      </c>
    </row>
    <row r="159" spans="1:8" ht="18" hidden="1" customHeight="1" outlineLevel="2" x14ac:dyDescent="0.2">
      <c r="A159" s="25"/>
      <c r="B159" s="25" t="s">
        <v>352</v>
      </c>
      <c r="C159" s="65" t="s">
        <v>2097</v>
      </c>
      <c r="D159" s="25" t="s">
        <v>2110</v>
      </c>
      <c r="E159" s="25" t="s">
        <v>2113</v>
      </c>
      <c r="F159" s="25" t="s">
        <v>773</v>
      </c>
      <c r="G159" s="25" t="s">
        <v>2112</v>
      </c>
      <c r="H159" s="25" t="s">
        <v>3104</v>
      </c>
    </row>
    <row r="160" spans="1:8" ht="18" hidden="1" customHeight="1" outlineLevel="2" x14ac:dyDescent="0.2">
      <c r="A160" s="25"/>
      <c r="B160" s="25" t="s">
        <v>3374</v>
      </c>
      <c r="C160" s="25" t="s">
        <v>2087</v>
      </c>
      <c r="D160" s="25" t="s">
        <v>2088</v>
      </c>
      <c r="E160" s="25" t="s">
        <v>2089</v>
      </c>
      <c r="F160" s="25" t="s">
        <v>1348</v>
      </c>
      <c r="G160" s="25" t="s">
        <v>2090</v>
      </c>
      <c r="H160" s="25" t="s">
        <v>3104</v>
      </c>
    </row>
    <row r="161" spans="1:8" ht="18" hidden="1" customHeight="1" outlineLevel="2" x14ac:dyDescent="0.2">
      <c r="A161" s="25"/>
      <c r="B161" s="25" t="s">
        <v>3374</v>
      </c>
      <c r="C161" s="25" t="s">
        <v>2087</v>
      </c>
      <c r="D161" s="25" t="s">
        <v>2088</v>
      </c>
      <c r="E161" s="25" t="s">
        <v>2091</v>
      </c>
      <c r="F161" s="25" t="s">
        <v>2092</v>
      </c>
      <c r="G161" s="25" t="s">
        <v>2093</v>
      </c>
      <c r="H161" s="25" t="s">
        <v>3104</v>
      </c>
    </row>
    <row r="162" spans="1:8" ht="18" hidden="1" customHeight="1" outlineLevel="2" x14ac:dyDescent="0.2">
      <c r="A162" s="25"/>
      <c r="B162" s="25" t="s">
        <v>3375</v>
      </c>
      <c r="C162" s="25" t="s">
        <v>2094</v>
      </c>
      <c r="D162" s="25" t="s">
        <v>2095</v>
      </c>
      <c r="E162" s="25"/>
      <c r="F162" s="25" t="s">
        <v>2096</v>
      </c>
      <c r="G162" s="25"/>
    </row>
    <row r="163" spans="1:8" ht="18" hidden="1" customHeight="1" outlineLevel="2" x14ac:dyDescent="0.2">
      <c r="A163" s="25"/>
      <c r="B163" s="25" t="s">
        <v>352</v>
      </c>
      <c r="C163" s="25" t="s">
        <v>2114</v>
      </c>
      <c r="D163" s="25" t="s">
        <v>2115</v>
      </c>
      <c r="E163" s="25" t="s">
        <v>2116</v>
      </c>
      <c r="F163" s="25" t="s">
        <v>1348</v>
      </c>
      <c r="G163" s="25" t="s">
        <v>2117</v>
      </c>
      <c r="H163" s="25" t="s">
        <v>674</v>
      </c>
    </row>
    <row r="164" spans="1:8" ht="18" hidden="1" customHeight="1" outlineLevel="2" x14ac:dyDescent="0.2">
      <c r="A164" s="25"/>
      <c r="B164" s="25" t="s">
        <v>352</v>
      </c>
      <c r="C164" s="25" t="s">
        <v>2114</v>
      </c>
      <c r="D164" s="25" t="s">
        <v>2118</v>
      </c>
      <c r="E164" s="25" t="s">
        <v>2119</v>
      </c>
      <c r="F164" s="25" t="s">
        <v>773</v>
      </c>
      <c r="G164" s="25" t="s">
        <v>2120</v>
      </c>
      <c r="H164" s="25" t="s">
        <v>674</v>
      </c>
    </row>
    <row r="165" spans="1:8" ht="18" hidden="1" customHeight="1" outlineLevel="2" x14ac:dyDescent="0.2">
      <c r="A165" s="25"/>
      <c r="B165" s="25" t="s">
        <v>352</v>
      </c>
      <c r="C165" s="25" t="s">
        <v>2114</v>
      </c>
      <c r="D165" s="25" t="s">
        <v>2121</v>
      </c>
      <c r="E165" s="25" t="s">
        <v>2122</v>
      </c>
      <c r="F165" s="25" t="s">
        <v>1348</v>
      </c>
      <c r="G165" s="25" t="s">
        <v>2123</v>
      </c>
      <c r="H165" s="25" t="s">
        <v>674</v>
      </c>
    </row>
    <row r="166" spans="1:8" ht="18" hidden="1" customHeight="1" outlineLevel="2" x14ac:dyDescent="0.2">
      <c r="A166" s="25"/>
      <c r="B166" s="25" t="s">
        <v>352</v>
      </c>
      <c r="C166" s="25" t="s">
        <v>2114</v>
      </c>
      <c r="D166" s="25" t="s">
        <v>2124</v>
      </c>
      <c r="E166" s="25" t="s">
        <v>2125</v>
      </c>
      <c r="F166" s="25" t="s">
        <v>773</v>
      </c>
      <c r="G166" s="25" t="s">
        <v>2126</v>
      </c>
      <c r="H166" s="25" t="s">
        <v>674</v>
      </c>
    </row>
    <row r="167" spans="1:8" ht="18" hidden="1" customHeight="1" outlineLevel="2" x14ac:dyDescent="0.2">
      <c r="A167" s="25"/>
      <c r="B167" s="25" t="s">
        <v>3376</v>
      </c>
      <c r="C167" s="25" t="s">
        <v>2114</v>
      </c>
      <c r="D167" s="25" t="s">
        <v>2127</v>
      </c>
      <c r="E167" s="25"/>
      <c r="F167" s="25" t="s">
        <v>254</v>
      </c>
      <c r="G167" s="25" t="s">
        <v>2128</v>
      </c>
      <c r="H167" s="25" t="s">
        <v>674</v>
      </c>
    </row>
    <row r="168" spans="1:8" ht="18" hidden="1" customHeight="1" outlineLevel="2" x14ac:dyDescent="0.25">
      <c r="A168" s="66"/>
      <c r="B168" s="63"/>
      <c r="C168" s="63"/>
      <c r="D168" s="63"/>
      <c r="E168" s="64"/>
      <c r="F168" s="63"/>
      <c r="G168" s="63"/>
      <c r="H168" s="67"/>
    </row>
    <row r="169" spans="1:8" ht="18" hidden="1" customHeight="1" outlineLevel="1" x14ac:dyDescent="0.2">
      <c r="A169" s="119" t="s">
        <v>46</v>
      </c>
      <c r="B169" s="120"/>
      <c r="C169" s="120"/>
      <c r="D169" s="120"/>
      <c r="E169" s="120"/>
      <c r="F169" s="120"/>
      <c r="G169" s="120"/>
      <c r="H169" s="120"/>
    </row>
    <row r="170" spans="1:8" ht="18" hidden="1" customHeight="1" outlineLevel="2" x14ac:dyDescent="0.2">
      <c r="A170" s="18"/>
      <c r="B170" s="19" t="s">
        <v>598</v>
      </c>
      <c r="C170" s="32" t="s">
        <v>546</v>
      </c>
      <c r="D170" s="19" t="s">
        <v>587</v>
      </c>
      <c r="E170" s="36"/>
      <c r="F170" s="19"/>
      <c r="G170" s="23"/>
      <c r="H170" s="25" t="s">
        <v>57</v>
      </c>
    </row>
    <row r="171" spans="1:8" ht="18" hidden="1" customHeight="1" outlineLevel="2" x14ac:dyDescent="0.2">
      <c r="A171" s="18"/>
      <c r="B171" s="19"/>
      <c r="C171" s="19" t="s">
        <v>546</v>
      </c>
      <c r="D171" s="19" t="s">
        <v>588</v>
      </c>
      <c r="E171" s="36"/>
      <c r="F171" s="19"/>
      <c r="G171" s="23"/>
    </row>
    <row r="172" spans="1:8" ht="18" hidden="1" customHeight="1" outlineLevel="2" x14ac:dyDescent="0.2">
      <c r="A172" s="18"/>
      <c r="B172" s="19" t="s">
        <v>599</v>
      </c>
      <c r="C172" s="32" t="s">
        <v>548</v>
      </c>
      <c r="D172" s="19" t="s">
        <v>549</v>
      </c>
      <c r="E172" s="36" t="s">
        <v>550</v>
      </c>
      <c r="F172" s="19" t="s">
        <v>254</v>
      </c>
      <c r="G172" s="23" t="s">
        <v>399</v>
      </c>
      <c r="H172" s="25" t="s">
        <v>376</v>
      </c>
    </row>
    <row r="173" spans="1:8" ht="18" hidden="1" customHeight="1" outlineLevel="2" x14ac:dyDescent="0.2">
      <c r="A173" s="18"/>
      <c r="B173" s="19"/>
      <c r="C173" s="19" t="s">
        <v>551</v>
      </c>
      <c r="D173" s="19" t="s">
        <v>552</v>
      </c>
      <c r="E173" s="36" t="s">
        <v>553</v>
      </c>
      <c r="F173" s="19" t="s">
        <v>551</v>
      </c>
      <c r="G173" s="23" t="s">
        <v>589</v>
      </c>
    </row>
    <row r="174" spans="1:8" ht="18" hidden="1" customHeight="1" outlineLevel="2" x14ac:dyDescent="0.2">
      <c r="A174" s="18"/>
      <c r="B174" s="19"/>
      <c r="C174" s="19" t="s">
        <v>551</v>
      </c>
      <c r="D174" s="19" t="s">
        <v>552</v>
      </c>
      <c r="E174" s="36" t="s">
        <v>554</v>
      </c>
      <c r="F174" s="19" t="s">
        <v>551</v>
      </c>
      <c r="G174" s="23" t="s">
        <v>590</v>
      </c>
    </row>
    <row r="175" spans="1:8" ht="18" hidden="1" customHeight="1" outlineLevel="2" x14ac:dyDescent="0.2">
      <c r="A175" s="18"/>
      <c r="B175" s="19"/>
      <c r="C175" s="19" t="s">
        <v>551</v>
      </c>
      <c r="D175" s="19" t="s">
        <v>555</v>
      </c>
      <c r="E175" s="36" t="s">
        <v>556</v>
      </c>
      <c r="F175" s="19" t="s">
        <v>551</v>
      </c>
      <c r="G175" s="23" t="s">
        <v>591</v>
      </c>
    </row>
    <row r="176" spans="1:8" ht="18" hidden="1" customHeight="1" outlineLevel="2" x14ac:dyDescent="0.2">
      <c r="A176" s="18"/>
      <c r="B176" s="19"/>
      <c r="C176" s="19" t="s">
        <v>551</v>
      </c>
      <c r="D176" s="19" t="s">
        <v>555</v>
      </c>
      <c r="E176" s="36" t="s">
        <v>557</v>
      </c>
      <c r="F176" s="19" t="s">
        <v>551</v>
      </c>
      <c r="G176" s="23" t="s">
        <v>590</v>
      </c>
    </row>
    <row r="177" spans="1:8" ht="18" hidden="1" customHeight="1" outlineLevel="2" x14ac:dyDescent="0.2">
      <c r="A177" s="18"/>
      <c r="B177" s="19"/>
      <c r="C177" s="19" t="s">
        <v>551</v>
      </c>
      <c r="D177" s="19" t="s">
        <v>558</v>
      </c>
      <c r="E177" s="36" t="s">
        <v>559</v>
      </c>
      <c r="F177" s="19" t="s">
        <v>551</v>
      </c>
      <c r="G177" s="23" t="s">
        <v>591</v>
      </c>
    </row>
    <row r="178" spans="1:8" ht="18" hidden="1" customHeight="1" outlineLevel="2" x14ac:dyDescent="0.2">
      <c r="A178" s="18"/>
      <c r="B178" s="19"/>
      <c r="C178" s="19" t="s">
        <v>551</v>
      </c>
      <c r="D178" s="19" t="s">
        <v>558</v>
      </c>
      <c r="E178" s="36" t="s">
        <v>560</v>
      </c>
      <c r="F178" s="19" t="s">
        <v>551</v>
      </c>
      <c r="G178" s="23" t="s">
        <v>590</v>
      </c>
    </row>
    <row r="179" spans="1:8" ht="18" hidden="1" customHeight="1" outlineLevel="2" x14ac:dyDescent="0.2">
      <c r="A179" s="18"/>
      <c r="B179" s="19"/>
      <c r="C179" s="19" t="s">
        <v>551</v>
      </c>
      <c r="D179" s="19" t="s">
        <v>561</v>
      </c>
      <c r="E179" s="36" t="s">
        <v>562</v>
      </c>
      <c r="F179" s="19" t="s">
        <v>551</v>
      </c>
      <c r="G179" s="23" t="s">
        <v>591</v>
      </c>
    </row>
    <row r="180" spans="1:8" ht="18" hidden="1" customHeight="1" outlineLevel="2" x14ac:dyDescent="0.2">
      <c r="A180" s="18"/>
      <c r="B180" s="19"/>
      <c r="C180" s="19" t="s">
        <v>551</v>
      </c>
      <c r="D180" s="19" t="s">
        <v>561</v>
      </c>
      <c r="E180" s="36" t="s">
        <v>563</v>
      </c>
      <c r="F180" s="19" t="s">
        <v>551</v>
      </c>
      <c r="G180" s="23" t="s">
        <v>590</v>
      </c>
    </row>
    <row r="181" spans="1:8" ht="18" hidden="1" customHeight="1" outlineLevel="2" x14ac:dyDescent="0.2">
      <c r="A181" s="18"/>
      <c r="B181" s="19"/>
      <c r="C181" s="19" t="s">
        <v>52</v>
      </c>
      <c r="D181" s="19" t="s">
        <v>564</v>
      </c>
      <c r="E181" s="36" t="s">
        <v>565</v>
      </c>
      <c r="F181" s="19" t="s">
        <v>202</v>
      </c>
      <c r="G181" s="23"/>
      <c r="H181" s="25" t="s">
        <v>267</v>
      </c>
    </row>
    <row r="182" spans="1:8" ht="18" hidden="1" customHeight="1" outlineLevel="2" x14ac:dyDescent="0.2">
      <c r="A182" s="18"/>
      <c r="B182" s="19"/>
      <c r="C182" s="19" t="s">
        <v>52</v>
      </c>
      <c r="D182" s="19" t="s">
        <v>564</v>
      </c>
      <c r="E182" s="36" t="s">
        <v>566</v>
      </c>
      <c r="F182" s="19" t="s">
        <v>202</v>
      </c>
      <c r="G182" s="23"/>
      <c r="H182" s="25" t="s">
        <v>593</v>
      </c>
    </row>
    <row r="183" spans="1:8" ht="18" hidden="1" customHeight="1" outlineLevel="2" x14ac:dyDescent="0.2">
      <c r="A183" s="18"/>
      <c r="B183" s="19"/>
      <c r="C183" s="19" t="s">
        <v>52</v>
      </c>
      <c r="D183" s="19" t="s">
        <v>567</v>
      </c>
      <c r="E183" s="36" t="s">
        <v>568</v>
      </c>
      <c r="F183" s="19" t="s">
        <v>202</v>
      </c>
      <c r="G183" s="23" t="s">
        <v>569</v>
      </c>
      <c r="H183" s="25" t="s">
        <v>267</v>
      </c>
    </row>
    <row r="184" spans="1:8" ht="18" hidden="1" customHeight="1" outlineLevel="2" x14ac:dyDescent="0.2">
      <c r="A184" s="18"/>
      <c r="B184" s="19"/>
      <c r="C184" s="32" t="s">
        <v>52</v>
      </c>
      <c r="D184" s="19" t="s">
        <v>567</v>
      </c>
      <c r="E184" s="36" t="s">
        <v>570</v>
      </c>
      <c r="F184" s="19" t="s">
        <v>202</v>
      </c>
      <c r="G184" s="23" t="s">
        <v>569</v>
      </c>
      <c r="H184" s="25" t="s">
        <v>593</v>
      </c>
    </row>
    <row r="185" spans="1:8" ht="18" hidden="1" customHeight="1" outlineLevel="2" x14ac:dyDescent="0.2">
      <c r="A185" s="18"/>
      <c r="B185" s="19"/>
      <c r="C185" s="19" t="s">
        <v>596</v>
      </c>
      <c r="D185" s="19" t="s">
        <v>597</v>
      </c>
      <c r="E185" s="36" t="s">
        <v>571</v>
      </c>
      <c r="F185" s="19" t="s">
        <v>202</v>
      </c>
      <c r="G185" s="23"/>
      <c r="H185" s="25" t="s">
        <v>405</v>
      </c>
    </row>
    <row r="186" spans="1:8" ht="18" hidden="1" customHeight="1" outlineLevel="2" x14ac:dyDescent="0.2">
      <c r="A186" s="18"/>
      <c r="B186" s="19"/>
      <c r="C186" s="32" t="s">
        <v>596</v>
      </c>
      <c r="D186" s="19" t="s">
        <v>597</v>
      </c>
      <c r="E186" s="36" t="s">
        <v>572</v>
      </c>
      <c r="F186" s="19" t="s">
        <v>202</v>
      </c>
      <c r="G186" s="23" t="s">
        <v>569</v>
      </c>
      <c r="H186" s="25" t="s">
        <v>211</v>
      </c>
    </row>
    <row r="187" spans="1:8" ht="18" hidden="1" customHeight="1" outlineLevel="2" x14ac:dyDescent="0.2">
      <c r="A187" s="18"/>
      <c r="B187" s="19"/>
      <c r="C187" s="19" t="s">
        <v>573</v>
      </c>
      <c r="D187" s="19" t="s">
        <v>574</v>
      </c>
      <c r="E187" s="36" t="s">
        <v>575</v>
      </c>
      <c r="F187" s="19" t="s">
        <v>576</v>
      </c>
      <c r="G187" s="23" t="s">
        <v>577</v>
      </c>
      <c r="H187" s="25" t="s">
        <v>211</v>
      </c>
    </row>
    <row r="188" spans="1:8" ht="18" hidden="1" customHeight="1" outlineLevel="2" x14ac:dyDescent="0.2">
      <c r="A188" s="18"/>
      <c r="B188" s="19"/>
      <c r="C188" s="19" t="s">
        <v>578</v>
      </c>
      <c r="D188" s="19" t="s">
        <v>579</v>
      </c>
      <c r="E188" s="36" t="s">
        <v>580</v>
      </c>
      <c r="F188" s="19" t="s">
        <v>576</v>
      </c>
      <c r="G188" s="23" t="s">
        <v>581</v>
      </c>
      <c r="H188" s="25" t="s">
        <v>594</v>
      </c>
    </row>
    <row r="189" spans="1:8" ht="18" hidden="1" customHeight="1" outlineLevel="2" x14ac:dyDescent="0.2">
      <c r="A189" s="18"/>
      <c r="B189" s="19"/>
      <c r="C189" s="19" t="s">
        <v>573</v>
      </c>
      <c r="D189" s="19" t="s">
        <v>582</v>
      </c>
      <c r="E189" s="36" t="s">
        <v>583</v>
      </c>
      <c r="F189" s="19" t="s">
        <v>576</v>
      </c>
      <c r="G189" s="23" t="s">
        <v>584</v>
      </c>
      <c r="H189" s="25" t="s">
        <v>350</v>
      </c>
    </row>
    <row r="190" spans="1:8" ht="18" hidden="1" customHeight="1" outlineLevel="2" x14ac:dyDescent="0.2">
      <c r="A190" s="18"/>
      <c r="B190" s="19"/>
      <c r="C190" s="19" t="s">
        <v>578</v>
      </c>
      <c r="D190" s="19" t="s">
        <v>579</v>
      </c>
      <c r="E190" s="36" t="s">
        <v>585</v>
      </c>
      <c r="F190" s="19" t="s">
        <v>576</v>
      </c>
      <c r="G190" s="23" t="s">
        <v>586</v>
      </c>
      <c r="H190" s="25" t="s">
        <v>595</v>
      </c>
    </row>
    <row r="191" spans="1:8" ht="18" hidden="1" customHeight="1" outlineLevel="2" x14ac:dyDescent="0.2">
      <c r="A191" s="18"/>
      <c r="B191" s="19" t="s">
        <v>606</v>
      </c>
      <c r="C191" s="19" t="s">
        <v>600</v>
      </c>
      <c r="D191" s="19" t="s">
        <v>53</v>
      </c>
      <c r="E191" s="36"/>
      <c r="F191" s="19"/>
      <c r="G191" s="23"/>
    </row>
    <row r="192" spans="1:8" ht="18" hidden="1" customHeight="1" outlineLevel="2" x14ac:dyDescent="0.2">
      <c r="A192" s="18"/>
      <c r="B192" s="19"/>
      <c r="C192" s="19" t="s">
        <v>601</v>
      </c>
      <c r="D192" s="19" t="s">
        <v>53</v>
      </c>
      <c r="E192" s="36"/>
      <c r="F192" s="19"/>
      <c r="G192" s="23"/>
    </row>
    <row r="193" spans="1:8" ht="18" hidden="1" customHeight="1" outlineLevel="2" x14ac:dyDescent="0.2">
      <c r="A193" s="18"/>
      <c r="B193" s="19" t="s">
        <v>607</v>
      </c>
      <c r="C193" s="19" t="s">
        <v>602</v>
      </c>
      <c r="D193" s="19" t="s">
        <v>603</v>
      </c>
      <c r="E193" s="36" t="s">
        <v>609</v>
      </c>
      <c r="F193" s="19" t="s">
        <v>610</v>
      </c>
      <c r="G193" s="23" t="s">
        <v>611</v>
      </c>
      <c r="H193" s="25" t="s">
        <v>612</v>
      </c>
    </row>
    <row r="194" spans="1:8" ht="18" hidden="1" customHeight="1" outlineLevel="2" x14ac:dyDescent="0.2">
      <c r="A194" s="18"/>
      <c r="B194" s="19" t="s">
        <v>608</v>
      </c>
      <c r="C194" s="19" t="s">
        <v>604</v>
      </c>
      <c r="D194" s="19" t="s">
        <v>605</v>
      </c>
      <c r="E194" s="36"/>
      <c r="F194" s="19"/>
      <c r="G194" s="23" t="s">
        <v>613</v>
      </c>
      <c r="H194" s="25" t="s">
        <v>612</v>
      </c>
    </row>
    <row r="195" spans="1:8" ht="18" hidden="1" customHeight="1" outlineLevel="2" x14ac:dyDescent="0.2">
      <c r="A195" s="18"/>
      <c r="B195" s="19"/>
      <c r="C195" s="19"/>
      <c r="D195" s="19"/>
      <c r="E195" s="36"/>
      <c r="F195" s="19"/>
      <c r="G195" s="23"/>
    </row>
    <row r="196" spans="1:8" ht="18" customHeight="1" collapsed="1" x14ac:dyDescent="0.2">
      <c r="A196" s="139" t="s">
        <v>3721</v>
      </c>
      <c r="B196" s="140"/>
      <c r="C196" s="140"/>
      <c r="D196" s="140"/>
      <c r="E196" s="140"/>
      <c r="F196" s="140"/>
      <c r="G196" s="140"/>
      <c r="H196" s="140"/>
    </row>
    <row r="197" spans="1:8" ht="18" hidden="1" customHeight="1" outlineLevel="1" x14ac:dyDescent="0.2">
      <c r="A197" s="119" t="s">
        <v>614</v>
      </c>
      <c r="B197" s="120"/>
      <c r="C197" s="120"/>
      <c r="D197" s="120"/>
      <c r="E197" s="120"/>
      <c r="F197" s="120"/>
      <c r="G197" s="120"/>
      <c r="H197" s="120"/>
    </row>
    <row r="198" spans="1:8" ht="18" hidden="1" customHeight="1" outlineLevel="2" x14ac:dyDescent="0.2">
      <c r="A198" s="18"/>
      <c r="B198" s="19" t="s">
        <v>351</v>
      </c>
      <c r="C198" s="32" t="s">
        <v>615</v>
      </c>
      <c r="D198" s="19" t="s">
        <v>622</v>
      </c>
      <c r="E198" s="36"/>
      <c r="F198" s="19" t="s">
        <v>204</v>
      </c>
      <c r="G198" s="30" t="s">
        <v>621</v>
      </c>
      <c r="H198" s="25" t="s">
        <v>375</v>
      </c>
    </row>
    <row r="199" spans="1:8" ht="18" hidden="1" customHeight="1" outlineLevel="2" x14ac:dyDescent="0.2">
      <c r="A199" s="18"/>
      <c r="B199" s="19" t="s">
        <v>351</v>
      </c>
      <c r="C199" s="32" t="s">
        <v>623</v>
      </c>
      <c r="D199" s="19" t="s">
        <v>622</v>
      </c>
      <c r="E199" s="36" t="s">
        <v>635</v>
      </c>
      <c r="F199" s="19" t="s">
        <v>204</v>
      </c>
      <c r="G199" s="30"/>
      <c r="H199" s="25" t="s">
        <v>376</v>
      </c>
    </row>
    <row r="200" spans="1:8" ht="18" hidden="1" customHeight="1" outlineLevel="2" x14ac:dyDescent="0.2">
      <c r="A200" s="18"/>
      <c r="B200" s="19" t="s">
        <v>351</v>
      </c>
      <c r="C200" s="19" t="s">
        <v>623</v>
      </c>
      <c r="D200" s="19" t="s">
        <v>633</v>
      </c>
      <c r="E200" s="36" t="s">
        <v>634</v>
      </c>
      <c r="F200" s="19" t="s">
        <v>204</v>
      </c>
      <c r="G200" s="30"/>
      <c r="H200" s="25" t="s">
        <v>376</v>
      </c>
    </row>
    <row r="201" spans="1:8" ht="18" hidden="1" customHeight="1" outlineLevel="2" x14ac:dyDescent="0.2">
      <c r="A201" s="18"/>
      <c r="B201" s="19" t="s">
        <v>351</v>
      </c>
      <c r="C201" s="32" t="s">
        <v>615</v>
      </c>
      <c r="D201" s="19" t="s">
        <v>256</v>
      </c>
      <c r="E201" s="36" t="s">
        <v>620</v>
      </c>
      <c r="F201" s="19" t="s">
        <v>204</v>
      </c>
      <c r="G201" s="30" t="s">
        <v>621</v>
      </c>
      <c r="H201" s="25" t="s">
        <v>375</v>
      </c>
    </row>
    <row r="202" spans="1:8" ht="18" hidden="1" customHeight="1" outlineLevel="2" x14ac:dyDescent="0.2">
      <c r="A202" s="18"/>
      <c r="B202" s="19" t="s">
        <v>351</v>
      </c>
      <c r="C202" s="32" t="s">
        <v>623</v>
      </c>
      <c r="D202" s="19" t="s">
        <v>631</v>
      </c>
      <c r="E202" s="36" t="s">
        <v>632</v>
      </c>
      <c r="F202" s="19" t="s">
        <v>204</v>
      </c>
      <c r="G202" s="30" t="s">
        <v>618</v>
      </c>
      <c r="H202" s="25" t="s">
        <v>673</v>
      </c>
    </row>
    <row r="203" spans="1:8" ht="18" hidden="1" customHeight="1" outlineLevel="2" x14ac:dyDescent="0.2">
      <c r="A203" s="18"/>
      <c r="B203" s="19" t="s">
        <v>351</v>
      </c>
      <c r="C203" s="32" t="s">
        <v>615</v>
      </c>
      <c r="D203" s="19" t="s">
        <v>322</v>
      </c>
      <c r="E203" s="36" t="s">
        <v>619</v>
      </c>
      <c r="F203" s="19" t="s">
        <v>204</v>
      </c>
      <c r="G203" s="30" t="s">
        <v>618</v>
      </c>
      <c r="H203" s="25" t="s">
        <v>375</v>
      </c>
    </row>
    <row r="204" spans="1:8" ht="18" hidden="1" customHeight="1" outlineLevel="2" x14ac:dyDescent="0.2">
      <c r="A204" s="18"/>
      <c r="B204" s="19" t="s">
        <v>351</v>
      </c>
      <c r="C204" s="19" t="s">
        <v>623</v>
      </c>
      <c r="D204" s="19" t="s">
        <v>629</v>
      </c>
      <c r="E204" s="36" t="s">
        <v>630</v>
      </c>
      <c r="F204" s="19" t="s">
        <v>204</v>
      </c>
      <c r="G204" s="30"/>
      <c r="H204" s="25" t="s">
        <v>673</v>
      </c>
    </row>
    <row r="205" spans="1:8" ht="18" hidden="1" customHeight="1" outlineLevel="2" x14ac:dyDescent="0.2">
      <c r="A205" s="18"/>
      <c r="B205" s="19" t="s">
        <v>351</v>
      </c>
      <c r="C205" s="32" t="s">
        <v>615</v>
      </c>
      <c r="D205" s="19" t="s">
        <v>616</v>
      </c>
      <c r="E205" s="36" t="s">
        <v>617</v>
      </c>
      <c r="F205" s="19" t="s">
        <v>204</v>
      </c>
      <c r="G205" s="30" t="s">
        <v>618</v>
      </c>
      <c r="H205" s="25" t="s">
        <v>375</v>
      </c>
    </row>
    <row r="206" spans="1:8" ht="18" hidden="1" customHeight="1" outlineLevel="2" x14ac:dyDescent="0.2">
      <c r="A206" s="18"/>
      <c r="B206" s="19" t="s">
        <v>223</v>
      </c>
      <c r="C206" s="19" t="s">
        <v>623</v>
      </c>
      <c r="D206" s="19" t="s">
        <v>624</v>
      </c>
      <c r="E206" s="36" t="s">
        <v>625</v>
      </c>
      <c r="F206" s="19" t="s">
        <v>204</v>
      </c>
      <c r="G206" s="30" t="s">
        <v>626</v>
      </c>
      <c r="H206" s="25" t="s">
        <v>375</v>
      </c>
    </row>
    <row r="207" spans="1:8" ht="18" hidden="1" customHeight="1" outlineLevel="2" x14ac:dyDescent="0.2">
      <c r="A207" s="18"/>
      <c r="B207" s="19" t="s">
        <v>223</v>
      </c>
      <c r="C207" s="19" t="s">
        <v>623</v>
      </c>
      <c r="D207" s="19" t="s">
        <v>627</v>
      </c>
      <c r="E207" s="36" t="s">
        <v>628</v>
      </c>
      <c r="F207" s="19" t="s">
        <v>204</v>
      </c>
      <c r="G207" s="30" t="s">
        <v>626</v>
      </c>
      <c r="H207" s="25" t="s">
        <v>375</v>
      </c>
    </row>
    <row r="208" spans="1:8" ht="18" hidden="1" customHeight="1" outlineLevel="2" x14ac:dyDescent="0.2">
      <c r="A208" s="18"/>
      <c r="B208" s="19" t="s">
        <v>351</v>
      </c>
      <c r="C208" s="32" t="s">
        <v>636</v>
      </c>
      <c r="D208" s="19" t="s">
        <v>637</v>
      </c>
      <c r="E208" s="36" t="s">
        <v>638</v>
      </c>
      <c r="F208" s="19" t="s">
        <v>204</v>
      </c>
      <c r="G208" s="30" t="s">
        <v>672</v>
      </c>
      <c r="H208" s="25" t="s">
        <v>405</v>
      </c>
    </row>
    <row r="209" spans="1:8" ht="18" hidden="1" customHeight="1" outlineLevel="2" x14ac:dyDescent="0.2">
      <c r="A209" s="18"/>
      <c r="B209" s="19" t="s">
        <v>223</v>
      </c>
      <c r="C209" s="19" t="s">
        <v>636</v>
      </c>
      <c r="D209" s="19" t="s">
        <v>639</v>
      </c>
      <c r="E209" s="36" t="s">
        <v>640</v>
      </c>
      <c r="F209" s="19" t="s">
        <v>204</v>
      </c>
      <c r="G209" s="30" t="s">
        <v>641</v>
      </c>
    </row>
    <row r="210" spans="1:8" ht="18" hidden="1" customHeight="1" outlineLevel="2" x14ac:dyDescent="0.2">
      <c r="A210" s="18"/>
      <c r="B210" s="19" t="s">
        <v>223</v>
      </c>
      <c r="C210" s="32" t="s">
        <v>642</v>
      </c>
      <c r="D210" s="19" t="s">
        <v>643</v>
      </c>
      <c r="E210" s="36" t="s">
        <v>644</v>
      </c>
      <c r="F210" s="19" t="s">
        <v>204</v>
      </c>
      <c r="G210" s="12"/>
    </row>
    <row r="211" spans="1:8" ht="18" hidden="1" customHeight="1" outlineLevel="2" x14ac:dyDescent="0.2">
      <c r="A211" s="18"/>
      <c r="B211" s="19" t="s">
        <v>223</v>
      </c>
      <c r="C211" s="32" t="s">
        <v>642</v>
      </c>
      <c r="D211" s="19" t="s">
        <v>645</v>
      </c>
      <c r="E211" s="36" t="s">
        <v>646</v>
      </c>
      <c r="F211" s="19" t="s">
        <v>204</v>
      </c>
      <c r="G211" s="12"/>
    </row>
    <row r="212" spans="1:8" ht="18" hidden="1" customHeight="1" outlineLevel="2" x14ac:dyDescent="0.2">
      <c r="A212" s="18"/>
      <c r="B212" s="19" t="s">
        <v>223</v>
      </c>
      <c r="C212" s="32" t="s">
        <v>642</v>
      </c>
      <c r="D212" s="19" t="s">
        <v>647</v>
      </c>
      <c r="E212" s="36" t="s">
        <v>648</v>
      </c>
      <c r="F212" s="19" t="s">
        <v>204</v>
      </c>
      <c r="G212" s="12"/>
    </row>
    <row r="213" spans="1:8" ht="18" hidden="1" customHeight="1" outlineLevel="2" x14ac:dyDescent="0.2">
      <c r="A213" s="18"/>
      <c r="B213" s="19" t="s">
        <v>351</v>
      </c>
      <c r="C213" s="32" t="s">
        <v>642</v>
      </c>
      <c r="D213" s="19" t="s">
        <v>649</v>
      </c>
      <c r="E213" s="36" t="s">
        <v>650</v>
      </c>
      <c r="F213" s="19" t="s">
        <v>204</v>
      </c>
      <c r="G213" s="12"/>
      <c r="H213" s="25" t="s">
        <v>375</v>
      </c>
    </row>
    <row r="214" spans="1:8" ht="18" hidden="1" customHeight="1" outlineLevel="2" x14ac:dyDescent="0.2">
      <c r="A214" s="18"/>
      <c r="B214" s="19" t="s">
        <v>351</v>
      </c>
      <c r="C214" s="32" t="s">
        <v>642</v>
      </c>
      <c r="D214" s="19" t="s">
        <v>651</v>
      </c>
      <c r="E214" s="36" t="s">
        <v>652</v>
      </c>
      <c r="F214" s="19" t="s">
        <v>204</v>
      </c>
      <c r="G214" s="12"/>
      <c r="H214" s="25" t="s">
        <v>375</v>
      </c>
    </row>
    <row r="215" spans="1:8" ht="18" hidden="1" customHeight="1" outlineLevel="2" x14ac:dyDescent="0.2">
      <c r="A215" s="18"/>
      <c r="B215" s="19" t="s">
        <v>351</v>
      </c>
      <c r="C215" s="32" t="s">
        <v>642</v>
      </c>
      <c r="D215" s="19" t="s">
        <v>653</v>
      </c>
      <c r="E215" s="36" t="s">
        <v>654</v>
      </c>
      <c r="F215" s="19" t="s">
        <v>204</v>
      </c>
      <c r="G215" s="12"/>
      <c r="H215" s="25" t="s">
        <v>375</v>
      </c>
    </row>
    <row r="216" spans="1:8" ht="18" hidden="1" customHeight="1" outlineLevel="2" x14ac:dyDescent="0.2">
      <c r="A216" s="18"/>
      <c r="B216" s="19" t="s">
        <v>351</v>
      </c>
      <c r="C216" s="32" t="s">
        <v>642</v>
      </c>
      <c r="D216" s="19" t="s">
        <v>655</v>
      </c>
      <c r="E216" s="36" t="s">
        <v>656</v>
      </c>
      <c r="F216" s="19" t="s">
        <v>204</v>
      </c>
      <c r="G216" s="12"/>
      <c r="H216" s="25" t="s">
        <v>375</v>
      </c>
    </row>
    <row r="217" spans="1:8" ht="18" hidden="1" customHeight="1" outlineLevel="2" x14ac:dyDescent="0.2">
      <c r="A217" s="18"/>
      <c r="B217" s="19" t="s">
        <v>351</v>
      </c>
      <c r="C217" s="32" t="s">
        <v>642</v>
      </c>
      <c r="D217" s="19" t="s">
        <v>657</v>
      </c>
      <c r="E217" s="36" t="s">
        <v>648</v>
      </c>
      <c r="F217" s="19" t="s">
        <v>204</v>
      </c>
      <c r="G217" s="12"/>
      <c r="H217" s="25" t="s">
        <v>375</v>
      </c>
    </row>
    <row r="218" spans="1:8" ht="18" hidden="1" customHeight="1" outlineLevel="2" x14ac:dyDescent="0.2">
      <c r="A218" s="18"/>
      <c r="B218" s="19" t="s">
        <v>351</v>
      </c>
      <c r="C218" s="32" t="s">
        <v>658</v>
      </c>
      <c r="D218" s="19" t="s">
        <v>659</v>
      </c>
      <c r="E218" s="36" t="s">
        <v>660</v>
      </c>
      <c r="F218" s="19" t="s">
        <v>204</v>
      </c>
      <c r="G218" s="12"/>
      <c r="H218" s="25" t="s">
        <v>375</v>
      </c>
    </row>
    <row r="219" spans="1:8" ht="18" hidden="1" customHeight="1" outlineLevel="2" x14ac:dyDescent="0.2">
      <c r="A219" s="18"/>
      <c r="B219" s="19" t="s">
        <v>351</v>
      </c>
      <c r="C219" s="32" t="s">
        <v>661</v>
      </c>
      <c r="D219" s="19"/>
      <c r="E219" s="36" t="s">
        <v>662</v>
      </c>
      <c r="F219" s="19" t="s">
        <v>204</v>
      </c>
      <c r="G219" s="12"/>
      <c r="H219" s="25" t="s">
        <v>675</v>
      </c>
    </row>
    <row r="220" spans="1:8" ht="18" hidden="1" customHeight="1" outlineLevel="2" x14ac:dyDescent="0.2">
      <c r="A220" s="18"/>
      <c r="B220" s="19" t="s">
        <v>351</v>
      </c>
      <c r="C220" s="32" t="s">
        <v>663</v>
      </c>
      <c r="D220" s="19" t="s">
        <v>3694</v>
      </c>
      <c r="E220" s="36" t="s">
        <v>664</v>
      </c>
      <c r="F220" s="19" t="s">
        <v>665</v>
      </c>
      <c r="G220" s="12" t="s">
        <v>666</v>
      </c>
      <c r="H220" s="25" t="s">
        <v>673</v>
      </c>
    </row>
    <row r="221" spans="1:8" ht="18" hidden="1" customHeight="1" outlineLevel="2" x14ac:dyDescent="0.2">
      <c r="A221" s="18"/>
      <c r="B221" s="19" t="s">
        <v>351</v>
      </c>
      <c r="C221" s="19" t="s">
        <v>663</v>
      </c>
      <c r="D221" s="19" t="s">
        <v>3695</v>
      </c>
      <c r="E221" s="36" t="s">
        <v>670</v>
      </c>
      <c r="F221" s="19" t="s">
        <v>665</v>
      </c>
      <c r="G221" s="12" t="s">
        <v>671</v>
      </c>
      <c r="H221" s="25" t="s">
        <v>673</v>
      </c>
    </row>
    <row r="222" spans="1:8" ht="18" hidden="1" customHeight="1" outlineLevel="2" x14ac:dyDescent="0.2">
      <c r="A222" s="18"/>
      <c r="B222" s="19" t="s">
        <v>351</v>
      </c>
      <c r="C222" s="32" t="s">
        <v>667</v>
      </c>
      <c r="D222" s="19" t="s">
        <v>668</v>
      </c>
      <c r="E222" s="36" t="s">
        <v>669</v>
      </c>
      <c r="F222" s="19" t="s">
        <v>204</v>
      </c>
      <c r="G222" s="12"/>
    </row>
    <row r="223" spans="1:8" ht="18" hidden="1" customHeight="1" outlineLevel="2" x14ac:dyDescent="0.2">
      <c r="A223" s="18"/>
      <c r="B223" s="19"/>
      <c r="C223" s="19"/>
      <c r="D223" s="19"/>
      <c r="E223" s="36"/>
      <c r="F223" s="19"/>
      <c r="G223" s="23"/>
    </row>
    <row r="224" spans="1:8" ht="18" hidden="1" customHeight="1" outlineLevel="1" x14ac:dyDescent="0.2">
      <c r="A224" s="119" t="s">
        <v>49</v>
      </c>
      <c r="B224" s="120"/>
      <c r="C224" s="120"/>
      <c r="D224" s="120"/>
      <c r="E224" s="120"/>
      <c r="F224" s="120"/>
      <c r="G224" s="120"/>
      <c r="H224" s="120"/>
    </row>
    <row r="225" spans="1:8" ht="18" hidden="1" customHeight="1" outlineLevel="2" x14ac:dyDescent="0.2">
      <c r="A225" s="18"/>
      <c r="B225" s="19" t="s">
        <v>223</v>
      </c>
      <c r="C225" s="19" t="s">
        <v>676</v>
      </c>
      <c r="D225" s="19" t="s">
        <v>677</v>
      </c>
      <c r="E225" s="36" t="s">
        <v>678</v>
      </c>
      <c r="F225" s="19" t="s">
        <v>679</v>
      </c>
      <c r="G225" s="23" t="s">
        <v>680</v>
      </c>
      <c r="H225" s="25" t="s">
        <v>3066</v>
      </c>
    </row>
    <row r="226" spans="1:8" ht="18" hidden="1" customHeight="1" outlineLevel="2" x14ac:dyDescent="0.2">
      <c r="A226" s="18"/>
      <c r="B226" s="19" t="s">
        <v>3121</v>
      </c>
      <c r="C226" s="19" t="s">
        <v>676</v>
      </c>
      <c r="D226" s="19" t="s">
        <v>681</v>
      </c>
      <c r="E226" s="36" t="s">
        <v>678</v>
      </c>
      <c r="F226" s="19" t="s">
        <v>679</v>
      </c>
      <c r="G226" s="23" t="s">
        <v>680</v>
      </c>
      <c r="H226" s="25" t="s">
        <v>3066</v>
      </c>
    </row>
    <row r="227" spans="1:8" ht="18" hidden="1" customHeight="1" outlineLevel="2" x14ac:dyDescent="0.2">
      <c r="A227" s="18"/>
      <c r="B227" s="19" t="s">
        <v>3122</v>
      </c>
      <c r="C227" s="19" t="s">
        <v>682</v>
      </c>
      <c r="D227" s="19" t="s">
        <v>681</v>
      </c>
      <c r="E227" s="36" t="s">
        <v>678</v>
      </c>
      <c r="F227" s="19" t="s">
        <v>679</v>
      </c>
      <c r="G227" s="23" t="s">
        <v>683</v>
      </c>
      <c r="H227" s="25" t="s">
        <v>3067</v>
      </c>
    </row>
    <row r="228" spans="1:8" ht="18" hidden="1" customHeight="1" outlineLevel="2" x14ac:dyDescent="0.2">
      <c r="A228" s="18"/>
      <c r="B228" s="19" t="s">
        <v>3123</v>
      </c>
      <c r="C228" s="19" t="s">
        <v>676</v>
      </c>
      <c r="D228" s="19" t="s">
        <v>684</v>
      </c>
      <c r="E228" s="36" t="s">
        <v>685</v>
      </c>
      <c r="F228" s="19" t="s">
        <v>679</v>
      </c>
      <c r="G228" s="23" t="s">
        <v>686</v>
      </c>
      <c r="H228" s="25" t="s">
        <v>3068</v>
      </c>
    </row>
    <row r="229" spans="1:8" ht="18" hidden="1" customHeight="1" outlineLevel="2" x14ac:dyDescent="0.2">
      <c r="A229" s="18"/>
      <c r="B229" s="19" t="s">
        <v>3124</v>
      </c>
      <c r="C229" s="19" t="s">
        <v>682</v>
      </c>
      <c r="D229" s="19" t="s">
        <v>684</v>
      </c>
      <c r="E229" s="36" t="s">
        <v>685</v>
      </c>
      <c r="F229" s="19" t="s">
        <v>679</v>
      </c>
      <c r="G229" s="23" t="s">
        <v>683</v>
      </c>
      <c r="H229" s="25" t="s">
        <v>3067</v>
      </c>
    </row>
    <row r="230" spans="1:8" ht="18" hidden="1" customHeight="1" outlineLevel="2" x14ac:dyDescent="0.2">
      <c r="A230" s="18"/>
      <c r="B230" s="19" t="s">
        <v>223</v>
      </c>
      <c r="C230" s="19" t="s">
        <v>676</v>
      </c>
      <c r="D230" s="19" t="s">
        <v>687</v>
      </c>
      <c r="E230" s="36" t="s">
        <v>688</v>
      </c>
      <c r="F230" s="19" t="s">
        <v>679</v>
      </c>
      <c r="G230" s="23" t="s">
        <v>689</v>
      </c>
    </row>
    <row r="231" spans="1:8" ht="18" hidden="1" customHeight="1" outlineLevel="2" x14ac:dyDescent="0.2">
      <c r="A231" s="18"/>
      <c r="B231" s="19" t="s">
        <v>223</v>
      </c>
      <c r="C231" s="19" t="s">
        <v>682</v>
      </c>
      <c r="D231" s="19" t="s">
        <v>687</v>
      </c>
      <c r="E231" s="36" t="s">
        <v>688</v>
      </c>
      <c r="F231" s="19" t="s">
        <v>679</v>
      </c>
      <c r="G231" s="23"/>
    </row>
    <row r="232" spans="1:8" ht="18" hidden="1" customHeight="1" outlineLevel="2" x14ac:dyDescent="0.2">
      <c r="A232" s="18"/>
      <c r="B232" s="19" t="s">
        <v>223</v>
      </c>
      <c r="C232" s="19" t="s">
        <v>676</v>
      </c>
      <c r="D232" s="19" t="s">
        <v>690</v>
      </c>
      <c r="E232" s="36" t="s">
        <v>688</v>
      </c>
      <c r="F232" s="19" t="s">
        <v>679</v>
      </c>
      <c r="G232" s="23" t="s">
        <v>691</v>
      </c>
    </row>
    <row r="233" spans="1:8" ht="18" hidden="1" customHeight="1" outlineLevel="2" x14ac:dyDescent="0.2">
      <c r="A233" s="18"/>
      <c r="B233" s="19" t="s">
        <v>223</v>
      </c>
      <c r="C233" s="19" t="s">
        <v>682</v>
      </c>
      <c r="D233" s="19" t="s">
        <v>690</v>
      </c>
      <c r="E233" s="36" t="s">
        <v>688</v>
      </c>
      <c r="F233" s="19" t="s">
        <v>679</v>
      </c>
      <c r="G233" s="23"/>
    </row>
    <row r="234" spans="1:8" ht="18" hidden="1" customHeight="1" outlineLevel="2" x14ac:dyDescent="0.2">
      <c r="A234" s="18"/>
      <c r="B234" s="19"/>
      <c r="C234" s="19"/>
      <c r="D234" s="19"/>
      <c r="E234" s="36"/>
      <c r="F234" s="19"/>
      <c r="G234" s="23"/>
    </row>
    <row r="235" spans="1:8" ht="18" hidden="1" customHeight="1" outlineLevel="1" x14ac:dyDescent="0.2">
      <c r="A235" s="119" t="s">
        <v>3692</v>
      </c>
      <c r="B235" s="120"/>
      <c r="C235" s="120"/>
      <c r="D235" s="120"/>
      <c r="E235" s="120"/>
      <c r="F235" s="120"/>
      <c r="G235" s="120"/>
      <c r="H235" s="120"/>
    </row>
    <row r="236" spans="1:8" ht="18" hidden="1" customHeight="1" outlineLevel="2" x14ac:dyDescent="0.2">
      <c r="A236" s="18"/>
      <c r="B236" s="19" t="s">
        <v>3125</v>
      </c>
      <c r="C236" s="19" t="s">
        <v>692</v>
      </c>
      <c r="D236" s="19" t="s">
        <v>693</v>
      </c>
      <c r="E236" s="36" t="s">
        <v>694</v>
      </c>
      <c r="F236" s="19" t="s">
        <v>695</v>
      </c>
      <c r="G236" s="23" t="s">
        <v>3691</v>
      </c>
      <c r="H236" s="25" t="s">
        <v>3069</v>
      </c>
    </row>
    <row r="237" spans="1:8" ht="18" hidden="1" customHeight="1" outlineLevel="2" x14ac:dyDescent="0.2">
      <c r="A237" s="18"/>
      <c r="B237" s="19" t="s">
        <v>223</v>
      </c>
      <c r="C237" s="19" t="s">
        <v>692</v>
      </c>
      <c r="D237" s="19" t="s">
        <v>696</v>
      </c>
      <c r="E237" s="36" t="s">
        <v>697</v>
      </c>
      <c r="F237" s="19" t="s">
        <v>695</v>
      </c>
      <c r="G237" s="23" t="s">
        <v>3691</v>
      </c>
      <c r="H237" s="25" t="s">
        <v>3070</v>
      </c>
    </row>
    <row r="238" spans="1:8" ht="18" hidden="1" customHeight="1" outlineLevel="2" x14ac:dyDescent="0.2">
      <c r="A238" s="18"/>
      <c r="B238" s="19" t="s">
        <v>3126</v>
      </c>
      <c r="C238" s="19" t="s">
        <v>698</v>
      </c>
      <c r="D238" s="19" t="s">
        <v>693</v>
      </c>
      <c r="E238" s="36" t="s">
        <v>694</v>
      </c>
      <c r="F238" s="19" t="s">
        <v>695</v>
      </c>
      <c r="G238" s="23" t="s">
        <v>3691</v>
      </c>
      <c r="H238" s="25" t="s">
        <v>3071</v>
      </c>
    </row>
    <row r="239" spans="1:8" ht="18" hidden="1" customHeight="1" outlineLevel="2" x14ac:dyDescent="0.2">
      <c r="A239" s="18"/>
      <c r="B239" s="19" t="s">
        <v>223</v>
      </c>
      <c r="C239" s="19" t="s">
        <v>698</v>
      </c>
      <c r="D239" s="19" t="s">
        <v>696</v>
      </c>
      <c r="E239" s="36" t="s">
        <v>697</v>
      </c>
      <c r="F239" s="19" t="s">
        <v>695</v>
      </c>
      <c r="G239" s="23" t="s">
        <v>3691</v>
      </c>
      <c r="H239" s="25" t="s">
        <v>3072</v>
      </c>
    </row>
    <row r="240" spans="1:8" ht="18" hidden="1" customHeight="1" outlineLevel="2" x14ac:dyDescent="0.2">
      <c r="A240" s="18"/>
      <c r="B240" s="19" t="s">
        <v>3127</v>
      </c>
      <c r="C240" s="19" t="s">
        <v>699</v>
      </c>
      <c r="D240" s="19" t="s">
        <v>693</v>
      </c>
      <c r="E240" s="36" t="s">
        <v>694</v>
      </c>
      <c r="F240" s="19" t="s">
        <v>695</v>
      </c>
      <c r="G240" s="23"/>
      <c r="H240" s="25" t="s">
        <v>3073</v>
      </c>
    </row>
    <row r="241" spans="1:8" ht="18" hidden="1" customHeight="1" outlineLevel="2" x14ac:dyDescent="0.2">
      <c r="A241" s="18"/>
      <c r="B241" s="19" t="s">
        <v>223</v>
      </c>
      <c r="C241" s="19" t="s">
        <v>699</v>
      </c>
      <c r="D241" s="19" t="s">
        <v>696</v>
      </c>
      <c r="E241" s="36" t="s">
        <v>697</v>
      </c>
      <c r="F241" s="19" t="s">
        <v>695</v>
      </c>
      <c r="G241" s="23"/>
      <c r="H241" s="25" t="s">
        <v>3074</v>
      </c>
    </row>
    <row r="242" spans="1:8" ht="18" hidden="1" customHeight="1" outlineLevel="2" x14ac:dyDescent="0.2">
      <c r="A242" s="18"/>
      <c r="B242" s="19" t="s">
        <v>3696</v>
      </c>
      <c r="C242" s="19" t="s">
        <v>1264</v>
      </c>
      <c r="D242" s="19"/>
      <c r="E242" s="36" t="s">
        <v>3697</v>
      </c>
      <c r="F242" s="19" t="s">
        <v>1267</v>
      </c>
      <c r="G242" s="23"/>
    </row>
    <row r="243" spans="1:8" ht="18" hidden="1" customHeight="1" outlineLevel="2" x14ac:dyDescent="0.2">
      <c r="A243" s="18"/>
      <c r="B243" s="19" t="s">
        <v>3240</v>
      </c>
      <c r="C243" s="19" t="s">
        <v>1264</v>
      </c>
      <c r="D243" s="19" t="s">
        <v>1265</v>
      </c>
      <c r="E243" s="36" t="s">
        <v>1266</v>
      </c>
      <c r="F243" s="19" t="s">
        <v>1267</v>
      </c>
      <c r="G243" s="23" t="s">
        <v>1268</v>
      </c>
      <c r="H243" s="25" t="s">
        <v>3081</v>
      </c>
    </row>
    <row r="244" spans="1:8" ht="18" hidden="1" customHeight="1" outlineLevel="2" x14ac:dyDescent="0.2">
      <c r="A244" s="18"/>
      <c r="B244" s="19" t="s">
        <v>3240</v>
      </c>
      <c r="C244" s="19" t="s">
        <v>1264</v>
      </c>
      <c r="D244" s="19" t="s">
        <v>1269</v>
      </c>
      <c r="E244" s="36" t="s">
        <v>1266</v>
      </c>
      <c r="F244" s="19" t="s">
        <v>1267</v>
      </c>
      <c r="G244" s="23"/>
      <c r="H244" s="25" t="s">
        <v>3082</v>
      </c>
    </row>
    <row r="245" spans="1:8" ht="18" hidden="1" customHeight="1" outlineLevel="2" x14ac:dyDescent="0.2">
      <c r="A245" s="18"/>
      <c r="B245" s="19" t="s">
        <v>3241</v>
      </c>
      <c r="C245" s="19" t="s">
        <v>1264</v>
      </c>
      <c r="D245" s="19" t="s">
        <v>1265</v>
      </c>
      <c r="E245" s="36" t="s">
        <v>1270</v>
      </c>
      <c r="F245" s="19" t="s">
        <v>1267</v>
      </c>
      <c r="G245" s="23" t="s">
        <v>1268</v>
      </c>
      <c r="H245" s="25" t="s">
        <v>3081</v>
      </c>
    </row>
    <row r="246" spans="1:8" ht="18" hidden="1" customHeight="1" outlineLevel="2" x14ac:dyDescent="0.2">
      <c r="A246" s="18"/>
      <c r="B246" s="19" t="s">
        <v>3241</v>
      </c>
      <c r="C246" s="19" t="s">
        <v>1264</v>
      </c>
      <c r="D246" s="19" t="s">
        <v>1269</v>
      </c>
      <c r="E246" s="36" t="s">
        <v>1270</v>
      </c>
      <c r="F246" s="19" t="s">
        <v>1267</v>
      </c>
      <c r="G246" s="23"/>
      <c r="H246" s="25" t="s">
        <v>3083</v>
      </c>
    </row>
    <row r="247" spans="1:8" ht="18" hidden="1" customHeight="1" outlineLevel="2" x14ac:dyDescent="0.2">
      <c r="A247" s="18"/>
      <c r="B247" s="19" t="s">
        <v>3242</v>
      </c>
      <c r="C247" s="19" t="s">
        <v>1264</v>
      </c>
      <c r="D247" s="19" t="s">
        <v>1271</v>
      </c>
      <c r="E247" s="36" t="s">
        <v>1272</v>
      </c>
      <c r="F247" s="19" t="s">
        <v>1267</v>
      </c>
      <c r="G247" s="23"/>
      <c r="H247" s="25" t="s">
        <v>232</v>
      </c>
    </row>
    <row r="248" spans="1:8" ht="18" hidden="1" customHeight="1" outlineLevel="2" x14ac:dyDescent="0.2">
      <c r="A248" s="18"/>
      <c r="B248" s="19" t="s">
        <v>3242</v>
      </c>
      <c r="C248" s="19" t="s">
        <v>1264</v>
      </c>
      <c r="D248" s="19" t="s">
        <v>1269</v>
      </c>
      <c r="E248" s="36" t="s">
        <v>1272</v>
      </c>
      <c r="F248" s="19" t="s">
        <v>1267</v>
      </c>
      <c r="G248" s="23"/>
      <c r="H248" s="25" t="s">
        <v>3084</v>
      </c>
    </row>
    <row r="249" spans="1:8" ht="18" hidden="1" customHeight="1" outlineLevel="2" x14ac:dyDescent="0.2">
      <c r="A249" s="18"/>
      <c r="B249" s="19" t="s">
        <v>3243</v>
      </c>
      <c r="C249" s="19" t="s">
        <v>1264</v>
      </c>
      <c r="D249" s="19" t="s">
        <v>1273</v>
      </c>
      <c r="E249" s="36" t="s">
        <v>1274</v>
      </c>
      <c r="F249" s="19" t="s">
        <v>1275</v>
      </c>
      <c r="G249" s="23"/>
    </row>
    <row r="250" spans="1:8" ht="18" hidden="1" customHeight="1" outlineLevel="2" x14ac:dyDescent="0.2">
      <c r="A250" s="18"/>
      <c r="B250" s="19" t="s">
        <v>3244</v>
      </c>
      <c r="C250" s="19" t="s">
        <v>1264</v>
      </c>
      <c r="D250" s="19" t="s">
        <v>1276</v>
      </c>
      <c r="E250" s="36" t="s">
        <v>1277</v>
      </c>
      <c r="F250" s="19" t="s">
        <v>1267</v>
      </c>
      <c r="G250" s="23"/>
    </row>
    <row r="251" spans="1:8" ht="18" hidden="1" customHeight="1" outlineLevel="2" x14ac:dyDescent="0.2">
      <c r="A251" s="18"/>
      <c r="B251" s="19" t="s">
        <v>3245</v>
      </c>
      <c r="C251" s="19" t="s">
        <v>1264</v>
      </c>
      <c r="D251" s="19" t="s">
        <v>1271</v>
      </c>
      <c r="E251" s="36" t="s">
        <v>1278</v>
      </c>
      <c r="F251" s="19" t="s">
        <v>1267</v>
      </c>
      <c r="G251" s="23"/>
      <c r="H251" s="25" t="s">
        <v>232</v>
      </c>
    </row>
    <row r="252" spans="1:8" ht="18" hidden="1" customHeight="1" outlineLevel="2" x14ac:dyDescent="0.2">
      <c r="A252" s="18"/>
      <c r="B252" s="19" t="s">
        <v>3245</v>
      </c>
      <c r="C252" s="19" t="s">
        <v>1264</v>
      </c>
      <c r="D252" s="19" t="s">
        <v>1269</v>
      </c>
      <c r="E252" s="36" t="s">
        <v>1278</v>
      </c>
      <c r="F252" s="19" t="s">
        <v>1267</v>
      </c>
      <c r="G252" s="23"/>
      <c r="H252" s="25" t="s">
        <v>3085</v>
      </c>
    </row>
    <row r="253" spans="1:8" ht="18" hidden="1" customHeight="1" outlineLevel="2" x14ac:dyDescent="0.2">
      <c r="A253" s="18"/>
      <c r="B253" s="19" t="s">
        <v>3246</v>
      </c>
      <c r="C253" s="19" t="s">
        <v>1264</v>
      </c>
      <c r="D253" s="19" t="s">
        <v>1279</v>
      </c>
      <c r="E253" s="36" t="s">
        <v>1280</v>
      </c>
      <c r="F253" s="19" t="s">
        <v>1267</v>
      </c>
      <c r="G253" s="23"/>
    </row>
    <row r="254" spans="1:8" ht="18" hidden="1" customHeight="1" outlineLevel="2" x14ac:dyDescent="0.2">
      <c r="A254" s="18"/>
      <c r="B254" s="19" t="s">
        <v>3246</v>
      </c>
      <c r="C254" s="19" t="s">
        <v>1264</v>
      </c>
      <c r="D254" s="19" t="s">
        <v>1281</v>
      </c>
      <c r="E254" s="36" t="s">
        <v>1280</v>
      </c>
      <c r="F254" s="19" t="s">
        <v>1267</v>
      </c>
      <c r="G254" s="23"/>
    </row>
    <row r="255" spans="1:8" ht="18" hidden="1" customHeight="1" outlineLevel="2" x14ac:dyDescent="0.2">
      <c r="A255" s="18"/>
      <c r="B255" s="19" t="s">
        <v>223</v>
      </c>
      <c r="C255" s="19" t="s">
        <v>1282</v>
      </c>
      <c r="D255" s="19" t="s">
        <v>1271</v>
      </c>
      <c r="E255" s="36" t="s">
        <v>1283</v>
      </c>
      <c r="F255" s="19" t="s">
        <v>1267</v>
      </c>
      <c r="G255" s="23"/>
      <c r="H255" s="25" t="s">
        <v>3086</v>
      </c>
    </row>
    <row r="256" spans="1:8" ht="18" hidden="1" customHeight="1" outlineLevel="2" x14ac:dyDescent="0.2">
      <c r="A256" s="18"/>
      <c r="B256" s="19" t="s">
        <v>223</v>
      </c>
      <c r="C256" s="19" t="s">
        <v>1282</v>
      </c>
      <c r="D256" s="19" t="s">
        <v>1269</v>
      </c>
      <c r="E256" s="36" t="s">
        <v>1284</v>
      </c>
      <c r="F256" s="19" t="s">
        <v>1267</v>
      </c>
      <c r="G256" s="23"/>
      <c r="H256" s="25" t="s">
        <v>3087</v>
      </c>
    </row>
    <row r="257" spans="1:8" ht="18" hidden="1" customHeight="1" outlineLevel="2" x14ac:dyDescent="0.2">
      <c r="A257" s="18"/>
      <c r="B257" s="19"/>
      <c r="C257" s="19"/>
      <c r="D257" s="19"/>
      <c r="E257" s="36"/>
      <c r="F257" s="19"/>
      <c r="G257" s="23"/>
    </row>
    <row r="258" spans="1:8" ht="18" hidden="1" customHeight="1" outlineLevel="1" x14ac:dyDescent="0.2">
      <c r="A258" s="135" t="s">
        <v>3693</v>
      </c>
      <c r="B258" s="136"/>
      <c r="C258" s="136"/>
      <c r="D258" s="136"/>
      <c r="E258" s="136"/>
      <c r="F258" s="136"/>
      <c r="G258" s="136"/>
      <c r="H258" s="136"/>
    </row>
    <row r="259" spans="1:8" ht="18" hidden="1" customHeight="1" outlineLevel="2" x14ac:dyDescent="0.2">
      <c r="A259" s="18"/>
      <c r="B259" s="19" t="s">
        <v>223</v>
      </c>
      <c r="C259" s="19" t="s">
        <v>1285</v>
      </c>
      <c r="D259" s="19" t="s">
        <v>1286</v>
      </c>
      <c r="E259" s="36" t="s">
        <v>1287</v>
      </c>
      <c r="F259" s="19" t="s">
        <v>1288</v>
      </c>
      <c r="G259" s="23"/>
      <c r="H259" s="25" t="s">
        <v>3088</v>
      </c>
    </row>
    <row r="260" spans="1:8" ht="18" hidden="1" customHeight="1" outlineLevel="2" x14ac:dyDescent="0.2">
      <c r="A260" s="18"/>
      <c r="B260" s="19" t="s">
        <v>223</v>
      </c>
      <c r="C260" s="19" t="s">
        <v>1285</v>
      </c>
      <c r="D260" s="19" t="s">
        <v>1289</v>
      </c>
      <c r="E260" s="36" t="s">
        <v>1287</v>
      </c>
      <c r="F260" s="19" t="s">
        <v>1288</v>
      </c>
      <c r="G260" s="23"/>
      <c r="H260" s="25" t="s">
        <v>1289</v>
      </c>
    </row>
    <row r="261" spans="1:8" ht="18" hidden="1" customHeight="1" outlineLevel="2" x14ac:dyDescent="0.2">
      <c r="A261" s="18"/>
      <c r="B261" s="19" t="s">
        <v>3247</v>
      </c>
      <c r="C261" s="19" t="s">
        <v>1290</v>
      </c>
      <c r="D261" s="19" t="s">
        <v>1286</v>
      </c>
      <c r="E261" s="36" t="s">
        <v>1291</v>
      </c>
      <c r="F261" s="19" t="s">
        <v>1292</v>
      </c>
      <c r="G261" s="23"/>
      <c r="H261" s="25" t="s">
        <v>1286</v>
      </c>
    </row>
    <row r="262" spans="1:8" ht="18" hidden="1" customHeight="1" outlineLevel="2" x14ac:dyDescent="0.2">
      <c r="A262" s="18"/>
      <c r="B262" s="19" t="s">
        <v>3247</v>
      </c>
      <c r="C262" s="19" t="s">
        <v>1290</v>
      </c>
      <c r="D262" s="19" t="s">
        <v>1289</v>
      </c>
      <c r="E262" s="36" t="s">
        <v>1291</v>
      </c>
      <c r="F262" s="19" t="s">
        <v>1292</v>
      </c>
      <c r="G262" s="23"/>
      <c r="H262" s="25" t="s">
        <v>1289</v>
      </c>
    </row>
    <row r="263" spans="1:8" ht="18" hidden="1" customHeight="1" outlineLevel="2" x14ac:dyDescent="0.2">
      <c r="A263" s="18"/>
      <c r="B263" s="19" t="s">
        <v>223</v>
      </c>
      <c r="C263" s="19" t="s">
        <v>1293</v>
      </c>
      <c r="D263" s="19" t="s">
        <v>1286</v>
      </c>
      <c r="E263" s="36" t="s">
        <v>1294</v>
      </c>
      <c r="F263" s="19" t="s">
        <v>1292</v>
      </c>
      <c r="G263" s="23"/>
      <c r="H263" s="25" t="s">
        <v>1286</v>
      </c>
    </row>
    <row r="264" spans="1:8" ht="18" hidden="1" customHeight="1" outlineLevel="2" x14ac:dyDescent="0.2">
      <c r="A264" s="18"/>
      <c r="B264" s="19" t="s">
        <v>223</v>
      </c>
      <c r="C264" s="19" t="s">
        <v>1293</v>
      </c>
      <c r="D264" s="19" t="s">
        <v>1289</v>
      </c>
      <c r="E264" s="36" t="s">
        <v>1294</v>
      </c>
      <c r="F264" s="19" t="s">
        <v>1292</v>
      </c>
      <c r="G264" s="23"/>
      <c r="H264" s="25" t="s">
        <v>1289</v>
      </c>
    </row>
    <row r="265" spans="1:8" ht="18" hidden="1" customHeight="1" outlineLevel="2" x14ac:dyDescent="0.2">
      <c r="A265" s="18"/>
      <c r="B265" s="19" t="s">
        <v>223</v>
      </c>
      <c r="C265" s="19" t="s">
        <v>1295</v>
      </c>
      <c r="D265" s="19" t="s">
        <v>1296</v>
      </c>
      <c r="E265" s="36" t="s">
        <v>1297</v>
      </c>
      <c r="F265" s="19" t="s">
        <v>1298</v>
      </c>
      <c r="G265" s="23" t="s">
        <v>1280</v>
      </c>
      <c r="H265" s="25" t="s">
        <v>1296</v>
      </c>
    </row>
    <row r="266" spans="1:8" ht="18" hidden="1" customHeight="1" outlineLevel="2" x14ac:dyDescent="0.2">
      <c r="A266" s="18"/>
      <c r="B266" s="19" t="s">
        <v>223</v>
      </c>
      <c r="C266" s="19" t="s">
        <v>1295</v>
      </c>
      <c r="D266" s="19" t="s">
        <v>1286</v>
      </c>
      <c r="E266" s="36" t="s">
        <v>1297</v>
      </c>
      <c r="F266" s="19" t="s">
        <v>1298</v>
      </c>
      <c r="G266" s="23" t="s">
        <v>1280</v>
      </c>
      <c r="H266" s="25" t="s">
        <v>1286</v>
      </c>
    </row>
    <row r="267" spans="1:8" ht="18" hidden="1" customHeight="1" outlineLevel="2" x14ac:dyDescent="0.2">
      <c r="A267" s="18"/>
      <c r="B267" s="19" t="s">
        <v>223</v>
      </c>
      <c r="C267" s="19" t="s">
        <v>1299</v>
      </c>
      <c r="D267" s="19" t="s">
        <v>1296</v>
      </c>
      <c r="E267" s="36" t="s">
        <v>1300</v>
      </c>
      <c r="F267" s="19" t="s">
        <v>1298</v>
      </c>
      <c r="G267" s="23" t="s">
        <v>1280</v>
      </c>
      <c r="H267" s="25" t="s">
        <v>1296</v>
      </c>
    </row>
    <row r="268" spans="1:8" ht="18" hidden="1" customHeight="1" outlineLevel="2" x14ac:dyDescent="0.2">
      <c r="A268" s="18"/>
      <c r="B268" s="19" t="s">
        <v>223</v>
      </c>
      <c r="C268" s="19" t="s">
        <v>1299</v>
      </c>
      <c r="D268" s="19" t="s">
        <v>1286</v>
      </c>
      <c r="E268" s="36" t="s">
        <v>1300</v>
      </c>
      <c r="F268" s="19" t="s">
        <v>1298</v>
      </c>
      <c r="G268" s="23" t="s">
        <v>1280</v>
      </c>
      <c r="H268" s="25" t="s">
        <v>1286</v>
      </c>
    </row>
    <row r="269" spans="1:8" ht="18" hidden="1" customHeight="1" outlineLevel="2" x14ac:dyDescent="0.2">
      <c r="A269" s="18"/>
      <c r="B269" s="19" t="s">
        <v>223</v>
      </c>
      <c r="C269" s="19" t="s">
        <v>1299</v>
      </c>
      <c r="D269" s="19"/>
      <c r="E269" s="36" t="s">
        <v>1301</v>
      </c>
      <c r="F269" s="19" t="s">
        <v>1302</v>
      </c>
      <c r="G269" s="23" t="s">
        <v>1280</v>
      </c>
    </row>
    <row r="270" spans="1:8" ht="18" hidden="1" customHeight="1" outlineLevel="2" x14ac:dyDescent="0.2">
      <c r="A270" s="18"/>
      <c r="B270" s="19" t="s">
        <v>3248</v>
      </c>
      <c r="C270" s="19" t="s">
        <v>1303</v>
      </c>
      <c r="D270" s="19" t="s">
        <v>1304</v>
      </c>
      <c r="E270" s="36" t="s">
        <v>1305</v>
      </c>
      <c r="F270" s="19" t="s">
        <v>1298</v>
      </c>
      <c r="G270" s="23" t="s">
        <v>1280</v>
      </c>
      <c r="H270" s="25" t="s">
        <v>1304</v>
      </c>
    </row>
    <row r="271" spans="1:8" ht="18" hidden="1" customHeight="1" outlineLevel="2" x14ac:dyDescent="0.2">
      <c r="A271" s="18"/>
      <c r="B271" s="19"/>
      <c r="C271" s="19"/>
      <c r="D271" s="19"/>
      <c r="E271" s="36"/>
      <c r="F271" s="19"/>
      <c r="G271" s="23"/>
    </row>
    <row r="272" spans="1:8" ht="18" hidden="1" customHeight="1" outlineLevel="1" x14ac:dyDescent="0.2">
      <c r="A272" s="119" t="s">
        <v>46</v>
      </c>
      <c r="B272" s="120"/>
      <c r="C272" s="120"/>
      <c r="D272" s="120"/>
      <c r="E272" s="120"/>
      <c r="F272" s="120"/>
      <c r="G272" s="120"/>
      <c r="H272" s="120"/>
    </row>
    <row r="273" spans="1:8" ht="18" hidden="1" customHeight="1" outlineLevel="2" x14ac:dyDescent="0.2">
      <c r="A273" s="18"/>
      <c r="B273" s="19" t="s">
        <v>3128</v>
      </c>
      <c r="C273" s="19" t="s">
        <v>700</v>
      </c>
      <c r="D273" s="19" t="s">
        <v>701</v>
      </c>
      <c r="E273" s="36"/>
      <c r="F273" s="19"/>
      <c r="G273" s="23"/>
    </row>
    <row r="274" spans="1:8" ht="18" hidden="1" customHeight="1" outlineLevel="2" x14ac:dyDescent="0.2">
      <c r="A274" s="18"/>
      <c r="B274" s="19" t="s">
        <v>3129</v>
      </c>
      <c r="C274" s="19" t="s">
        <v>700</v>
      </c>
      <c r="D274" s="19" t="s">
        <v>702</v>
      </c>
      <c r="E274" s="36" t="s">
        <v>703</v>
      </c>
      <c r="F274" s="19" t="s">
        <v>204</v>
      </c>
      <c r="G274" s="23" t="s">
        <v>704</v>
      </c>
      <c r="H274" s="25" t="s">
        <v>674</v>
      </c>
    </row>
    <row r="275" spans="1:8" ht="18" hidden="1" customHeight="1" outlineLevel="2" x14ac:dyDescent="0.2">
      <c r="A275" s="18"/>
      <c r="B275" s="19" t="s">
        <v>3130</v>
      </c>
      <c r="C275" s="19" t="s">
        <v>705</v>
      </c>
      <c r="D275" s="19" t="s">
        <v>706</v>
      </c>
      <c r="E275" s="36"/>
      <c r="F275" s="19"/>
      <c r="G275" s="23" t="s">
        <v>707</v>
      </c>
    </row>
    <row r="276" spans="1:8" ht="18" hidden="1" customHeight="1" outlineLevel="2" x14ac:dyDescent="0.2">
      <c r="A276" s="18"/>
      <c r="B276" s="19" t="s">
        <v>3131</v>
      </c>
      <c r="C276" s="19" t="s">
        <v>705</v>
      </c>
      <c r="D276" s="19" t="s">
        <v>708</v>
      </c>
      <c r="E276" s="36"/>
      <c r="F276" s="19"/>
      <c r="G276" s="23" t="s">
        <v>707</v>
      </c>
    </row>
    <row r="277" spans="1:8" ht="18" hidden="1" customHeight="1" outlineLevel="2" x14ac:dyDescent="0.2">
      <c r="A277" s="18"/>
      <c r="B277" s="19" t="s">
        <v>351</v>
      </c>
      <c r="C277" s="32" t="s">
        <v>709</v>
      </c>
      <c r="D277" s="19" t="s">
        <v>710</v>
      </c>
      <c r="E277" s="36">
        <v>83100</v>
      </c>
      <c r="F277" s="19" t="s">
        <v>204</v>
      </c>
      <c r="G277" s="23" t="s">
        <v>3698</v>
      </c>
      <c r="H277" s="25" t="s">
        <v>3075</v>
      </c>
    </row>
    <row r="278" spans="1:8" ht="18" hidden="1" customHeight="1" outlineLevel="2" x14ac:dyDescent="0.2">
      <c r="A278" s="18"/>
      <c r="B278" s="19" t="s">
        <v>223</v>
      </c>
      <c r="C278" s="19" t="s">
        <v>3699</v>
      </c>
      <c r="D278" s="19" t="s">
        <v>3700</v>
      </c>
      <c r="E278" s="36" t="s">
        <v>712</v>
      </c>
      <c r="F278" s="19" t="s">
        <v>202</v>
      </c>
      <c r="G278" s="23"/>
      <c r="H278" s="25" t="s">
        <v>674</v>
      </c>
    </row>
    <row r="279" spans="1:8" ht="18" hidden="1" customHeight="1" outlineLevel="2" x14ac:dyDescent="0.2">
      <c r="A279" s="18"/>
      <c r="B279" s="19" t="s">
        <v>3132</v>
      </c>
      <c r="C279" s="19" t="s">
        <v>713</v>
      </c>
      <c r="D279" s="19" t="s">
        <v>714</v>
      </c>
      <c r="E279" s="36"/>
      <c r="F279" s="19"/>
      <c r="G279" s="23"/>
    </row>
    <row r="280" spans="1:8" ht="18" hidden="1" customHeight="1" outlineLevel="2" x14ac:dyDescent="0.2">
      <c r="A280" s="18"/>
      <c r="B280" s="19" t="s">
        <v>3133</v>
      </c>
      <c r="C280" s="19" t="s">
        <v>715</v>
      </c>
      <c r="D280" s="19" t="s">
        <v>716</v>
      </c>
      <c r="E280" s="36" t="s">
        <v>717</v>
      </c>
      <c r="F280" s="19" t="s">
        <v>204</v>
      </c>
      <c r="G280" s="23"/>
    </row>
    <row r="281" spans="1:8" ht="18" hidden="1" customHeight="1" outlineLevel="2" x14ac:dyDescent="0.2">
      <c r="A281" s="18"/>
      <c r="B281" s="19" t="s">
        <v>3134</v>
      </c>
      <c r="C281" s="19" t="s">
        <v>715</v>
      </c>
      <c r="D281" s="19"/>
      <c r="E281" s="36"/>
      <c r="F281" s="19"/>
      <c r="G281" s="23"/>
    </row>
    <row r="282" spans="1:8" ht="18" hidden="1" customHeight="1" outlineLevel="2" x14ac:dyDescent="0.2">
      <c r="A282" s="18"/>
      <c r="B282" s="19" t="s">
        <v>223</v>
      </c>
      <c r="C282" s="19" t="s">
        <v>718</v>
      </c>
      <c r="D282" s="19" t="s">
        <v>719</v>
      </c>
      <c r="E282" s="36" t="s">
        <v>720</v>
      </c>
      <c r="F282" s="19" t="s">
        <v>202</v>
      </c>
      <c r="G282" s="23"/>
      <c r="H282" s="25" t="s">
        <v>3076</v>
      </c>
    </row>
    <row r="283" spans="1:8" ht="18" hidden="1" customHeight="1" outlineLevel="2" x14ac:dyDescent="0.2">
      <c r="A283" s="18"/>
      <c r="B283" s="19" t="s">
        <v>223</v>
      </c>
      <c r="C283" s="19" t="s">
        <v>721</v>
      </c>
      <c r="D283" s="19" t="s">
        <v>722</v>
      </c>
      <c r="E283" s="36" t="s">
        <v>723</v>
      </c>
      <c r="F283" s="19" t="s">
        <v>202</v>
      </c>
      <c r="G283" s="23"/>
      <c r="H283" s="25" t="s">
        <v>3076</v>
      </c>
    </row>
    <row r="284" spans="1:8" ht="18" hidden="1" customHeight="1" outlineLevel="2" x14ac:dyDescent="0.2">
      <c r="A284" s="18"/>
      <c r="B284" s="19" t="s">
        <v>223</v>
      </c>
      <c r="C284" s="19" t="s">
        <v>724</v>
      </c>
      <c r="D284" s="19" t="s">
        <v>725</v>
      </c>
      <c r="E284" s="36" t="s">
        <v>726</v>
      </c>
      <c r="F284" s="19" t="s">
        <v>202</v>
      </c>
      <c r="G284" s="23" t="s">
        <v>727</v>
      </c>
      <c r="H284" s="25" t="s">
        <v>3076</v>
      </c>
    </row>
    <row r="285" spans="1:8" ht="18" hidden="1" customHeight="1" outlineLevel="2" x14ac:dyDescent="0.2">
      <c r="A285" s="18"/>
      <c r="B285" s="19" t="s">
        <v>351</v>
      </c>
      <c r="C285" s="19" t="s">
        <v>728</v>
      </c>
      <c r="D285" s="19" t="s">
        <v>729</v>
      </c>
      <c r="E285" s="36" t="s">
        <v>730</v>
      </c>
      <c r="F285" s="19" t="s">
        <v>204</v>
      </c>
      <c r="G285" s="23"/>
      <c r="H285" s="25" t="s">
        <v>674</v>
      </c>
    </row>
    <row r="286" spans="1:8" ht="18" hidden="1" customHeight="1" outlineLevel="2" x14ac:dyDescent="0.2">
      <c r="A286" s="18"/>
      <c r="B286" s="19" t="s">
        <v>351</v>
      </c>
      <c r="C286" s="19" t="s">
        <v>731</v>
      </c>
      <c r="D286" s="19" t="s">
        <v>732</v>
      </c>
      <c r="E286" s="36" t="s">
        <v>733</v>
      </c>
      <c r="F286" s="19" t="s">
        <v>204</v>
      </c>
      <c r="G286" s="23"/>
      <c r="H286" s="25" t="s">
        <v>674</v>
      </c>
    </row>
    <row r="287" spans="1:8" ht="18" hidden="1" customHeight="1" outlineLevel="2" x14ac:dyDescent="0.2">
      <c r="A287" s="18"/>
      <c r="B287" s="19" t="s">
        <v>351</v>
      </c>
      <c r="C287" s="19" t="s">
        <v>734</v>
      </c>
      <c r="D287" s="19"/>
      <c r="E287" s="36" t="s">
        <v>735</v>
      </c>
      <c r="F287" s="19" t="s">
        <v>204</v>
      </c>
      <c r="G287" s="23"/>
      <c r="H287" s="25" t="s">
        <v>1866</v>
      </c>
    </row>
    <row r="288" spans="1:8" ht="18" hidden="1" customHeight="1" outlineLevel="2" x14ac:dyDescent="0.2">
      <c r="A288" s="18"/>
      <c r="B288" s="19" t="s">
        <v>351</v>
      </c>
      <c r="C288" s="19" t="s">
        <v>736</v>
      </c>
      <c r="D288" s="19" t="s">
        <v>737</v>
      </c>
      <c r="E288" s="36" t="s">
        <v>738</v>
      </c>
      <c r="F288" s="19" t="s">
        <v>204</v>
      </c>
      <c r="G288" s="23"/>
    </row>
    <row r="289" spans="1:10" ht="18" hidden="1" customHeight="1" outlineLevel="2" x14ac:dyDescent="0.2">
      <c r="A289" s="18"/>
      <c r="B289" s="19"/>
      <c r="C289" s="19"/>
      <c r="D289" s="19"/>
      <c r="E289" s="36"/>
      <c r="F289" s="19"/>
      <c r="G289" s="23"/>
    </row>
    <row r="290" spans="1:10" ht="18" customHeight="1" collapsed="1" x14ac:dyDescent="0.2">
      <c r="A290" s="137" t="s">
        <v>3850</v>
      </c>
      <c r="B290" s="138" t="s">
        <v>3135</v>
      </c>
      <c r="C290" s="138"/>
      <c r="D290" s="138"/>
      <c r="E290" s="138"/>
      <c r="F290" s="138"/>
      <c r="G290" s="138"/>
      <c r="H290" s="138"/>
    </row>
    <row r="291" spans="1:10" ht="18" hidden="1" customHeight="1" outlineLevel="1" x14ac:dyDescent="0.2">
      <c r="A291" s="119" t="s">
        <v>3709</v>
      </c>
      <c r="B291" s="120"/>
      <c r="C291" s="120"/>
      <c r="D291" s="120"/>
      <c r="E291" s="120"/>
      <c r="F291" s="120"/>
      <c r="G291" s="120"/>
      <c r="H291" s="120"/>
    </row>
    <row r="292" spans="1:10" ht="18" hidden="1" customHeight="1" outlineLevel="2" x14ac:dyDescent="0.2">
      <c r="A292" s="18"/>
      <c r="B292" s="19" t="s">
        <v>3146</v>
      </c>
      <c r="C292" s="32" t="s">
        <v>762</v>
      </c>
      <c r="D292" s="19" t="s">
        <v>763</v>
      </c>
      <c r="E292" s="36" t="s">
        <v>764</v>
      </c>
      <c r="F292" s="19" t="s">
        <v>765</v>
      </c>
      <c r="G292" s="23" t="s">
        <v>766</v>
      </c>
    </row>
    <row r="293" spans="1:10" ht="18" hidden="1" customHeight="1" outlineLevel="2" x14ac:dyDescent="0.2">
      <c r="A293" s="18"/>
      <c r="B293" s="19" t="s">
        <v>223</v>
      </c>
      <c r="C293" s="18" t="s">
        <v>859</v>
      </c>
      <c r="D293" s="19" t="s">
        <v>860</v>
      </c>
      <c r="E293" s="36" t="s">
        <v>861</v>
      </c>
      <c r="F293" s="19" t="s">
        <v>742</v>
      </c>
      <c r="G293" s="18" t="s">
        <v>485</v>
      </c>
      <c r="H293" s="25" t="s">
        <v>211</v>
      </c>
    </row>
    <row r="294" spans="1:10" ht="18" hidden="1" customHeight="1" outlineLevel="2" x14ac:dyDescent="0.2">
      <c r="A294" s="18"/>
      <c r="B294" s="19" t="s">
        <v>223</v>
      </c>
      <c r="C294" s="18" t="s">
        <v>862</v>
      </c>
      <c r="D294" s="19" t="s">
        <v>860</v>
      </c>
      <c r="E294" s="36" t="s">
        <v>863</v>
      </c>
      <c r="F294" s="19" t="s">
        <v>742</v>
      </c>
      <c r="G294" s="18" t="s">
        <v>864</v>
      </c>
      <c r="H294" s="25" t="s">
        <v>211</v>
      </c>
    </row>
    <row r="295" spans="1:10" ht="18" hidden="1" customHeight="1" outlineLevel="2" x14ac:dyDescent="0.2">
      <c r="A295" s="18"/>
      <c r="B295" s="19" t="s">
        <v>223</v>
      </c>
      <c r="C295" s="18" t="s">
        <v>865</v>
      </c>
      <c r="D295" s="19" t="s">
        <v>866</v>
      </c>
      <c r="E295" s="36" t="s">
        <v>867</v>
      </c>
      <c r="F295" s="19" t="s">
        <v>742</v>
      </c>
      <c r="G295" s="18"/>
      <c r="H295" s="25" t="s">
        <v>350</v>
      </c>
    </row>
    <row r="296" spans="1:10" ht="18" hidden="1" customHeight="1" outlineLevel="2" x14ac:dyDescent="0.2">
      <c r="A296" s="25"/>
      <c r="B296" s="25"/>
      <c r="C296" s="65" t="s">
        <v>3851</v>
      </c>
      <c r="D296" s="25" t="s">
        <v>2129</v>
      </c>
      <c r="E296" s="25" t="s">
        <v>2130</v>
      </c>
      <c r="F296" s="25" t="s">
        <v>773</v>
      </c>
      <c r="G296" s="25"/>
    </row>
    <row r="297" spans="1:10" ht="18" hidden="1" customHeight="1" outlineLevel="2" x14ac:dyDescent="0.2">
      <c r="A297" s="18"/>
      <c r="B297" s="19"/>
      <c r="C297" s="19"/>
      <c r="D297" s="19"/>
      <c r="E297" s="36"/>
      <c r="F297" s="19"/>
      <c r="G297" s="23"/>
    </row>
    <row r="298" spans="1:10" ht="18" hidden="1" customHeight="1" outlineLevel="1" x14ac:dyDescent="0.2">
      <c r="A298" s="119" t="s">
        <v>3704</v>
      </c>
      <c r="B298" s="120"/>
      <c r="C298" s="120"/>
      <c r="D298" s="120"/>
      <c r="E298" s="120"/>
      <c r="F298" s="120"/>
      <c r="G298" s="120"/>
      <c r="H298" s="120"/>
    </row>
    <row r="299" spans="1:10" ht="18" hidden="1" customHeight="1" outlineLevel="2" x14ac:dyDescent="0.2">
      <c r="A299" s="18"/>
      <c r="B299" s="19" t="s">
        <v>3143</v>
      </c>
      <c r="C299" s="32" t="s">
        <v>739</v>
      </c>
      <c r="D299" s="19" t="s">
        <v>756</v>
      </c>
      <c r="E299" s="36" t="s">
        <v>757</v>
      </c>
      <c r="F299" s="19" t="s">
        <v>742</v>
      </c>
      <c r="G299" s="23" t="s">
        <v>743</v>
      </c>
      <c r="H299" s="25" t="s">
        <v>3077</v>
      </c>
    </row>
    <row r="300" spans="1:10" ht="18" hidden="1" customHeight="1" outlineLevel="2" x14ac:dyDescent="0.2">
      <c r="A300" s="18"/>
      <c r="B300" s="19" t="s">
        <v>3147</v>
      </c>
      <c r="C300" s="32" t="s">
        <v>767</v>
      </c>
      <c r="D300" s="19" t="s">
        <v>768</v>
      </c>
      <c r="E300" s="36" t="s">
        <v>769</v>
      </c>
      <c r="F300" s="19" t="s">
        <v>742</v>
      </c>
      <c r="G300" s="23" t="s">
        <v>3706</v>
      </c>
      <c r="H300" s="25" t="s">
        <v>674</v>
      </c>
      <c r="J300" s="9" t="s">
        <v>3038</v>
      </c>
    </row>
    <row r="301" spans="1:10" ht="18" hidden="1" customHeight="1" outlineLevel="2" x14ac:dyDescent="0.2">
      <c r="A301" s="18"/>
      <c r="B301" s="19" t="s">
        <v>3148</v>
      </c>
      <c r="C301" s="32" t="s">
        <v>771</v>
      </c>
      <c r="D301" s="19" t="s">
        <v>768</v>
      </c>
      <c r="E301" s="36" t="s">
        <v>772</v>
      </c>
      <c r="F301" s="19" t="s">
        <v>773</v>
      </c>
      <c r="G301" s="23"/>
      <c r="H301" s="25" t="s">
        <v>376</v>
      </c>
    </row>
    <row r="302" spans="1:10" ht="18" hidden="1" customHeight="1" outlineLevel="2" x14ac:dyDescent="0.2">
      <c r="A302" s="18"/>
      <c r="B302" s="19" t="s">
        <v>223</v>
      </c>
      <c r="C302" s="19" t="s">
        <v>774</v>
      </c>
      <c r="D302" s="19" t="s">
        <v>775</v>
      </c>
      <c r="E302" s="36">
        <v>1684</v>
      </c>
      <c r="F302" s="19" t="s">
        <v>742</v>
      </c>
      <c r="G302" s="23" t="s">
        <v>3702</v>
      </c>
    </row>
    <row r="303" spans="1:10" ht="18" hidden="1" customHeight="1" outlineLevel="2" x14ac:dyDescent="0.2">
      <c r="A303" s="18"/>
      <c r="B303" s="19" t="s">
        <v>3149</v>
      </c>
      <c r="C303" s="32" t="s">
        <v>776</v>
      </c>
      <c r="D303" s="19" t="s">
        <v>777</v>
      </c>
      <c r="E303" s="36" t="s">
        <v>778</v>
      </c>
      <c r="F303" s="19" t="s">
        <v>742</v>
      </c>
      <c r="G303" s="23" t="s">
        <v>770</v>
      </c>
      <c r="H303" s="25" t="s">
        <v>376</v>
      </c>
    </row>
    <row r="304" spans="1:10" ht="18" hidden="1" customHeight="1" outlineLevel="2" x14ac:dyDescent="0.2">
      <c r="A304" s="18"/>
      <c r="B304" s="19" t="s">
        <v>3150</v>
      </c>
      <c r="C304" s="32" t="s">
        <v>779</v>
      </c>
      <c r="D304" s="19" t="s">
        <v>777</v>
      </c>
      <c r="E304" s="36" t="s">
        <v>780</v>
      </c>
      <c r="F304" s="19" t="s">
        <v>742</v>
      </c>
      <c r="G304" s="23" t="s">
        <v>770</v>
      </c>
      <c r="H304" s="25" t="s">
        <v>376</v>
      </c>
    </row>
    <row r="305" spans="1:8" ht="18" hidden="1" customHeight="1" outlineLevel="2" x14ac:dyDescent="0.2">
      <c r="A305" s="18"/>
      <c r="B305" s="19" t="s">
        <v>3151</v>
      </c>
      <c r="C305" s="32" t="s">
        <v>781</v>
      </c>
      <c r="D305" s="19" t="s">
        <v>782</v>
      </c>
      <c r="E305" s="36" t="s">
        <v>783</v>
      </c>
      <c r="F305" s="19" t="s">
        <v>742</v>
      </c>
      <c r="G305" s="23" t="s">
        <v>770</v>
      </c>
      <c r="H305" s="25" t="s">
        <v>376</v>
      </c>
    </row>
    <row r="306" spans="1:8" ht="18" hidden="1" customHeight="1" outlineLevel="2" x14ac:dyDescent="0.2">
      <c r="A306" s="18"/>
      <c r="B306" s="19" t="s">
        <v>3152</v>
      </c>
      <c r="C306" s="32" t="s">
        <v>784</v>
      </c>
      <c r="D306" s="19" t="s">
        <v>777</v>
      </c>
      <c r="E306" s="36" t="s">
        <v>785</v>
      </c>
      <c r="F306" s="19" t="s">
        <v>742</v>
      </c>
      <c r="G306" s="23" t="s">
        <v>770</v>
      </c>
      <c r="H306" s="25" t="s">
        <v>376</v>
      </c>
    </row>
    <row r="307" spans="1:8" ht="18" hidden="1" customHeight="1" outlineLevel="2" x14ac:dyDescent="0.2">
      <c r="A307" s="18"/>
      <c r="B307" s="19" t="s">
        <v>3153</v>
      </c>
      <c r="C307" s="32" t="s">
        <v>784</v>
      </c>
      <c r="D307" s="19" t="s">
        <v>782</v>
      </c>
      <c r="E307" s="36" t="s">
        <v>786</v>
      </c>
      <c r="F307" s="19" t="s">
        <v>742</v>
      </c>
      <c r="G307" s="23" t="s">
        <v>770</v>
      </c>
      <c r="H307" s="25" t="s">
        <v>376</v>
      </c>
    </row>
    <row r="308" spans="1:8" ht="18" hidden="1" customHeight="1" outlineLevel="2" x14ac:dyDescent="0.2">
      <c r="A308" s="18"/>
      <c r="B308" s="19" t="s">
        <v>3154</v>
      </c>
      <c r="C308" s="32" t="s">
        <v>787</v>
      </c>
      <c r="D308" s="19"/>
      <c r="E308" s="36" t="s">
        <v>788</v>
      </c>
      <c r="F308" s="19" t="s">
        <v>742</v>
      </c>
      <c r="G308" s="23" t="s">
        <v>770</v>
      </c>
      <c r="H308" s="25" t="s">
        <v>674</v>
      </c>
    </row>
    <row r="309" spans="1:8" ht="18" hidden="1" customHeight="1" outlineLevel="2" x14ac:dyDescent="0.2">
      <c r="A309" s="18"/>
      <c r="B309" s="19" t="s">
        <v>223</v>
      </c>
      <c r="C309" s="19" t="s">
        <v>789</v>
      </c>
      <c r="D309" s="19" t="s">
        <v>790</v>
      </c>
      <c r="E309" s="36" t="s">
        <v>791</v>
      </c>
      <c r="F309" s="19" t="s">
        <v>742</v>
      </c>
      <c r="G309" s="23" t="s">
        <v>770</v>
      </c>
    </row>
    <row r="310" spans="1:8" ht="18" hidden="1" customHeight="1" outlineLevel="2" x14ac:dyDescent="0.2">
      <c r="A310" s="18"/>
      <c r="B310" s="19" t="s">
        <v>223</v>
      </c>
      <c r="C310" s="19" t="s">
        <v>789</v>
      </c>
      <c r="D310" s="19" t="s">
        <v>792</v>
      </c>
      <c r="E310" s="36" t="s">
        <v>793</v>
      </c>
      <c r="F310" s="19" t="s">
        <v>742</v>
      </c>
      <c r="G310" s="23" t="s">
        <v>770</v>
      </c>
    </row>
    <row r="311" spans="1:8" ht="18" hidden="1" customHeight="1" outlineLevel="2" x14ac:dyDescent="0.2">
      <c r="A311" s="18"/>
      <c r="B311" s="19" t="s">
        <v>3155</v>
      </c>
      <c r="C311" s="32" t="s">
        <v>789</v>
      </c>
      <c r="D311" s="19" t="s">
        <v>794</v>
      </c>
      <c r="E311" s="36" t="s">
        <v>795</v>
      </c>
      <c r="F311" s="19" t="s">
        <v>742</v>
      </c>
      <c r="G311" s="23" t="s">
        <v>770</v>
      </c>
    </row>
    <row r="312" spans="1:8" ht="18" hidden="1" customHeight="1" outlineLevel="2" x14ac:dyDescent="0.2">
      <c r="A312" s="18"/>
      <c r="B312" s="19" t="s">
        <v>3156</v>
      </c>
      <c r="C312" s="19" t="s">
        <v>796</v>
      </c>
      <c r="D312" s="19" t="s">
        <v>797</v>
      </c>
      <c r="E312" s="36" t="s">
        <v>798</v>
      </c>
      <c r="F312" s="19" t="s">
        <v>742</v>
      </c>
      <c r="G312" s="23" t="s">
        <v>770</v>
      </c>
    </row>
    <row r="313" spans="1:8" ht="18" hidden="1" customHeight="1" outlineLevel="2" x14ac:dyDescent="0.2">
      <c r="A313" s="18"/>
      <c r="B313" s="19" t="s">
        <v>3157</v>
      </c>
      <c r="C313" s="32" t="s">
        <v>799</v>
      </c>
      <c r="D313" s="19" t="s">
        <v>768</v>
      </c>
      <c r="E313" s="36" t="s">
        <v>800</v>
      </c>
      <c r="F313" s="19" t="s">
        <v>742</v>
      </c>
      <c r="G313" s="23" t="s">
        <v>770</v>
      </c>
    </row>
    <row r="314" spans="1:8" ht="18" hidden="1" customHeight="1" outlineLevel="2" x14ac:dyDescent="0.2">
      <c r="A314" s="18"/>
      <c r="B314" s="19" t="s">
        <v>3158</v>
      </c>
      <c r="C314" s="32" t="s">
        <v>801</v>
      </c>
      <c r="D314" s="19" t="s">
        <v>802</v>
      </c>
      <c r="E314" s="36" t="s">
        <v>803</v>
      </c>
      <c r="F314" s="19" t="s">
        <v>742</v>
      </c>
      <c r="G314" s="23" t="s">
        <v>770</v>
      </c>
    </row>
    <row r="315" spans="1:8" ht="18" hidden="1" customHeight="1" outlineLevel="2" x14ac:dyDescent="0.2">
      <c r="A315" s="18"/>
      <c r="B315" s="19" t="s">
        <v>3159</v>
      </c>
      <c r="C315" s="32" t="s">
        <v>804</v>
      </c>
      <c r="D315" s="19" t="s">
        <v>777</v>
      </c>
      <c r="E315" s="36" t="s">
        <v>805</v>
      </c>
      <c r="F315" s="19" t="s">
        <v>742</v>
      </c>
      <c r="G315" s="23" t="s">
        <v>770</v>
      </c>
    </row>
    <row r="316" spans="1:8" ht="18" hidden="1" customHeight="1" outlineLevel="2" x14ac:dyDescent="0.2">
      <c r="A316" s="18"/>
      <c r="B316" s="19" t="s">
        <v>3160</v>
      </c>
      <c r="C316" s="32" t="s">
        <v>806</v>
      </c>
      <c r="D316" s="19" t="s">
        <v>807</v>
      </c>
      <c r="E316" s="36" t="s">
        <v>808</v>
      </c>
      <c r="F316" s="19" t="s">
        <v>742</v>
      </c>
      <c r="G316" s="23" t="s">
        <v>770</v>
      </c>
    </row>
    <row r="317" spans="1:8" ht="18" hidden="1" customHeight="1" outlineLevel="2" x14ac:dyDescent="0.2">
      <c r="A317" s="18"/>
      <c r="B317" s="19" t="s">
        <v>3161</v>
      </c>
      <c r="C317" s="32" t="s">
        <v>809</v>
      </c>
      <c r="D317" s="19" t="s">
        <v>810</v>
      </c>
      <c r="E317" s="36" t="s">
        <v>811</v>
      </c>
      <c r="F317" s="19" t="s">
        <v>742</v>
      </c>
      <c r="G317" s="23" t="s">
        <v>770</v>
      </c>
    </row>
    <row r="318" spans="1:8" ht="18" hidden="1" customHeight="1" outlineLevel="2" x14ac:dyDescent="0.2">
      <c r="A318" s="18"/>
      <c r="B318" s="19" t="s">
        <v>223</v>
      </c>
      <c r="C318" s="19" t="s">
        <v>812</v>
      </c>
      <c r="D318" s="19" t="s">
        <v>802</v>
      </c>
      <c r="E318" s="36">
        <v>56115</v>
      </c>
      <c r="F318" s="19" t="s">
        <v>742</v>
      </c>
      <c r="G318" s="23" t="s">
        <v>770</v>
      </c>
    </row>
    <row r="319" spans="1:8" ht="18" hidden="1" customHeight="1" outlineLevel="2" x14ac:dyDescent="0.2">
      <c r="A319" s="18"/>
      <c r="B319" s="19" t="s">
        <v>3162</v>
      </c>
      <c r="C319" s="32" t="s">
        <v>813</v>
      </c>
      <c r="D319" s="19" t="s">
        <v>814</v>
      </c>
      <c r="E319" s="36">
        <v>10236</v>
      </c>
      <c r="F319" s="19" t="s">
        <v>742</v>
      </c>
      <c r="G319" s="23"/>
    </row>
    <row r="320" spans="1:8" ht="18" hidden="1" customHeight="1" outlineLevel="2" x14ac:dyDescent="0.2">
      <c r="A320" s="18"/>
      <c r="B320" s="19"/>
      <c r="C320" s="19"/>
      <c r="D320" s="19"/>
      <c r="E320" s="36"/>
      <c r="F320" s="19"/>
      <c r="G320" s="23"/>
    </row>
    <row r="321" spans="1:10" ht="18" hidden="1" customHeight="1" outlineLevel="1" x14ac:dyDescent="0.2">
      <c r="A321" s="119" t="s">
        <v>3703</v>
      </c>
      <c r="B321" s="120"/>
      <c r="C321" s="120"/>
      <c r="D321" s="120"/>
      <c r="E321" s="120"/>
      <c r="F321" s="120"/>
      <c r="G321" s="120"/>
      <c r="H321" s="120"/>
    </row>
    <row r="322" spans="1:10" ht="18" hidden="1" customHeight="1" outlineLevel="2" x14ac:dyDescent="0.2">
      <c r="A322" s="18"/>
      <c r="B322" s="19" t="s">
        <v>3144</v>
      </c>
      <c r="C322" s="32" t="s">
        <v>758</v>
      </c>
      <c r="D322" s="19" t="s">
        <v>756</v>
      </c>
      <c r="E322" s="36" t="s">
        <v>759</v>
      </c>
      <c r="F322" s="19" t="s">
        <v>742</v>
      </c>
      <c r="G322" s="23" t="s">
        <v>743</v>
      </c>
      <c r="H322" s="25" t="s">
        <v>743</v>
      </c>
    </row>
    <row r="323" spans="1:10" ht="18" hidden="1" customHeight="1" outlineLevel="2" x14ac:dyDescent="0.2">
      <c r="A323" s="18"/>
      <c r="B323" s="19" t="s">
        <v>3163</v>
      </c>
      <c r="C323" s="32" t="s">
        <v>767</v>
      </c>
      <c r="D323" s="19" t="s">
        <v>768</v>
      </c>
      <c r="E323" s="36" t="s">
        <v>815</v>
      </c>
      <c r="F323" s="19" t="s">
        <v>742</v>
      </c>
      <c r="G323" s="23" t="s">
        <v>3705</v>
      </c>
      <c r="J323" s="9" t="s">
        <v>3038</v>
      </c>
    </row>
    <row r="324" spans="1:10" ht="18" hidden="1" customHeight="1" outlineLevel="2" x14ac:dyDescent="0.2">
      <c r="A324" s="18"/>
      <c r="B324" s="19" t="s">
        <v>3164</v>
      </c>
      <c r="C324" s="32" t="s">
        <v>817</v>
      </c>
      <c r="D324" s="19" t="s">
        <v>777</v>
      </c>
      <c r="E324" s="36" t="s">
        <v>818</v>
      </c>
      <c r="F324" s="19" t="s">
        <v>742</v>
      </c>
      <c r="G324" s="23" t="s">
        <v>816</v>
      </c>
    </row>
    <row r="325" spans="1:10" ht="18" hidden="1" customHeight="1" outlineLevel="2" x14ac:dyDescent="0.2">
      <c r="A325" s="18"/>
      <c r="B325" s="19" t="s">
        <v>3165</v>
      </c>
      <c r="C325" s="32" t="s">
        <v>779</v>
      </c>
      <c r="D325" s="19" t="s">
        <v>777</v>
      </c>
      <c r="E325" s="36" t="s">
        <v>819</v>
      </c>
      <c r="F325" s="19" t="s">
        <v>742</v>
      </c>
      <c r="G325" s="23" t="s">
        <v>816</v>
      </c>
    </row>
    <row r="326" spans="1:10" ht="18" hidden="1" customHeight="1" outlineLevel="2" x14ac:dyDescent="0.2">
      <c r="A326" s="18"/>
      <c r="B326" s="19" t="s">
        <v>3166</v>
      </c>
      <c r="C326" s="32" t="s">
        <v>781</v>
      </c>
      <c r="D326" s="19" t="s">
        <v>782</v>
      </c>
      <c r="E326" s="36" t="s">
        <v>820</v>
      </c>
      <c r="F326" s="19" t="s">
        <v>742</v>
      </c>
      <c r="G326" s="23" t="s">
        <v>816</v>
      </c>
    </row>
    <row r="327" spans="1:10" ht="18" hidden="1" customHeight="1" outlineLevel="2" x14ac:dyDescent="0.2">
      <c r="A327" s="18"/>
      <c r="B327" s="19" t="s">
        <v>3167</v>
      </c>
      <c r="C327" s="32" t="s">
        <v>784</v>
      </c>
      <c r="D327" s="19" t="s">
        <v>777</v>
      </c>
      <c r="E327" s="36" t="s">
        <v>821</v>
      </c>
      <c r="F327" s="19" t="s">
        <v>742</v>
      </c>
      <c r="G327" s="23" t="s">
        <v>816</v>
      </c>
    </row>
    <row r="328" spans="1:10" ht="18" hidden="1" customHeight="1" outlineLevel="2" x14ac:dyDescent="0.2">
      <c r="A328" s="18"/>
      <c r="B328" s="19" t="s">
        <v>3168</v>
      </c>
      <c r="C328" s="32" t="s">
        <v>784</v>
      </c>
      <c r="D328" s="19" t="s">
        <v>782</v>
      </c>
      <c r="E328" s="36" t="s">
        <v>822</v>
      </c>
      <c r="F328" s="19" t="s">
        <v>742</v>
      </c>
      <c r="G328" s="23" t="s">
        <v>816</v>
      </c>
    </row>
    <row r="329" spans="1:10" ht="18" hidden="1" customHeight="1" outlineLevel="2" x14ac:dyDescent="0.2">
      <c r="A329" s="18"/>
      <c r="B329" s="19" t="s">
        <v>3169</v>
      </c>
      <c r="C329" s="32" t="s">
        <v>799</v>
      </c>
      <c r="D329" s="19" t="s">
        <v>768</v>
      </c>
      <c r="E329" s="36" t="s">
        <v>823</v>
      </c>
      <c r="F329" s="19" t="s">
        <v>742</v>
      </c>
      <c r="G329" s="23" t="s">
        <v>816</v>
      </c>
    </row>
    <row r="330" spans="1:10" ht="18" hidden="1" customHeight="1" outlineLevel="2" x14ac:dyDescent="0.2">
      <c r="A330" s="18"/>
      <c r="B330" s="19" t="s">
        <v>3170</v>
      </c>
      <c r="C330" s="32" t="s">
        <v>801</v>
      </c>
      <c r="D330" s="19" t="s">
        <v>802</v>
      </c>
      <c r="E330" s="36" t="s">
        <v>824</v>
      </c>
      <c r="F330" s="19" t="s">
        <v>742</v>
      </c>
      <c r="G330" s="23" t="s">
        <v>816</v>
      </c>
    </row>
    <row r="331" spans="1:10" ht="18" hidden="1" customHeight="1" outlineLevel="2" x14ac:dyDescent="0.2">
      <c r="A331" s="18"/>
      <c r="B331" s="19" t="s">
        <v>223</v>
      </c>
      <c r="C331" s="19" t="s">
        <v>825</v>
      </c>
      <c r="D331" s="19"/>
      <c r="E331" s="36">
        <v>51478</v>
      </c>
      <c r="F331" s="19" t="s">
        <v>742</v>
      </c>
      <c r="G331" s="23" t="s">
        <v>816</v>
      </c>
    </row>
    <row r="332" spans="1:10" ht="18" hidden="1" customHeight="1" outlineLevel="2" x14ac:dyDescent="0.2">
      <c r="A332" s="18"/>
      <c r="B332" s="19" t="s">
        <v>223</v>
      </c>
      <c r="C332" s="32" t="s">
        <v>806</v>
      </c>
      <c r="D332" s="19" t="s">
        <v>826</v>
      </c>
      <c r="E332" s="36">
        <v>59909</v>
      </c>
      <c r="F332" s="19" t="s">
        <v>742</v>
      </c>
      <c r="G332" s="23" t="s">
        <v>816</v>
      </c>
    </row>
    <row r="333" spans="1:10" ht="18" hidden="1" customHeight="1" outlineLevel="2" x14ac:dyDescent="0.2">
      <c r="A333" s="18"/>
      <c r="B333" s="19"/>
      <c r="C333" s="19"/>
      <c r="D333" s="19"/>
      <c r="E333" s="36"/>
      <c r="F333" s="19"/>
      <c r="G333" s="23"/>
    </row>
    <row r="334" spans="1:10" ht="18" hidden="1" customHeight="1" outlineLevel="1" x14ac:dyDescent="0.2">
      <c r="A334" s="119" t="s">
        <v>3707</v>
      </c>
      <c r="B334" s="120"/>
      <c r="C334" s="120"/>
      <c r="D334" s="120"/>
      <c r="E334" s="120"/>
      <c r="F334" s="120"/>
      <c r="G334" s="120"/>
      <c r="H334" s="120"/>
    </row>
    <row r="335" spans="1:10" ht="18" hidden="1" customHeight="1" outlineLevel="2" x14ac:dyDescent="0.2">
      <c r="A335" s="18"/>
      <c r="B335" s="19" t="s">
        <v>3145</v>
      </c>
      <c r="C335" s="32" t="s">
        <v>739</v>
      </c>
      <c r="D335" s="19" t="s">
        <v>760</v>
      </c>
      <c r="E335" s="36" t="s">
        <v>761</v>
      </c>
      <c r="F335" s="19" t="s">
        <v>742</v>
      </c>
      <c r="G335" s="23" t="s">
        <v>743</v>
      </c>
      <c r="H335" s="25" t="s">
        <v>1982</v>
      </c>
    </row>
    <row r="336" spans="1:10" ht="18" hidden="1" customHeight="1" outlineLevel="2" x14ac:dyDescent="0.2">
      <c r="A336" s="18"/>
      <c r="B336" s="19" t="s">
        <v>3171</v>
      </c>
      <c r="C336" s="32" t="s">
        <v>767</v>
      </c>
      <c r="D336" s="19" t="s">
        <v>827</v>
      </c>
      <c r="E336" s="36" t="s">
        <v>828</v>
      </c>
      <c r="F336" s="19" t="s">
        <v>742</v>
      </c>
      <c r="G336" s="23" t="s">
        <v>3706</v>
      </c>
    </row>
    <row r="337" spans="1:8" ht="18" hidden="1" customHeight="1" outlineLevel="2" x14ac:dyDescent="0.2">
      <c r="A337" s="18"/>
      <c r="B337" s="18" t="s">
        <v>3172</v>
      </c>
      <c r="C337" s="33" t="s">
        <v>829</v>
      </c>
      <c r="D337" s="18" t="s">
        <v>827</v>
      </c>
      <c r="E337" s="36" t="s">
        <v>830</v>
      </c>
      <c r="F337" s="18" t="s">
        <v>831</v>
      </c>
      <c r="G337" s="18"/>
      <c r="H337" s="25" t="s">
        <v>376</v>
      </c>
    </row>
    <row r="338" spans="1:8" ht="18" hidden="1" customHeight="1" outlineLevel="2" x14ac:dyDescent="0.2">
      <c r="A338" s="18"/>
      <c r="B338" s="18" t="s">
        <v>3173</v>
      </c>
      <c r="C338" s="33" t="s">
        <v>832</v>
      </c>
      <c r="D338" s="18" t="s">
        <v>833</v>
      </c>
      <c r="E338" s="36" t="s">
        <v>834</v>
      </c>
      <c r="F338" s="18" t="s">
        <v>742</v>
      </c>
      <c r="G338" s="18" t="s">
        <v>770</v>
      </c>
    </row>
    <row r="339" spans="1:8" ht="18" hidden="1" customHeight="1" outlineLevel="2" x14ac:dyDescent="0.2">
      <c r="A339" s="18"/>
      <c r="B339" s="18" t="s">
        <v>3174</v>
      </c>
      <c r="C339" s="33" t="s">
        <v>779</v>
      </c>
      <c r="D339" s="18" t="s">
        <v>833</v>
      </c>
      <c r="E339" s="36" t="s">
        <v>835</v>
      </c>
      <c r="F339" s="18" t="s">
        <v>742</v>
      </c>
      <c r="G339" s="18" t="s">
        <v>770</v>
      </c>
    </row>
    <row r="340" spans="1:8" ht="18" hidden="1" customHeight="1" outlineLevel="2" x14ac:dyDescent="0.2">
      <c r="A340" s="18"/>
      <c r="B340" s="18" t="s">
        <v>3175</v>
      </c>
      <c r="C340" s="33" t="s">
        <v>781</v>
      </c>
      <c r="D340" s="18" t="s">
        <v>836</v>
      </c>
      <c r="E340" s="36" t="s">
        <v>837</v>
      </c>
      <c r="F340" s="18" t="s">
        <v>742</v>
      </c>
      <c r="G340" s="18" t="s">
        <v>770</v>
      </c>
    </row>
    <row r="341" spans="1:8" ht="18" hidden="1" customHeight="1" outlineLevel="2" x14ac:dyDescent="0.2">
      <c r="A341" s="18"/>
      <c r="B341" s="18" t="s">
        <v>3176</v>
      </c>
      <c r="C341" s="33" t="s">
        <v>784</v>
      </c>
      <c r="D341" s="18" t="s">
        <v>833</v>
      </c>
      <c r="E341" s="36" t="s">
        <v>838</v>
      </c>
      <c r="F341" s="18" t="s">
        <v>742</v>
      </c>
      <c r="G341" s="18" t="s">
        <v>770</v>
      </c>
    </row>
    <row r="342" spans="1:8" ht="18" hidden="1" customHeight="1" outlineLevel="2" x14ac:dyDescent="0.2">
      <c r="A342" s="18"/>
      <c r="B342" s="18" t="s">
        <v>3177</v>
      </c>
      <c r="C342" s="33" t="s">
        <v>784</v>
      </c>
      <c r="D342" s="18" t="s">
        <v>836</v>
      </c>
      <c r="E342" s="36" t="s">
        <v>839</v>
      </c>
      <c r="F342" s="18" t="s">
        <v>742</v>
      </c>
      <c r="G342" s="18" t="s">
        <v>770</v>
      </c>
    </row>
    <row r="343" spans="1:8" ht="18" hidden="1" customHeight="1" outlineLevel="2" x14ac:dyDescent="0.2">
      <c r="A343" s="18"/>
      <c r="B343" s="18" t="s">
        <v>3178</v>
      </c>
      <c r="C343" s="33" t="s">
        <v>840</v>
      </c>
      <c r="D343" s="18" t="s">
        <v>827</v>
      </c>
      <c r="E343" s="36" t="s">
        <v>841</v>
      </c>
      <c r="F343" s="18" t="s">
        <v>742</v>
      </c>
      <c r="G343" s="18" t="s">
        <v>770</v>
      </c>
    </row>
    <row r="344" spans="1:8" ht="18" hidden="1" customHeight="1" outlineLevel="2" x14ac:dyDescent="0.2">
      <c r="A344" s="18"/>
      <c r="B344" s="18" t="s">
        <v>3179</v>
      </c>
      <c r="C344" s="33" t="s">
        <v>842</v>
      </c>
      <c r="D344" s="18" t="s">
        <v>843</v>
      </c>
      <c r="E344" s="36" t="s">
        <v>844</v>
      </c>
      <c r="F344" s="18" t="s">
        <v>742</v>
      </c>
      <c r="G344" s="18" t="s">
        <v>770</v>
      </c>
    </row>
    <row r="345" spans="1:8" ht="18" hidden="1" customHeight="1" outlineLevel="2" x14ac:dyDescent="0.2">
      <c r="A345" s="18"/>
      <c r="B345" s="18" t="s">
        <v>3180</v>
      </c>
      <c r="C345" s="18" t="s">
        <v>804</v>
      </c>
      <c r="D345" s="18" t="s">
        <v>843</v>
      </c>
      <c r="E345" s="36" t="s">
        <v>845</v>
      </c>
      <c r="F345" s="18" t="s">
        <v>742</v>
      </c>
      <c r="G345" s="18" t="s">
        <v>770</v>
      </c>
    </row>
    <row r="346" spans="1:8" ht="18" hidden="1" customHeight="1" outlineLevel="2" x14ac:dyDescent="0.2">
      <c r="A346" s="18"/>
      <c r="B346" s="18" t="s">
        <v>3181</v>
      </c>
      <c r="C346" s="33" t="s">
        <v>813</v>
      </c>
      <c r="D346" s="18" t="s">
        <v>846</v>
      </c>
      <c r="E346" s="36" t="s">
        <v>847</v>
      </c>
      <c r="F346" s="18" t="s">
        <v>742</v>
      </c>
      <c r="G346" s="18" t="s">
        <v>770</v>
      </c>
    </row>
    <row r="347" spans="1:8" ht="18" hidden="1" customHeight="1" outlineLevel="2" x14ac:dyDescent="0.2">
      <c r="A347" s="18"/>
      <c r="B347" s="18" t="s">
        <v>223</v>
      </c>
      <c r="C347" s="33" t="s">
        <v>848</v>
      </c>
      <c r="D347" s="18" t="s">
        <v>849</v>
      </c>
      <c r="E347" s="36">
        <v>3011</v>
      </c>
      <c r="F347" s="18" t="s">
        <v>742</v>
      </c>
      <c r="G347" s="18" t="s">
        <v>851</v>
      </c>
    </row>
    <row r="348" spans="1:8" ht="18" hidden="1" customHeight="1" outlineLevel="2" x14ac:dyDescent="0.2">
      <c r="A348" s="18"/>
      <c r="B348" s="18" t="s">
        <v>3182</v>
      </c>
      <c r="C348" s="18" t="s">
        <v>806</v>
      </c>
      <c r="D348" s="18" t="s">
        <v>852</v>
      </c>
      <c r="E348" s="36" t="s">
        <v>853</v>
      </c>
      <c r="F348" s="18" t="s">
        <v>742</v>
      </c>
      <c r="G348" s="18" t="s">
        <v>770</v>
      </c>
    </row>
    <row r="349" spans="1:8" ht="18" hidden="1" customHeight="1" outlineLevel="2" x14ac:dyDescent="0.2">
      <c r="A349" s="18"/>
      <c r="B349" s="18"/>
      <c r="C349" s="18"/>
      <c r="D349" s="18"/>
      <c r="E349" s="36"/>
      <c r="F349" s="18"/>
      <c r="G349" s="31"/>
    </row>
    <row r="350" spans="1:8" ht="18" hidden="1" customHeight="1" outlineLevel="1" x14ac:dyDescent="0.2">
      <c r="A350" s="119" t="s">
        <v>3708</v>
      </c>
      <c r="B350" s="120"/>
      <c r="C350" s="120"/>
      <c r="D350" s="120"/>
      <c r="E350" s="120"/>
      <c r="F350" s="120"/>
      <c r="G350" s="120"/>
      <c r="H350" s="120"/>
    </row>
    <row r="351" spans="1:8" ht="18" hidden="1" customHeight="1" outlineLevel="2" x14ac:dyDescent="0.2">
      <c r="A351" s="18"/>
      <c r="B351" s="19" t="s">
        <v>3136</v>
      </c>
      <c r="C351" s="19" t="s">
        <v>739</v>
      </c>
      <c r="D351" s="19" t="s">
        <v>740</v>
      </c>
      <c r="E351" s="36" t="s">
        <v>741</v>
      </c>
      <c r="F351" s="19" t="s">
        <v>742</v>
      </c>
      <c r="G351" s="23" t="s">
        <v>743</v>
      </c>
    </row>
    <row r="352" spans="1:8" ht="18" hidden="1" customHeight="1" outlineLevel="2" x14ac:dyDescent="0.2">
      <c r="A352" s="18"/>
      <c r="B352" s="19" t="s">
        <v>3137</v>
      </c>
      <c r="C352" s="19" t="s">
        <v>739</v>
      </c>
      <c r="D352" s="19" t="s">
        <v>744</v>
      </c>
      <c r="E352" s="36" t="s">
        <v>745</v>
      </c>
      <c r="F352" s="19" t="s">
        <v>742</v>
      </c>
      <c r="G352" s="23" t="s">
        <v>743</v>
      </c>
    </row>
    <row r="353" spans="1:7" ht="18" hidden="1" customHeight="1" outlineLevel="2" x14ac:dyDescent="0.2">
      <c r="A353" s="18"/>
      <c r="B353" s="19" t="s">
        <v>3138</v>
      </c>
      <c r="C353" s="32" t="s">
        <v>739</v>
      </c>
      <c r="D353" s="19" t="s">
        <v>746</v>
      </c>
      <c r="E353" s="36" t="s">
        <v>747</v>
      </c>
      <c r="F353" s="19" t="s">
        <v>742</v>
      </c>
      <c r="G353" s="23" t="s">
        <v>743</v>
      </c>
    </row>
    <row r="354" spans="1:7" ht="18" hidden="1" customHeight="1" outlineLevel="2" x14ac:dyDescent="0.2">
      <c r="A354" s="18"/>
      <c r="B354" s="19" t="s">
        <v>3139</v>
      </c>
      <c r="C354" s="32" t="s">
        <v>739</v>
      </c>
      <c r="D354" s="19" t="s">
        <v>748</v>
      </c>
      <c r="E354" s="36" t="s">
        <v>749</v>
      </c>
      <c r="F354" s="19" t="s">
        <v>742</v>
      </c>
      <c r="G354" s="23" t="s">
        <v>743</v>
      </c>
    </row>
    <row r="355" spans="1:7" ht="18" hidden="1" customHeight="1" outlineLevel="2" x14ac:dyDescent="0.2">
      <c r="A355" s="18"/>
      <c r="B355" s="19" t="s">
        <v>3140</v>
      </c>
      <c r="C355" s="32" t="s">
        <v>739</v>
      </c>
      <c r="D355" s="19" t="s">
        <v>750</v>
      </c>
      <c r="E355" s="36" t="s">
        <v>751</v>
      </c>
      <c r="F355" s="19" t="s">
        <v>742</v>
      </c>
      <c r="G355" s="23" t="s">
        <v>743</v>
      </c>
    </row>
    <row r="356" spans="1:7" ht="18" hidden="1" customHeight="1" outlineLevel="2" x14ac:dyDescent="0.2">
      <c r="A356" s="18"/>
      <c r="B356" s="19" t="s">
        <v>3141</v>
      </c>
      <c r="C356" s="32" t="s">
        <v>739</v>
      </c>
      <c r="D356" s="19" t="s">
        <v>752</v>
      </c>
      <c r="E356" s="36" t="s">
        <v>753</v>
      </c>
      <c r="F356" s="19" t="s">
        <v>742</v>
      </c>
      <c r="G356" s="23" t="s">
        <v>743</v>
      </c>
    </row>
    <row r="357" spans="1:7" ht="18" hidden="1" customHeight="1" outlineLevel="2" x14ac:dyDescent="0.2">
      <c r="A357" s="18"/>
      <c r="B357" s="19" t="s">
        <v>3142</v>
      </c>
      <c r="C357" s="32" t="s">
        <v>739</v>
      </c>
      <c r="D357" s="19" t="s">
        <v>754</v>
      </c>
      <c r="E357" s="36" t="s">
        <v>755</v>
      </c>
      <c r="F357" s="19" t="s">
        <v>742</v>
      </c>
      <c r="G357" s="23" t="s">
        <v>743</v>
      </c>
    </row>
    <row r="358" spans="1:7" ht="18" hidden="1" customHeight="1" outlineLevel="2" x14ac:dyDescent="0.2">
      <c r="A358" s="18"/>
      <c r="B358" s="19" t="s">
        <v>223</v>
      </c>
      <c r="C358" s="18" t="s">
        <v>817</v>
      </c>
      <c r="D358" s="19" t="s">
        <v>854</v>
      </c>
      <c r="E358" s="36"/>
      <c r="F358" s="19"/>
      <c r="G358" s="23" t="s">
        <v>770</v>
      </c>
    </row>
    <row r="359" spans="1:7" ht="18" hidden="1" customHeight="1" outlineLevel="2" x14ac:dyDescent="0.2">
      <c r="A359" s="18"/>
      <c r="B359" s="19" t="s">
        <v>223</v>
      </c>
      <c r="C359" s="18" t="s">
        <v>779</v>
      </c>
      <c r="D359" s="19" t="s">
        <v>854</v>
      </c>
      <c r="E359" s="36"/>
      <c r="F359" s="19"/>
      <c r="G359" s="23" t="s">
        <v>770</v>
      </c>
    </row>
    <row r="360" spans="1:7" ht="18" hidden="1" customHeight="1" outlineLevel="2" x14ac:dyDescent="0.2">
      <c r="A360" s="18"/>
      <c r="B360" s="19" t="s">
        <v>223</v>
      </c>
      <c r="C360" s="18" t="s">
        <v>781</v>
      </c>
      <c r="D360" s="19" t="s">
        <v>855</v>
      </c>
      <c r="E360" s="36"/>
      <c r="F360" s="19"/>
      <c r="G360" s="23" t="s">
        <v>770</v>
      </c>
    </row>
    <row r="361" spans="1:7" ht="18" hidden="1" customHeight="1" outlineLevel="2" x14ac:dyDescent="0.2">
      <c r="A361" s="18"/>
      <c r="B361" s="19" t="s">
        <v>223</v>
      </c>
      <c r="C361" s="18" t="s">
        <v>784</v>
      </c>
      <c r="D361" s="19" t="s">
        <v>854</v>
      </c>
      <c r="E361" s="36"/>
      <c r="F361" s="19"/>
      <c r="G361" s="23" t="s">
        <v>770</v>
      </c>
    </row>
    <row r="362" spans="1:7" ht="18" hidden="1" customHeight="1" outlineLevel="2" x14ac:dyDescent="0.2">
      <c r="A362" s="18"/>
      <c r="B362" s="19" t="s">
        <v>223</v>
      </c>
      <c r="C362" s="18" t="s">
        <v>784</v>
      </c>
      <c r="D362" s="19" t="s">
        <v>855</v>
      </c>
      <c r="E362" s="36"/>
      <c r="F362" s="19"/>
      <c r="G362" s="23" t="s">
        <v>770</v>
      </c>
    </row>
    <row r="363" spans="1:7" ht="18" hidden="1" customHeight="1" outlineLevel="2" x14ac:dyDescent="0.2">
      <c r="A363" s="18"/>
      <c r="B363" s="19" t="s">
        <v>223</v>
      </c>
      <c r="C363" s="18" t="s">
        <v>799</v>
      </c>
      <c r="D363" s="19" t="s">
        <v>856</v>
      </c>
      <c r="E363" s="36"/>
      <c r="F363" s="19"/>
      <c r="G363" s="23" t="s">
        <v>770</v>
      </c>
    </row>
    <row r="364" spans="1:7" ht="18" hidden="1" customHeight="1" outlineLevel="2" x14ac:dyDescent="0.2">
      <c r="A364" s="18"/>
      <c r="B364" s="19" t="s">
        <v>223</v>
      </c>
      <c r="C364" s="18" t="s">
        <v>801</v>
      </c>
      <c r="D364" s="19" t="s">
        <v>857</v>
      </c>
      <c r="E364" s="36"/>
      <c r="F364" s="19"/>
      <c r="G364" s="23" t="s">
        <v>770</v>
      </c>
    </row>
    <row r="365" spans="1:7" ht="18" hidden="1" customHeight="1" outlineLevel="2" x14ac:dyDescent="0.2">
      <c r="A365" s="18"/>
      <c r="B365" s="19" t="s">
        <v>223</v>
      </c>
      <c r="C365" s="18" t="s">
        <v>774</v>
      </c>
      <c r="D365" s="19" t="s">
        <v>857</v>
      </c>
      <c r="E365" s="36" t="s">
        <v>858</v>
      </c>
      <c r="F365" s="19" t="s">
        <v>742</v>
      </c>
      <c r="G365" s="23" t="s">
        <v>770</v>
      </c>
    </row>
    <row r="366" spans="1:7" ht="18" hidden="1" customHeight="1" outlineLevel="2" x14ac:dyDescent="0.2">
      <c r="A366" s="18"/>
      <c r="B366" s="19" t="s">
        <v>223</v>
      </c>
      <c r="C366" s="18" t="s">
        <v>868</v>
      </c>
      <c r="D366" s="19" t="s">
        <v>869</v>
      </c>
      <c r="E366" s="36" t="s">
        <v>870</v>
      </c>
      <c r="F366" s="19" t="s">
        <v>742</v>
      </c>
      <c r="G366" s="23" t="s">
        <v>871</v>
      </c>
    </row>
    <row r="367" spans="1:7" ht="18" hidden="1" customHeight="1" outlineLevel="2" x14ac:dyDescent="0.2">
      <c r="A367" s="18"/>
      <c r="B367" s="19" t="s">
        <v>223</v>
      </c>
      <c r="C367" s="18" t="s">
        <v>868</v>
      </c>
      <c r="D367" s="19" t="s">
        <v>872</v>
      </c>
      <c r="E367" s="36"/>
      <c r="F367" s="19"/>
      <c r="G367" s="23" t="s">
        <v>871</v>
      </c>
    </row>
    <row r="368" spans="1:7" ht="18" hidden="1" customHeight="1" outlineLevel="2" x14ac:dyDescent="0.2">
      <c r="A368" s="18"/>
      <c r="B368" s="19" t="s">
        <v>223</v>
      </c>
      <c r="C368" s="18" t="s">
        <v>868</v>
      </c>
      <c r="D368" s="19" t="s">
        <v>873</v>
      </c>
      <c r="E368" s="36"/>
      <c r="F368" s="19"/>
      <c r="G368" s="23" t="s">
        <v>871</v>
      </c>
    </row>
    <row r="369" spans="1:8" ht="18" hidden="1" customHeight="1" outlineLevel="2" x14ac:dyDescent="0.2">
      <c r="A369" s="18"/>
      <c r="B369" s="19"/>
      <c r="C369" s="19"/>
      <c r="D369" s="19"/>
      <c r="E369" s="36"/>
      <c r="F369" s="19"/>
      <c r="G369" s="23"/>
    </row>
    <row r="370" spans="1:8" ht="18" hidden="1" customHeight="1" outlineLevel="1" x14ac:dyDescent="0.2">
      <c r="A370" s="119" t="s">
        <v>61</v>
      </c>
      <c r="B370" s="120" t="s">
        <v>3183</v>
      </c>
      <c r="C370" s="120"/>
      <c r="D370" s="120"/>
      <c r="E370" s="120"/>
      <c r="F370" s="120"/>
      <c r="G370" s="120"/>
      <c r="H370" s="120"/>
    </row>
    <row r="371" spans="1:8" ht="18" hidden="1" customHeight="1" outlineLevel="2" x14ac:dyDescent="0.2">
      <c r="A371" s="18"/>
      <c r="B371" s="19" t="s">
        <v>223</v>
      </c>
      <c r="C371" s="18" t="s">
        <v>874</v>
      </c>
      <c r="D371" s="19" t="s">
        <v>875</v>
      </c>
      <c r="E371" s="36" t="s">
        <v>876</v>
      </c>
      <c r="F371" s="19" t="s">
        <v>742</v>
      </c>
      <c r="G371" s="23" t="s">
        <v>877</v>
      </c>
    </row>
    <row r="372" spans="1:8" ht="18" hidden="1" customHeight="1" outlineLevel="2" x14ac:dyDescent="0.2">
      <c r="A372" s="18"/>
      <c r="B372" s="19" t="s">
        <v>223</v>
      </c>
      <c r="C372" s="18" t="s">
        <v>874</v>
      </c>
      <c r="D372" s="19" t="s">
        <v>878</v>
      </c>
      <c r="E372" s="36" t="s">
        <v>879</v>
      </c>
      <c r="F372" s="19" t="s">
        <v>742</v>
      </c>
      <c r="G372" s="23" t="s">
        <v>877</v>
      </c>
    </row>
    <row r="373" spans="1:8" ht="18" hidden="1" customHeight="1" outlineLevel="2" x14ac:dyDescent="0.2">
      <c r="A373" s="18"/>
      <c r="B373" s="19" t="s">
        <v>223</v>
      </c>
      <c r="C373" s="18" t="s">
        <v>874</v>
      </c>
      <c r="D373" s="19" t="s">
        <v>880</v>
      </c>
      <c r="E373" s="36" t="s">
        <v>881</v>
      </c>
      <c r="F373" s="19" t="s">
        <v>742</v>
      </c>
      <c r="G373" s="23" t="s">
        <v>877</v>
      </c>
    </row>
    <row r="374" spans="1:8" ht="18" hidden="1" customHeight="1" outlineLevel="2" x14ac:dyDescent="0.2">
      <c r="A374" s="18"/>
      <c r="B374" s="19" t="s">
        <v>223</v>
      </c>
      <c r="C374" s="18" t="s">
        <v>874</v>
      </c>
      <c r="D374" s="19" t="s">
        <v>827</v>
      </c>
      <c r="E374" s="36" t="s">
        <v>882</v>
      </c>
      <c r="F374" s="19" t="s">
        <v>742</v>
      </c>
      <c r="G374" s="23" t="s">
        <v>883</v>
      </c>
    </row>
    <row r="375" spans="1:8" ht="18" hidden="1" customHeight="1" outlineLevel="2" x14ac:dyDescent="0.2">
      <c r="A375" s="18"/>
      <c r="B375" s="19" t="s">
        <v>223</v>
      </c>
      <c r="C375" s="18" t="s">
        <v>874</v>
      </c>
      <c r="D375" s="19" t="s">
        <v>768</v>
      </c>
      <c r="E375" s="36" t="s">
        <v>884</v>
      </c>
      <c r="F375" s="19" t="s">
        <v>742</v>
      </c>
      <c r="G375" s="23" t="s">
        <v>883</v>
      </c>
    </row>
    <row r="376" spans="1:8" ht="18" hidden="1" customHeight="1" outlineLevel="2" x14ac:dyDescent="0.2">
      <c r="A376" s="18"/>
      <c r="B376" s="19" t="s">
        <v>223</v>
      </c>
      <c r="C376" s="18" t="s">
        <v>874</v>
      </c>
      <c r="D376" s="19" t="s">
        <v>885</v>
      </c>
      <c r="E376" s="36" t="s">
        <v>886</v>
      </c>
      <c r="F376" s="19" t="s">
        <v>742</v>
      </c>
      <c r="G376" s="23" t="s">
        <v>883</v>
      </c>
    </row>
    <row r="377" spans="1:8" ht="18" hidden="1" customHeight="1" outlineLevel="2" x14ac:dyDescent="0.2">
      <c r="A377" s="18"/>
      <c r="B377" s="19" t="s">
        <v>223</v>
      </c>
      <c r="C377" s="18" t="s">
        <v>874</v>
      </c>
      <c r="D377" s="19" t="s">
        <v>887</v>
      </c>
      <c r="E377" s="36" t="s">
        <v>888</v>
      </c>
      <c r="F377" s="19" t="s">
        <v>742</v>
      </c>
      <c r="G377" s="23" t="s">
        <v>883</v>
      </c>
    </row>
    <row r="378" spans="1:8" ht="18" hidden="1" customHeight="1" outlineLevel="2" x14ac:dyDescent="0.2">
      <c r="A378" s="18"/>
      <c r="B378" s="19" t="s">
        <v>223</v>
      </c>
      <c r="C378" s="18" t="s">
        <v>874</v>
      </c>
      <c r="D378" s="19" t="s">
        <v>889</v>
      </c>
      <c r="E378" s="36" t="s">
        <v>890</v>
      </c>
      <c r="F378" s="19" t="s">
        <v>742</v>
      </c>
      <c r="G378" s="23" t="s">
        <v>883</v>
      </c>
    </row>
    <row r="379" spans="1:8" ht="18" hidden="1" customHeight="1" outlineLevel="2" x14ac:dyDescent="0.2">
      <c r="A379" s="18"/>
      <c r="B379" s="19" t="s">
        <v>223</v>
      </c>
      <c r="C379" s="18" t="s">
        <v>874</v>
      </c>
      <c r="D379" s="19" t="s">
        <v>891</v>
      </c>
      <c r="E379" s="36" t="s">
        <v>892</v>
      </c>
      <c r="F379" s="19" t="s">
        <v>742</v>
      </c>
      <c r="G379" s="23" t="s">
        <v>893</v>
      </c>
    </row>
    <row r="380" spans="1:8" ht="18" hidden="1" customHeight="1" outlineLevel="2" x14ac:dyDescent="0.2">
      <c r="A380" s="18"/>
      <c r="B380" s="19" t="s">
        <v>223</v>
      </c>
      <c r="C380" s="18"/>
      <c r="D380" s="19"/>
      <c r="E380" s="36"/>
      <c r="F380" s="19"/>
      <c r="G380" s="23"/>
    </row>
    <row r="381" spans="1:8" ht="18" hidden="1" customHeight="1" outlineLevel="2" x14ac:dyDescent="0.2">
      <c r="A381" s="18"/>
      <c r="B381" s="19" t="s">
        <v>223</v>
      </c>
      <c r="C381" s="18" t="s">
        <v>3712</v>
      </c>
      <c r="D381" s="19" t="s">
        <v>894</v>
      </c>
      <c r="E381" s="36" t="s">
        <v>895</v>
      </c>
      <c r="F381" s="19" t="s">
        <v>896</v>
      </c>
      <c r="G381" s="23" t="s">
        <v>897</v>
      </c>
    </row>
    <row r="382" spans="1:8" ht="18" hidden="1" customHeight="1" outlineLevel="2" x14ac:dyDescent="0.2">
      <c r="A382" s="18"/>
      <c r="B382" s="19" t="s">
        <v>223</v>
      </c>
      <c r="C382" s="18" t="s">
        <v>898</v>
      </c>
      <c r="D382" s="19" t="s">
        <v>894</v>
      </c>
      <c r="E382" s="36" t="s">
        <v>899</v>
      </c>
      <c r="F382" s="19" t="s">
        <v>742</v>
      </c>
      <c r="G382" s="23"/>
    </row>
    <row r="383" spans="1:8" ht="18" hidden="1" customHeight="1" outlineLevel="2" x14ac:dyDescent="0.2">
      <c r="A383" s="18"/>
      <c r="B383" s="19" t="s">
        <v>223</v>
      </c>
      <c r="C383" s="18" t="s">
        <v>900</v>
      </c>
      <c r="D383" s="19" t="s">
        <v>894</v>
      </c>
      <c r="E383" s="36" t="s">
        <v>901</v>
      </c>
      <c r="F383" s="19" t="s">
        <v>742</v>
      </c>
      <c r="G383" s="23"/>
    </row>
    <row r="384" spans="1:8" ht="18" hidden="1" customHeight="1" outlineLevel="2" x14ac:dyDescent="0.2">
      <c r="A384" s="18"/>
      <c r="B384" s="19" t="s">
        <v>223</v>
      </c>
      <c r="C384" s="18" t="s">
        <v>902</v>
      </c>
      <c r="D384" s="19" t="s">
        <v>903</v>
      </c>
      <c r="E384" s="36" t="s">
        <v>904</v>
      </c>
      <c r="F384" s="19" t="s">
        <v>742</v>
      </c>
      <c r="G384" s="23"/>
    </row>
    <row r="385" spans="1:7" ht="18" hidden="1" customHeight="1" outlineLevel="2" x14ac:dyDescent="0.2">
      <c r="A385" s="18"/>
      <c r="B385" s="19" t="s">
        <v>223</v>
      </c>
      <c r="C385" s="18" t="s">
        <v>905</v>
      </c>
      <c r="D385" s="19" t="s">
        <v>906</v>
      </c>
      <c r="E385" s="36" t="s">
        <v>907</v>
      </c>
      <c r="F385" s="19" t="s">
        <v>742</v>
      </c>
      <c r="G385" s="23"/>
    </row>
    <row r="386" spans="1:7" ht="18" hidden="1" customHeight="1" outlineLevel="2" x14ac:dyDescent="0.2">
      <c r="A386" s="18"/>
      <c r="B386" s="19"/>
      <c r="C386" s="18"/>
      <c r="D386" s="19"/>
      <c r="E386" s="36"/>
      <c r="F386" s="19"/>
      <c r="G386" s="23"/>
    </row>
    <row r="387" spans="1:7" ht="18" hidden="1" customHeight="1" outlineLevel="2" x14ac:dyDescent="0.2">
      <c r="A387" s="18"/>
      <c r="B387" s="19" t="s">
        <v>223</v>
      </c>
      <c r="C387" s="18" t="s">
        <v>908</v>
      </c>
      <c r="D387" s="19" t="s">
        <v>909</v>
      </c>
      <c r="E387" s="36" t="s">
        <v>910</v>
      </c>
      <c r="F387" s="19" t="s">
        <v>742</v>
      </c>
      <c r="G387" s="23" t="s">
        <v>911</v>
      </c>
    </row>
    <row r="388" spans="1:7" ht="18" hidden="1" customHeight="1" outlineLevel="2" x14ac:dyDescent="0.2">
      <c r="A388" s="18"/>
      <c r="B388" s="19" t="s">
        <v>223</v>
      </c>
      <c r="C388" s="18" t="s">
        <v>908</v>
      </c>
      <c r="D388" s="19" t="s">
        <v>912</v>
      </c>
      <c r="E388" s="36" t="s">
        <v>913</v>
      </c>
      <c r="F388" s="19" t="s">
        <v>742</v>
      </c>
      <c r="G388" s="23" t="s">
        <v>911</v>
      </c>
    </row>
    <row r="389" spans="1:7" ht="18" hidden="1" customHeight="1" outlineLevel="2" x14ac:dyDescent="0.2">
      <c r="A389" s="18"/>
      <c r="B389" s="19" t="s">
        <v>223</v>
      </c>
      <c r="C389" s="18" t="s">
        <v>908</v>
      </c>
      <c r="D389" s="19" t="s">
        <v>914</v>
      </c>
      <c r="E389" s="36" t="s">
        <v>915</v>
      </c>
      <c r="F389" s="19" t="s">
        <v>742</v>
      </c>
      <c r="G389" s="23" t="s">
        <v>911</v>
      </c>
    </row>
    <row r="390" spans="1:7" ht="18" hidden="1" customHeight="1" outlineLevel="2" x14ac:dyDescent="0.2">
      <c r="A390" s="18"/>
      <c r="B390" s="19" t="s">
        <v>223</v>
      </c>
      <c r="C390" s="18" t="s">
        <v>908</v>
      </c>
      <c r="D390" s="19" t="s">
        <v>916</v>
      </c>
      <c r="E390" s="36" t="s">
        <v>917</v>
      </c>
      <c r="F390" s="19" t="s">
        <v>742</v>
      </c>
      <c r="G390" s="23" t="s">
        <v>911</v>
      </c>
    </row>
    <row r="391" spans="1:7" ht="18" hidden="1" customHeight="1" outlineLevel="2" x14ac:dyDescent="0.2">
      <c r="A391" s="18"/>
      <c r="B391" s="19" t="s">
        <v>223</v>
      </c>
      <c r="C391" s="18" t="s">
        <v>908</v>
      </c>
      <c r="D391" s="19" t="s">
        <v>918</v>
      </c>
      <c r="E391" s="36" t="s">
        <v>919</v>
      </c>
      <c r="F391" s="19" t="s">
        <v>742</v>
      </c>
      <c r="G391" s="23" t="s">
        <v>911</v>
      </c>
    </row>
    <row r="392" spans="1:7" ht="18" hidden="1" customHeight="1" outlineLevel="2" x14ac:dyDescent="0.2">
      <c r="A392" s="18"/>
      <c r="B392" s="19" t="s">
        <v>223</v>
      </c>
      <c r="C392" s="18" t="s">
        <v>908</v>
      </c>
      <c r="D392" s="19" t="s">
        <v>920</v>
      </c>
      <c r="E392" s="36" t="s">
        <v>921</v>
      </c>
      <c r="F392" s="19" t="s">
        <v>742</v>
      </c>
      <c r="G392" s="23" t="s">
        <v>911</v>
      </c>
    </row>
    <row r="393" spans="1:7" ht="18" hidden="1" customHeight="1" outlineLevel="2" x14ac:dyDescent="0.2">
      <c r="A393" s="18"/>
      <c r="B393" s="19" t="s">
        <v>223</v>
      </c>
      <c r="C393" s="18" t="s">
        <v>908</v>
      </c>
      <c r="D393" s="19" t="s">
        <v>922</v>
      </c>
      <c r="E393" s="36" t="s">
        <v>923</v>
      </c>
      <c r="F393" s="19" t="s">
        <v>742</v>
      </c>
      <c r="G393" s="23" t="s">
        <v>911</v>
      </c>
    </row>
    <row r="394" spans="1:7" ht="18" hidden="1" customHeight="1" outlineLevel="2" x14ac:dyDescent="0.2">
      <c r="A394" s="18"/>
      <c r="B394" s="19" t="s">
        <v>223</v>
      </c>
      <c r="C394" s="18" t="s">
        <v>908</v>
      </c>
      <c r="D394" s="19" t="s">
        <v>924</v>
      </c>
      <c r="E394" s="36" t="s">
        <v>925</v>
      </c>
      <c r="F394" s="19" t="s">
        <v>742</v>
      </c>
      <c r="G394" s="23" t="s">
        <v>911</v>
      </c>
    </row>
    <row r="395" spans="1:7" ht="18" hidden="1" customHeight="1" outlineLevel="2" x14ac:dyDescent="0.2">
      <c r="A395" s="18"/>
      <c r="B395" s="19" t="s">
        <v>223</v>
      </c>
      <c r="C395" s="18" t="s">
        <v>908</v>
      </c>
      <c r="D395" s="19" t="s">
        <v>926</v>
      </c>
      <c r="E395" s="36" t="s">
        <v>927</v>
      </c>
      <c r="F395" s="19" t="s">
        <v>742</v>
      </c>
      <c r="G395" s="23" t="s">
        <v>911</v>
      </c>
    </row>
    <row r="396" spans="1:7" ht="18" hidden="1" customHeight="1" outlineLevel="2" x14ac:dyDescent="0.2">
      <c r="A396" s="18"/>
      <c r="B396" s="19"/>
      <c r="C396" s="18"/>
      <c r="D396" s="19"/>
      <c r="E396" s="36"/>
      <c r="F396" s="19"/>
      <c r="G396" s="23"/>
    </row>
    <row r="397" spans="1:7" ht="18" hidden="1" customHeight="1" outlineLevel="2" x14ac:dyDescent="0.2">
      <c r="A397" s="18"/>
      <c r="B397" s="19" t="s">
        <v>223</v>
      </c>
      <c r="C397" s="18" t="s">
        <v>928</v>
      </c>
      <c r="D397" s="19" t="s">
        <v>912</v>
      </c>
      <c r="E397" s="36" t="s">
        <v>929</v>
      </c>
      <c r="F397" s="19" t="s">
        <v>742</v>
      </c>
      <c r="G397" s="23" t="s">
        <v>930</v>
      </c>
    </row>
    <row r="398" spans="1:7" ht="18" hidden="1" customHeight="1" outlineLevel="2" x14ac:dyDescent="0.2">
      <c r="A398" s="18"/>
      <c r="B398" s="19" t="s">
        <v>223</v>
      </c>
      <c r="C398" s="18" t="s">
        <v>928</v>
      </c>
      <c r="D398" s="19" t="s">
        <v>914</v>
      </c>
      <c r="E398" s="36" t="s">
        <v>931</v>
      </c>
      <c r="F398" s="19" t="s">
        <v>742</v>
      </c>
      <c r="G398" s="23" t="s">
        <v>930</v>
      </c>
    </row>
    <row r="399" spans="1:7" ht="18" hidden="1" customHeight="1" outlineLevel="2" x14ac:dyDescent="0.2">
      <c r="A399" s="18"/>
      <c r="B399" s="19" t="s">
        <v>223</v>
      </c>
      <c r="C399" s="18" t="s">
        <v>928</v>
      </c>
      <c r="D399" s="19" t="s">
        <v>916</v>
      </c>
      <c r="E399" s="36" t="s">
        <v>932</v>
      </c>
      <c r="F399" s="19" t="s">
        <v>742</v>
      </c>
      <c r="G399" s="23" t="s">
        <v>930</v>
      </c>
    </row>
    <row r="400" spans="1:7" ht="18" hidden="1" customHeight="1" outlineLevel="2" x14ac:dyDescent="0.2">
      <c r="A400" s="18"/>
      <c r="B400" s="19" t="s">
        <v>223</v>
      </c>
      <c r="C400" s="18" t="s">
        <v>928</v>
      </c>
      <c r="D400" s="19" t="s">
        <v>918</v>
      </c>
      <c r="E400" s="36" t="s">
        <v>933</v>
      </c>
      <c r="F400" s="19" t="s">
        <v>742</v>
      </c>
      <c r="G400" s="23" t="s">
        <v>930</v>
      </c>
    </row>
    <row r="401" spans="1:7" ht="18" hidden="1" customHeight="1" outlineLevel="2" x14ac:dyDescent="0.2">
      <c r="A401" s="18"/>
      <c r="B401" s="19" t="s">
        <v>223</v>
      </c>
      <c r="C401" s="18" t="s">
        <v>928</v>
      </c>
      <c r="D401" s="19" t="s">
        <v>920</v>
      </c>
      <c r="E401" s="36" t="s">
        <v>934</v>
      </c>
      <c r="F401" s="19" t="s">
        <v>742</v>
      </c>
      <c r="G401" s="23" t="s">
        <v>930</v>
      </c>
    </row>
    <row r="402" spans="1:7" ht="18" hidden="1" customHeight="1" outlineLevel="2" x14ac:dyDescent="0.2">
      <c r="A402" s="18"/>
      <c r="B402" s="19" t="s">
        <v>223</v>
      </c>
      <c r="C402" s="18" t="s">
        <v>928</v>
      </c>
      <c r="D402" s="19" t="s">
        <v>922</v>
      </c>
      <c r="E402" s="36" t="s">
        <v>935</v>
      </c>
      <c r="F402" s="19" t="s">
        <v>742</v>
      </c>
      <c r="G402" s="23" t="s">
        <v>930</v>
      </c>
    </row>
    <row r="403" spans="1:7" ht="18" hidden="1" customHeight="1" outlineLevel="2" x14ac:dyDescent="0.2">
      <c r="A403" s="18"/>
      <c r="B403" s="19" t="s">
        <v>223</v>
      </c>
      <c r="C403" s="18" t="s">
        <v>928</v>
      </c>
      <c r="D403" s="19" t="s">
        <v>924</v>
      </c>
      <c r="E403" s="36" t="s">
        <v>936</v>
      </c>
      <c r="F403" s="19" t="s">
        <v>742</v>
      </c>
      <c r="G403" s="23" t="s">
        <v>930</v>
      </c>
    </row>
    <row r="404" spans="1:7" ht="18" hidden="1" customHeight="1" outlineLevel="2" x14ac:dyDescent="0.2">
      <c r="A404" s="18"/>
      <c r="B404" s="19" t="s">
        <v>223</v>
      </c>
      <c r="C404" s="18" t="s">
        <v>928</v>
      </c>
      <c r="D404" s="19" t="s">
        <v>926</v>
      </c>
      <c r="E404" s="36" t="s">
        <v>937</v>
      </c>
      <c r="F404" s="19" t="s">
        <v>742</v>
      </c>
      <c r="G404" s="23" t="s">
        <v>930</v>
      </c>
    </row>
    <row r="405" spans="1:7" ht="18" hidden="1" customHeight="1" outlineLevel="2" x14ac:dyDescent="0.2">
      <c r="A405" s="18"/>
      <c r="B405" s="19"/>
      <c r="C405" s="18"/>
      <c r="D405" s="19"/>
      <c r="E405" s="36"/>
      <c r="F405" s="19"/>
      <c r="G405" s="23"/>
    </row>
    <row r="406" spans="1:7" ht="18" hidden="1" customHeight="1" outlineLevel="2" x14ac:dyDescent="0.2">
      <c r="A406" s="18"/>
      <c r="B406" s="19" t="s">
        <v>223</v>
      </c>
      <c r="C406" s="18" t="s">
        <v>938</v>
      </c>
      <c r="D406" s="19" t="s">
        <v>909</v>
      </c>
      <c r="E406" s="36" t="s">
        <v>939</v>
      </c>
      <c r="F406" s="19" t="s">
        <v>742</v>
      </c>
      <c r="G406" s="23"/>
    </row>
    <row r="407" spans="1:7" ht="18" hidden="1" customHeight="1" outlineLevel="2" x14ac:dyDescent="0.2">
      <c r="A407" s="18"/>
      <c r="B407" s="19" t="s">
        <v>223</v>
      </c>
      <c r="C407" s="18" t="s">
        <v>938</v>
      </c>
      <c r="D407" s="19" t="s">
        <v>912</v>
      </c>
      <c r="E407" s="36" t="s">
        <v>940</v>
      </c>
      <c r="F407" s="19" t="s">
        <v>742</v>
      </c>
      <c r="G407" s="23"/>
    </row>
    <row r="408" spans="1:7" ht="18" hidden="1" customHeight="1" outlineLevel="2" x14ac:dyDescent="0.2">
      <c r="A408" s="18"/>
      <c r="B408" s="19" t="s">
        <v>223</v>
      </c>
      <c r="C408" s="18" t="s">
        <v>938</v>
      </c>
      <c r="D408" s="19" t="s">
        <v>914</v>
      </c>
      <c r="E408" s="36" t="s">
        <v>941</v>
      </c>
      <c r="F408" s="19" t="s">
        <v>742</v>
      </c>
      <c r="G408" s="23"/>
    </row>
    <row r="409" spans="1:7" ht="18" hidden="1" customHeight="1" outlineLevel="2" x14ac:dyDescent="0.2">
      <c r="A409" s="18"/>
      <c r="B409" s="19" t="s">
        <v>223</v>
      </c>
      <c r="C409" s="18" t="s">
        <v>938</v>
      </c>
      <c r="D409" s="19" t="s">
        <v>916</v>
      </c>
      <c r="E409" s="36" t="s">
        <v>942</v>
      </c>
      <c r="F409" s="19" t="s">
        <v>742</v>
      </c>
      <c r="G409" s="23"/>
    </row>
    <row r="410" spans="1:7" ht="18" hidden="1" customHeight="1" outlineLevel="2" x14ac:dyDescent="0.2">
      <c r="A410" s="18"/>
      <c r="B410" s="19" t="s">
        <v>223</v>
      </c>
      <c r="C410" s="18" t="s">
        <v>938</v>
      </c>
      <c r="D410" s="19" t="s">
        <v>918</v>
      </c>
      <c r="E410" s="36" t="s">
        <v>943</v>
      </c>
      <c r="F410" s="19" t="s">
        <v>742</v>
      </c>
      <c r="G410" s="23"/>
    </row>
    <row r="411" spans="1:7" ht="18" hidden="1" customHeight="1" outlineLevel="2" x14ac:dyDescent="0.2">
      <c r="A411" s="18"/>
      <c r="B411" s="19" t="s">
        <v>223</v>
      </c>
      <c r="C411" s="18" t="s">
        <v>938</v>
      </c>
      <c r="D411" s="19" t="s">
        <v>920</v>
      </c>
      <c r="E411" s="36" t="s">
        <v>944</v>
      </c>
      <c r="F411" s="19" t="s">
        <v>742</v>
      </c>
      <c r="G411" s="23"/>
    </row>
    <row r="412" spans="1:7" ht="18" hidden="1" customHeight="1" outlineLevel="2" x14ac:dyDescent="0.2">
      <c r="A412" s="18"/>
      <c r="B412" s="19" t="s">
        <v>223</v>
      </c>
      <c r="C412" s="18" t="s">
        <v>938</v>
      </c>
      <c r="D412" s="19" t="s">
        <v>922</v>
      </c>
      <c r="E412" s="36" t="s">
        <v>945</v>
      </c>
      <c r="F412" s="19" t="s">
        <v>742</v>
      </c>
      <c r="G412" s="23"/>
    </row>
    <row r="413" spans="1:7" ht="18" hidden="1" customHeight="1" outlineLevel="2" x14ac:dyDescent="0.2">
      <c r="A413" s="18"/>
      <c r="B413" s="19" t="s">
        <v>223</v>
      </c>
      <c r="C413" s="18" t="s">
        <v>938</v>
      </c>
      <c r="D413" s="19" t="s">
        <v>924</v>
      </c>
      <c r="E413" s="36" t="s">
        <v>946</v>
      </c>
      <c r="F413" s="19" t="s">
        <v>742</v>
      </c>
      <c r="G413" s="23"/>
    </row>
    <row r="414" spans="1:7" ht="18" hidden="1" customHeight="1" outlineLevel="2" x14ac:dyDescent="0.2">
      <c r="A414" s="18"/>
      <c r="B414" s="19" t="s">
        <v>223</v>
      </c>
      <c r="C414" s="18" t="s">
        <v>938</v>
      </c>
      <c r="D414" s="19" t="s">
        <v>926</v>
      </c>
      <c r="E414" s="36" t="s">
        <v>947</v>
      </c>
      <c r="F414" s="19" t="s">
        <v>742</v>
      </c>
      <c r="G414" s="23"/>
    </row>
    <row r="415" spans="1:7" ht="18" hidden="1" customHeight="1" outlineLevel="2" x14ac:dyDescent="0.2">
      <c r="A415" s="18"/>
      <c r="B415" s="19"/>
      <c r="C415" s="18"/>
      <c r="D415" s="19"/>
      <c r="E415" s="36"/>
      <c r="F415" s="19"/>
      <c r="G415" s="23"/>
    </row>
    <row r="416" spans="1:7" ht="18" hidden="1" customHeight="1" outlineLevel="2" x14ac:dyDescent="0.2">
      <c r="A416" s="18"/>
      <c r="B416" s="19" t="s">
        <v>223</v>
      </c>
      <c r="C416" s="18" t="s">
        <v>948</v>
      </c>
      <c r="D416" s="19" t="s">
        <v>949</v>
      </c>
      <c r="E416" s="36" t="s">
        <v>950</v>
      </c>
      <c r="F416" s="19" t="s">
        <v>742</v>
      </c>
      <c r="G416" s="23"/>
    </row>
    <row r="417" spans="1:7" ht="18" hidden="1" customHeight="1" outlineLevel="2" x14ac:dyDescent="0.2">
      <c r="A417" s="18"/>
      <c r="B417" s="19" t="s">
        <v>223</v>
      </c>
      <c r="C417" s="18" t="s">
        <v>948</v>
      </c>
      <c r="D417" s="19" t="s">
        <v>951</v>
      </c>
      <c r="E417" s="36" t="s">
        <v>952</v>
      </c>
      <c r="F417" s="19" t="s">
        <v>742</v>
      </c>
      <c r="G417" s="23"/>
    </row>
    <row r="418" spans="1:7" ht="18" hidden="1" customHeight="1" outlineLevel="2" x14ac:dyDescent="0.2">
      <c r="A418" s="18"/>
      <c r="B418" s="19" t="s">
        <v>223</v>
      </c>
      <c r="C418" s="18" t="s">
        <v>948</v>
      </c>
      <c r="D418" s="19" t="s">
        <v>953</v>
      </c>
      <c r="E418" s="36" t="s">
        <v>954</v>
      </c>
      <c r="F418" s="19" t="s">
        <v>742</v>
      </c>
      <c r="G418" s="23"/>
    </row>
    <row r="419" spans="1:7" ht="18" hidden="1" customHeight="1" outlineLevel="2" x14ac:dyDescent="0.2">
      <c r="A419" s="18"/>
      <c r="B419" s="19" t="s">
        <v>223</v>
      </c>
      <c r="C419" s="18" t="s">
        <v>948</v>
      </c>
      <c r="D419" s="19" t="s">
        <v>955</v>
      </c>
      <c r="E419" s="36" t="s">
        <v>956</v>
      </c>
      <c r="F419" s="19" t="s">
        <v>742</v>
      </c>
      <c r="G419" s="23"/>
    </row>
    <row r="420" spans="1:7" ht="18" hidden="1" customHeight="1" outlineLevel="2" x14ac:dyDescent="0.2">
      <c r="A420" s="18"/>
      <c r="B420" s="19" t="s">
        <v>223</v>
      </c>
      <c r="C420" s="18" t="s">
        <v>948</v>
      </c>
      <c r="D420" s="19" t="s">
        <v>957</v>
      </c>
      <c r="E420" s="36" t="s">
        <v>958</v>
      </c>
      <c r="F420" s="19" t="s">
        <v>742</v>
      </c>
      <c r="G420" s="23"/>
    </row>
    <row r="421" spans="1:7" ht="18" hidden="1" customHeight="1" outlineLevel="2" x14ac:dyDescent="0.2">
      <c r="A421" s="18"/>
      <c r="B421" s="19" t="s">
        <v>223</v>
      </c>
      <c r="C421" s="18" t="s">
        <v>948</v>
      </c>
      <c r="D421" s="19" t="s">
        <v>959</v>
      </c>
      <c r="E421" s="36" t="s">
        <v>960</v>
      </c>
      <c r="F421" s="19" t="s">
        <v>742</v>
      </c>
      <c r="G421" s="23"/>
    </row>
    <row r="422" spans="1:7" ht="18" hidden="1" customHeight="1" outlineLevel="2" x14ac:dyDescent="0.2">
      <c r="A422" s="18"/>
      <c r="B422" s="19" t="s">
        <v>223</v>
      </c>
      <c r="C422" s="18" t="s">
        <v>948</v>
      </c>
      <c r="D422" s="19" t="s">
        <v>961</v>
      </c>
      <c r="E422" s="36" t="s">
        <v>962</v>
      </c>
      <c r="F422" s="19" t="s">
        <v>742</v>
      </c>
      <c r="G422" s="23"/>
    </row>
    <row r="423" spans="1:7" ht="18" hidden="1" customHeight="1" outlineLevel="2" x14ac:dyDescent="0.2">
      <c r="A423" s="18"/>
      <c r="B423" s="19" t="s">
        <v>223</v>
      </c>
      <c r="C423" s="18" t="s">
        <v>948</v>
      </c>
      <c r="D423" s="19" t="s">
        <v>963</v>
      </c>
      <c r="E423" s="36" t="s">
        <v>964</v>
      </c>
      <c r="F423" s="19" t="s">
        <v>742</v>
      </c>
      <c r="G423" s="23"/>
    </row>
    <row r="424" spans="1:7" ht="18" hidden="1" customHeight="1" outlineLevel="2" x14ac:dyDescent="0.2">
      <c r="A424" s="18"/>
      <c r="B424" s="19" t="s">
        <v>223</v>
      </c>
      <c r="C424" s="18" t="s">
        <v>948</v>
      </c>
      <c r="D424" s="19" t="s">
        <v>965</v>
      </c>
      <c r="E424" s="36" t="s">
        <v>966</v>
      </c>
      <c r="F424" s="19" t="s">
        <v>742</v>
      </c>
      <c r="G424" s="23"/>
    </row>
    <row r="425" spans="1:7" ht="18" hidden="1" customHeight="1" outlineLevel="2" x14ac:dyDescent="0.2">
      <c r="A425" s="18"/>
      <c r="B425" s="19"/>
      <c r="C425" s="18"/>
      <c r="D425" s="19"/>
      <c r="E425" s="36"/>
      <c r="F425" s="19"/>
      <c r="G425" s="23"/>
    </row>
    <row r="426" spans="1:7" ht="18" hidden="1" customHeight="1" outlineLevel="2" x14ac:dyDescent="0.2">
      <c r="A426" s="18"/>
      <c r="B426" s="19" t="s">
        <v>223</v>
      </c>
      <c r="C426" s="18" t="s">
        <v>848</v>
      </c>
      <c r="D426" s="19" t="s">
        <v>967</v>
      </c>
      <c r="E426" s="36" t="s">
        <v>968</v>
      </c>
      <c r="F426" s="19" t="s">
        <v>742</v>
      </c>
      <c r="G426" s="23"/>
    </row>
    <row r="427" spans="1:7" ht="18" hidden="1" customHeight="1" outlineLevel="2" x14ac:dyDescent="0.2">
      <c r="A427" s="18"/>
      <c r="B427" s="19" t="s">
        <v>223</v>
      </c>
      <c r="C427" s="18" t="s">
        <v>848</v>
      </c>
      <c r="D427" s="19" t="s">
        <v>969</v>
      </c>
      <c r="E427" s="36" t="s">
        <v>970</v>
      </c>
      <c r="F427" s="19" t="s">
        <v>742</v>
      </c>
      <c r="G427" s="23"/>
    </row>
    <row r="428" spans="1:7" ht="18" hidden="1" customHeight="1" outlineLevel="2" x14ac:dyDescent="0.2">
      <c r="A428" s="18"/>
      <c r="B428" s="19" t="s">
        <v>223</v>
      </c>
      <c r="C428" s="18" t="s">
        <v>848</v>
      </c>
      <c r="D428" s="19" t="s">
        <v>971</v>
      </c>
      <c r="E428" s="36" t="s">
        <v>972</v>
      </c>
      <c r="F428" s="19" t="s">
        <v>742</v>
      </c>
      <c r="G428" s="23"/>
    </row>
    <row r="429" spans="1:7" ht="18" hidden="1" customHeight="1" outlineLevel="2" x14ac:dyDescent="0.2">
      <c r="A429" s="18"/>
      <c r="B429" s="19" t="s">
        <v>223</v>
      </c>
      <c r="C429" s="18" t="s">
        <v>848</v>
      </c>
      <c r="D429" s="19" t="s">
        <v>849</v>
      </c>
      <c r="E429" s="36" t="s">
        <v>850</v>
      </c>
      <c r="F429" s="19" t="s">
        <v>742</v>
      </c>
      <c r="G429" s="23" t="s">
        <v>851</v>
      </c>
    </row>
    <row r="430" spans="1:7" ht="18" hidden="1" customHeight="1" outlineLevel="2" x14ac:dyDescent="0.2">
      <c r="A430" s="18"/>
      <c r="B430" s="19" t="s">
        <v>223</v>
      </c>
      <c r="C430" s="18" t="s">
        <v>848</v>
      </c>
      <c r="D430" s="19" t="s">
        <v>973</v>
      </c>
      <c r="E430" s="36" t="s">
        <v>974</v>
      </c>
      <c r="F430" s="19" t="s">
        <v>742</v>
      </c>
      <c r="G430" s="23"/>
    </row>
    <row r="431" spans="1:7" ht="18" hidden="1" customHeight="1" outlineLevel="2" x14ac:dyDescent="0.2">
      <c r="A431" s="18"/>
      <c r="B431" s="19" t="s">
        <v>223</v>
      </c>
      <c r="C431" s="18" t="s">
        <v>848</v>
      </c>
      <c r="D431" s="19" t="s">
        <v>975</v>
      </c>
      <c r="E431" s="36" t="s">
        <v>976</v>
      </c>
      <c r="F431" s="19" t="s">
        <v>742</v>
      </c>
      <c r="G431" s="23"/>
    </row>
    <row r="432" spans="1:7" ht="18" hidden="1" customHeight="1" outlineLevel="2" x14ac:dyDescent="0.2">
      <c r="A432" s="18"/>
      <c r="B432" s="19" t="s">
        <v>223</v>
      </c>
      <c r="C432" s="18" t="s">
        <v>848</v>
      </c>
      <c r="D432" s="19" t="s">
        <v>977</v>
      </c>
      <c r="E432" s="36" t="s">
        <v>978</v>
      </c>
      <c r="F432" s="19" t="s">
        <v>742</v>
      </c>
      <c r="G432" s="23"/>
    </row>
    <row r="433" spans="1:7" ht="18" hidden="1" customHeight="1" outlineLevel="2" x14ac:dyDescent="0.2">
      <c r="A433" s="18"/>
      <c r="B433" s="19" t="s">
        <v>223</v>
      </c>
      <c r="C433" s="18" t="s">
        <v>848</v>
      </c>
      <c r="D433" s="19" t="s">
        <v>979</v>
      </c>
      <c r="E433" s="36" t="s">
        <v>980</v>
      </c>
      <c r="F433" s="19" t="s">
        <v>742</v>
      </c>
      <c r="G433" s="23"/>
    </row>
    <row r="434" spans="1:7" ht="18" hidden="1" customHeight="1" outlineLevel="2" x14ac:dyDescent="0.2">
      <c r="A434" s="18"/>
      <c r="B434" s="19" t="s">
        <v>223</v>
      </c>
      <c r="C434" s="18" t="s">
        <v>848</v>
      </c>
      <c r="D434" s="19" t="s">
        <v>981</v>
      </c>
      <c r="E434" s="36" t="s">
        <v>982</v>
      </c>
      <c r="F434" s="19" t="s">
        <v>742</v>
      </c>
      <c r="G434" s="23"/>
    </row>
    <row r="435" spans="1:7" ht="18" hidden="1" customHeight="1" outlineLevel="2" x14ac:dyDescent="0.2">
      <c r="A435" s="18"/>
      <c r="B435" s="19" t="s">
        <v>223</v>
      </c>
      <c r="C435" s="18" t="s">
        <v>848</v>
      </c>
      <c r="D435" s="19" t="s">
        <v>983</v>
      </c>
      <c r="E435" s="36" t="s">
        <v>984</v>
      </c>
      <c r="F435" s="19" t="s">
        <v>742</v>
      </c>
      <c r="G435" s="23"/>
    </row>
    <row r="436" spans="1:7" ht="18" hidden="1" customHeight="1" outlineLevel="2" x14ac:dyDescent="0.2">
      <c r="A436" s="18"/>
      <c r="B436" s="19" t="s">
        <v>223</v>
      </c>
      <c r="C436" s="18" t="s">
        <v>848</v>
      </c>
      <c r="D436" s="19" t="s">
        <v>985</v>
      </c>
      <c r="E436" s="36" t="s">
        <v>986</v>
      </c>
      <c r="F436" s="19" t="s">
        <v>742</v>
      </c>
      <c r="G436" s="23"/>
    </row>
    <row r="437" spans="1:7" ht="18" hidden="1" customHeight="1" outlineLevel="2" x14ac:dyDescent="0.2">
      <c r="A437" s="18"/>
      <c r="B437" s="19" t="s">
        <v>223</v>
      </c>
      <c r="C437" s="18" t="s">
        <v>848</v>
      </c>
      <c r="D437" s="19" t="s">
        <v>987</v>
      </c>
      <c r="E437" s="36" t="s">
        <v>988</v>
      </c>
      <c r="F437" s="19" t="s">
        <v>742</v>
      </c>
      <c r="G437" s="23"/>
    </row>
    <row r="438" spans="1:7" ht="18" hidden="1" customHeight="1" outlineLevel="2" x14ac:dyDescent="0.2">
      <c r="A438" s="18"/>
      <c r="B438" s="19" t="s">
        <v>223</v>
      </c>
      <c r="C438" s="18" t="s">
        <v>848</v>
      </c>
      <c r="D438" s="19" t="s">
        <v>989</v>
      </c>
      <c r="E438" s="36" t="s">
        <v>990</v>
      </c>
      <c r="F438" s="19" t="s">
        <v>742</v>
      </c>
      <c r="G438" s="23"/>
    </row>
    <row r="439" spans="1:7" ht="18" hidden="1" customHeight="1" outlineLevel="2" x14ac:dyDescent="0.2">
      <c r="A439" s="18"/>
      <c r="B439" s="19" t="s">
        <v>223</v>
      </c>
      <c r="C439" s="18" t="s">
        <v>848</v>
      </c>
      <c r="D439" s="19" t="s">
        <v>991</v>
      </c>
      <c r="E439" s="36" t="s">
        <v>992</v>
      </c>
      <c r="F439" s="19" t="s">
        <v>742</v>
      </c>
      <c r="G439" s="23"/>
    </row>
    <row r="440" spans="1:7" ht="18" hidden="1" customHeight="1" outlineLevel="2" x14ac:dyDescent="0.2">
      <c r="A440" s="18"/>
      <c r="B440" s="19" t="s">
        <v>223</v>
      </c>
      <c r="C440" s="18" t="s">
        <v>848</v>
      </c>
      <c r="D440" s="19" t="s">
        <v>993</v>
      </c>
      <c r="E440" s="36" t="s">
        <v>994</v>
      </c>
      <c r="F440" s="19" t="s">
        <v>742</v>
      </c>
      <c r="G440" s="23"/>
    </row>
    <row r="441" spans="1:7" ht="18" hidden="1" customHeight="1" outlineLevel="2" x14ac:dyDescent="0.2">
      <c r="A441" s="18"/>
      <c r="B441" s="19" t="s">
        <v>223</v>
      </c>
      <c r="C441" s="18" t="s">
        <v>848</v>
      </c>
      <c r="D441" s="19" t="s">
        <v>995</v>
      </c>
      <c r="E441" s="36" t="s">
        <v>996</v>
      </c>
      <c r="F441" s="19" t="s">
        <v>742</v>
      </c>
      <c r="G441" s="23"/>
    </row>
    <row r="442" spans="1:7" ht="18" hidden="1" customHeight="1" outlineLevel="2" x14ac:dyDescent="0.2">
      <c r="A442" s="18"/>
      <c r="B442" s="19" t="s">
        <v>223</v>
      </c>
      <c r="C442" s="18" t="s">
        <v>848</v>
      </c>
      <c r="D442" s="19" t="s">
        <v>997</v>
      </c>
      <c r="E442" s="36" t="s">
        <v>998</v>
      </c>
      <c r="F442" s="19" t="s">
        <v>742</v>
      </c>
      <c r="G442" s="23"/>
    </row>
    <row r="443" spans="1:7" ht="18" hidden="1" customHeight="1" outlineLevel="2" x14ac:dyDescent="0.2">
      <c r="A443" s="18"/>
      <c r="B443" s="19" t="s">
        <v>223</v>
      </c>
      <c r="C443" s="18" t="s">
        <v>848</v>
      </c>
      <c r="D443" s="19" t="s">
        <v>999</v>
      </c>
      <c r="E443" s="36" t="s">
        <v>1000</v>
      </c>
      <c r="F443" s="19" t="s">
        <v>742</v>
      </c>
      <c r="G443" s="23"/>
    </row>
    <row r="444" spans="1:7" ht="18" hidden="1" customHeight="1" outlineLevel="2" x14ac:dyDescent="0.2">
      <c r="A444" s="18"/>
      <c r="B444" s="19" t="s">
        <v>223</v>
      </c>
      <c r="C444" s="18" t="s">
        <v>848</v>
      </c>
      <c r="D444" s="19" t="s">
        <v>1001</v>
      </c>
      <c r="E444" s="36" t="s">
        <v>1002</v>
      </c>
      <c r="F444" s="19" t="s">
        <v>742</v>
      </c>
      <c r="G444" s="23"/>
    </row>
    <row r="445" spans="1:7" ht="18" hidden="1" customHeight="1" outlineLevel="2" x14ac:dyDescent="0.2">
      <c r="A445" s="18"/>
      <c r="B445" s="19" t="s">
        <v>223</v>
      </c>
      <c r="C445" s="18" t="s">
        <v>848</v>
      </c>
      <c r="D445" s="19" t="s">
        <v>1003</v>
      </c>
      <c r="E445" s="36" t="s">
        <v>1004</v>
      </c>
      <c r="F445" s="19" t="s">
        <v>742</v>
      </c>
      <c r="G445" s="23"/>
    </row>
    <row r="446" spans="1:7" ht="18" hidden="1" customHeight="1" outlineLevel="2" x14ac:dyDescent="0.2">
      <c r="A446" s="18"/>
      <c r="B446" s="19" t="s">
        <v>223</v>
      </c>
      <c r="C446" s="18" t="s">
        <v>848</v>
      </c>
      <c r="D446" s="19" t="s">
        <v>1005</v>
      </c>
      <c r="E446" s="36" t="s">
        <v>1006</v>
      </c>
      <c r="F446" s="19" t="s">
        <v>742</v>
      </c>
      <c r="G446" s="23"/>
    </row>
    <row r="447" spans="1:7" ht="18" hidden="1" customHeight="1" outlineLevel="2" x14ac:dyDescent="0.2">
      <c r="A447" s="18"/>
      <c r="B447" s="19" t="s">
        <v>223</v>
      </c>
      <c r="C447" s="18" t="s">
        <v>848</v>
      </c>
      <c r="D447" s="19" t="s">
        <v>1007</v>
      </c>
      <c r="E447" s="36" t="s">
        <v>1008</v>
      </c>
      <c r="F447" s="19" t="s">
        <v>742</v>
      </c>
      <c r="G447" s="23"/>
    </row>
    <row r="448" spans="1:7" ht="18" hidden="1" customHeight="1" outlineLevel="2" x14ac:dyDescent="0.2">
      <c r="A448" s="18"/>
      <c r="B448" s="19" t="s">
        <v>223</v>
      </c>
      <c r="C448" s="18" t="s">
        <v>848</v>
      </c>
      <c r="D448" s="19" t="s">
        <v>1009</v>
      </c>
      <c r="E448" s="36" t="s">
        <v>1010</v>
      </c>
      <c r="F448" s="19" t="s">
        <v>742</v>
      </c>
      <c r="G448" s="23"/>
    </row>
    <row r="449" spans="1:7" ht="18" hidden="1" customHeight="1" outlineLevel="2" x14ac:dyDescent="0.2">
      <c r="A449" s="18"/>
      <c r="B449" s="19" t="s">
        <v>223</v>
      </c>
      <c r="C449" s="18" t="s">
        <v>848</v>
      </c>
      <c r="D449" s="19" t="s">
        <v>1011</v>
      </c>
      <c r="E449" s="36" t="s">
        <v>1012</v>
      </c>
      <c r="F449" s="19" t="s">
        <v>742</v>
      </c>
      <c r="G449" s="23"/>
    </row>
    <row r="450" spans="1:7" ht="18" hidden="1" customHeight="1" outlineLevel="2" x14ac:dyDescent="0.2">
      <c r="A450" s="18"/>
      <c r="B450" s="19"/>
      <c r="C450" s="18"/>
      <c r="D450" s="19"/>
      <c r="E450" s="36"/>
      <c r="F450" s="19"/>
      <c r="G450" s="23"/>
    </row>
    <row r="451" spans="1:7" ht="18" hidden="1" customHeight="1" outlineLevel="2" x14ac:dyDescent="0.2">
      <c r="A451" s="18"/>
      <c r="B451" s="19" t="s">
        <v>223</v>
      </c>
      <c r="C451" s="18" t="s">
        <v>1013</v>
      </c>
      <c r="D451" s="19" t="s">
        <v>967</v>
      </c>
      <c r="E451" s="36" t="s">
        <v>1014</v>
      </c>
      <c r="F451" s="19" t="s">
        <v>742</v>
      </c>
      <c r="G451" s="23"/>
    </row>
    <row r="452" spans="1:7" ht="18" hidden="1" customHeight="1" outlineLevel="2" x14ac:dyDescent="0.2">
      <c r="A452" s="18"/>
      <c r="B452" s="19" t="s">
        <v>223</v>
      </c>
      <c r="C452" s="18" t="s">
        <v>1013</v>
      </c>
      <c r="D452" s="19" t="s">
        <v>1015</v>
      </c>
      <c r="E452" s="36" t="s">
        <v>1016</v>
      </c>
      <c r="F452" s="19" t="s">
        <v>742</v>
      </c>
      <c r="G452" s="23"/>
    </row>
    <row r="453" spans="1:7" ht="18" hidden="1" customHeight="1" outlineLevel="2" x14ac:dyDescent="0.2">
      <c r="A453" s="18"/>
      <c r="B453" s="19" t="s">
        <v>223</v>
      </c>
      <c r="C453" s="18" t="s">
        <v>1013</v>
      </c>
      <c r="D453" s="19" t="s">
        <v>849</v>
      </c>
      <c r="E453" s="36" t="s">
        <v>1017</v>
      </c>
      <c r="F453" s="19" t="s">
        <v>742</v>
      </c>
      <c r="G453" s="23"/>
    </row>
    <row r="454" spans="1:7" ht="18" hidden="1" customHeight="1" outlineLevel="2" x14ac:dyDescent="0.2">
      <c r="A454" s="18"/>
      <c r="B454" s="19" t="s">
        <v>223</v>
      </c>
      <c r="C454" s="18" t="s">
        <v>1013</v>
      </c>
      <c r="D454" s="19" t="s">
        <v>1018</v>
      </c>
      <c r="E454" s="36" t="s">
        <v>1019</v>
      </c>
      <c r="F454" s="19" t="s">
        <v>742</v>
      </c>
      <c r="G454" s="23"/>
    </row>
    <row r="455" spans="1:7" ht="18" hidden="1" customHeight="1" outlineLevel="2" x14ac:dyDescent="0.2">
      <c r="A455" s="18"/>
      <c r="B455" s="19" t="s">
        <v>223</v>
      </c>
      <c r="C455" s="18" t="s">
        <v>1013</v>
      </c>
      <c r="D455" s="19" t="s">
        <v>975</v>
      </c>
      <c r="E455" s="36" t="s">
        <v>1020</v>
      </c>
      <c r="F455" s="19" t="s">
        <v>742</v>
      </c>
      <c r="G455" s="23"/>
    </row>
    <row r="456" spans="1:7" ht="18" hidden="1" customHeight="1" outlineLevel="2" x14ac:dyDescent="0.2">
      <c r="A456" s="18"/>
      <c r="B456" s="19" t="s">
        <v>223</v>
      </c>
      <c r="C456" s="18" t="s">
        <v>1013</v>
      </c>
      <c r="D456" s="19" t="s">
        <v>977</v>
      </c>
      <c r="E456" s="36" t="s">
        <v>1021</v>
      </c>
      <c r="F456" s="19" t="s">
        <v>742</v>
      </c>
      <c r="G456" s="23"/>
    </row>
    <row r="457" spans="1:7" ht="18" hidden="1" customHeight="1" outlineLevel="2" x14ac:dyDescent="0.2">
      <c r="A457" s="18"/>
      <c r="B457" s="19" t="s">
        <v>223</v>
      </c>
      <c r="C457" s="18" t="s">
        <v>1013</v>
      </c>
      <c r="D457" s="19" t="s">
        <v>1022</v>
      </c>
      <c r="E457" s="36" t="s">
        <v>1023</v>
      </c>
      <c r="F457" s="19" t="s">
        <v>742</v>
      </c>
      <c r="G457" s="23"/>
    </row>
    <row r="458" spans="1:7" ht="18" hidden="1" customHeight="1" outlineLevel="2" x14ac:dyDescent="0.2">
      <c r="A458" s="18"/>
      <c r="B458" s="19" t="s">
        <v>223</v>
      </c>
      <c r="C458" s="18" t="s">
        <v>1013</v>
      </c>
      <c r="D458" s="19" t="s">
        <v>979</v>
      </c>
      <c r="E458" s="36" t="s">
        <v>1024</v>
      </c>
      <c r="F458" s="19" t="s">
        <v>742</v>
      </c>
      <c r="G458" s="23"/>
    </row>
    <row r="459" spans="1:7" ht="18" hidden="1" customHeight="1" outlineLevel="2" x14ac:dyDescent="0.2">
      <c r="A459" s="18"/>
      <c r="B459" s="19" t="s">
        <v>223</v>
      </c>
      <c r="C459" s="18" t="s">
        <v>1013</v>
      </c>
      <c r="D459" s="19" t="s">
        <v>981</v>
      </c>
      <c r="E459" s="36" t="s">
        <v>1025</v>
      </c>
      <c r="F459" s="19" t="s">
        <v>742</v>
      </c>
      <c r="G459" s="23"/>
    </row>
    <row r="460" spans="1:7" ht="18" hidden="1" customHeight="1" outlineLevel="2" x14ac:dyDescent="0.2">
      <c r="A460" s="18"/>
      <c r="B460" s="19" t="s">
        <v>223</v>
      </c>
      <c r="C460" s="18" t="s">
        <v>1013</v>
      </c>
      <c r="D460" s="19" t="s">
        <v>983</v>
      </c>
      <c r="E460" s="36" t="s">
        <v>1026</v>
      </c>
      <c r="F460" s="19" t="s">
        <v>742</v>
      </c>
      <c r="G460" s="23"/>
    </row>
    <row r="461" spans="1:7" ht="18" hidden="1" customHeight="1" outlineLevel="2" x14ac:dyDescent="0.2">
      <c r="A461" s="18"/>
      <c r="B461" s="19" t="s">
        <v>223</v>
      </c>
      <c r="C461" s="18" t="s">
        <v>1013</v>
      </c>
      <c r="D461" s="19" t="s">
        <v>1027</v>
      </c>
      <c r="E461" s="36" t="s">
        <v>1028</v>
      </c>
      <c r="F461" s="19" t="s">
        <v>742</v>
      </c>
      <c r="G461" s="23"/>
    </row>
    <row r="462" spans="1:7" ht="18" hidden="1" customHeight="1" outlineLevel="2" x14ac:dyDescent="0.2">
      <c r="A462" s="18"/>
      <c r="B462" s="19" t="s">
        <v>223</v>
      </c>
      <c r="C462" s="18" t="s">
        <v>1013</v>
      </c>
      <c r="D462" s="19" t="s">
        <v>989</v>
      </c>
      <c r="E462" s="36" t="s">
        <v>1029</v>
      </c>
      <c r="F462" s="19" t="s">
        <v>742</v>
      </c>
      <c r="G462" s="23"/>
    </row>
    <row r="463" spans="1:7" ht="18" hidden="1" customHeight="1" outlineLevel="2" x14ac:dyDescent="0.2">
      <c r="A463" s="18"/>
      <c r="B463" s="19" t="s">
        <v>223</v>
      </c>
      <c r="C463" s="18" t="s">
        <v>1013</v>
      </c>
      <c r="D463" s="19" t="s">
        <v>991</v>
      </c>
      <c r="E463" s="36" t="s">
        <v>1030</v>
      </c>
      <c r="F463" s="19" t="s">
        <v>742</v>
      </c>
      <c r="G463" s="23"/>
    </row>
    <row r="464" spans="1:7" ht="18" hidden="1" customHeight="1" outlineLevel="2" x14ac:dyDescent="0.2">
      <c r="A464" s="18"/>
      <c r="B464" s="19" t="s">
        <v>223</v>
      </c>
      <c r="C464" s="18" t="s">
        <v>1013</v>
      </c>
      <c r="D464" s="19" t="s">
        <v>1031</v>
      </c>
      <c r="E464" s="36" t="s">
        <v>1032</v>
      </c>
      <c r="F464" s="19" t="s">
        <v>742</v>
      </c>
      <c r="G464" s="23"/>
    </row>
    <row r="465" spans="1:7" ht="18" hidden="1" customHeight="1" outlineLevel="2" x14ac:dyDescent="0.2">
      <c r="A465" s="18"/>
      <c r="B465" s="19" t="s">
        <v>223</v>
      </c>
      <c r="C465" s="18" t="s">
        <v>1013</v>
      </c>
      <c r="D465" s="19" t="s">
        <v>1001</v>
      </c>
      <c r="E465" s="36" t="s">
        <v>1033</v>
      </c>
      <c r="F465" s="19" t="s">
        <v>742</v>
      </c>
      <c r="G465" s="23"/>
    </row>
    <row r="466" spans="1:7" ht="18" hidden="1" customHeight="1" outlineLevel="2" x14ac:dyDescent="0.2">
      <c r="A466" s="18"/>
      <c r="B466" s="19" t="s">
        <v>223</v>
      </c>
      <c r="C466" s="18" t="s">
        <v>1013</v>
      </c>
      <c r="D466" s="19" t="s">
        <v>1034</v>
      </c>
      <c r="E466" s="36" t="s">
        <v>1035</v>
      </c>
      <c r="F466" s="19" t="s">
        <v>742</v>
      </c>
      <c r="G466" s="23"/>
    </row>
    <row r="467" spans="1:7" ht="18" hidden="1" customHeight="1" outlineLevel="2" x14ac:dyDescent="0.2">
      <c r="A467" s="18"/>
      <c r="B467" s="19" t="s">
        <v>223</v>
      </c>
      <c r="C467" s="18" t="s">
        <v>1013</v>
      </c>
      <c r="D467" s="19" t="s">
        <v>1009</v>
      </c>
      <c r="E467" s="36" t="s">
        <v>1036</v>
      </c>
      <c r="F467" s="19" t="s">
        <v>742</v>
      </c>
      <c r="G467" s="23"/>
    </row>
    <row r="468" spans="1:7" ht="18" hidden="1" customHeight="1" outlineLevel="2" x14ac:dyDescent="0.2">
      <c r="A468" s="18"/>
      <c r="B468" s="19" t="s">
        <v>223</v>
      </c>
      <c r="C468" s="18" t="s">
        <v>1013</v>
      </c>
      <c r="D468" s="19" t="s">
        <v>1011</v>
      </c>
      <c r="E468" s="36" t="s">
        <v>1037</v>
      </c>
      <c r="F468" s="19" t="s">
        <v>742</v>
      </c>
      <c r="G468" s="23"/>
    </row>
    <row r="469" spans="1:7" ht="18" hidden="1" customHeight="1" outlineLevel="2" x14ac:dyDescent="0.2">
      <c r="A469" s="18"/>
      <c r="B469" s="19" t="s">
        <v>223</v>
      </c>
      <c r="C469" s="18" t="s">
        <v>1013</v>
      </c>
      <c r="D469" s="19" t="s">
        <v>1038</v>
      </c>
      <c r="E469" s="36" t="s">
        <v>1039</v>
      </c>
      <c r="F469" s="19" t="s">
        <v>742</v>
      </c>
      <c r="G469" s="23"/>
    </row>
    <row r="470" spans="1:7" ht="18" hidden="1" customHeight="1" outlineLevel="2" x14ac:dyDescent="0.2">
      <c r="A470" s="18"/>
      <c r="B470" s="19"/>
      <c r="C470" s="18"/>
      <c r="D470" s="19"/>
      <c r="E470" s="36"/>
      <c r="F470" s="19"/>
      <c r="G470" s="23"/>
    </row>
    <row r="471" spans="1:7" ht="18" hidden="1" customHeight="1" outlineLevel="2" x14ac:dyDescent="0.2">
      <c r="A471" s="18"/>
      <c r="B471" s="19" t="s">
        <v>223</v>
      </c>
      <c r="C471" s="18" t="s">
        <v>1040</v>
      </c>
      <c r="D471" s="19" t="s">
        <v>909</v>
      </c>
      <c r="E471" s="36" t="s">
        <v>1041</v>
      </c>
      <c r="F471" s="19" t="s">
        <v>742</v>
      </c>
      <c r="G471" s="23"/>
    </row>
    <row r="472" spans="1:7" ht="18" hidden="1" customHeight="1" outlineLevel="2" x14ac:dyDescent="0.2">
      <c r="A472" s="18"/>
      <c r="B472" s="19" t="s">
        <v>223</v>
      </c>
      <c r="C472" s="18" t="s">
        <v>1040</v>
      </c>
      <c r="D472" s="19" t="s">
        <v>912</v>
      </c>
      <c r="E472" s="36" t="s">
        <v>1042</v>
      </c>
      <c r="F472" s="19" t="s">
        <v>742</v>
      </c>
      <c r="G472" s="23"/>
    </row>
    <row r="473" spans="1:7" ht="18" hidden="1" customHeight="1" outlineLevel="2" x14ac:dyDescent="0.2">
      <c r="A473" s="18"/>
      <c r="B473" s="19" t="s">
        <v>223</v>
      </c>
      <c r="C473" s="18" t="s">
        <v>1040</v>
      </c>
      <c r="D473" s="19" t="s">
        <v>914</v>
      </c>
      <c r="E473" s="36" t="s">
        <v>1043</v>
      </c>
      <c r="F473" s="19" t="s">
        <v>742</v>
      </c>
      <c r="G473" s="23"/>
    </row>
    <row r="474" spans="1:7" ht="18" hidden="1" customHeight="1" outlineLevel="2" x14ac:dyDescent="0.2">
      <c r="A474" s="18"/>
      <c r="B474" s="19" t="s">
        <v>223</v>
      </c>
      <c r="C474" s="18" t="s">
        <v>1040</v>
      </c>
      <c r="D474" s="19" t="s">
        <v>916</v>
      </c>
      <c r="E474" s="36" t="s">
        <v>1044</v>
      </c>
      <c r="F474" s="19" t="s">
        <v>742</v>
      </c>
      <c r="G474" s="23"/>
    </row>
    <row r="475" spans="1:7" ht="18" hidden="1" customHeight="1" outlineLevel="2" x14ac:dyDescent="0.2">
      <c r="A475" s="18"/>
      <c r="B475" s="19" t="s">
        <v>223</v>
      </c>
      <c r="C475" s="18" t="s">
        <v>1040</v>
      </c>
      <c r="D475" s="19" t="s">
        <v>918</v>
      </c>
      <c r="E475" s="36" t="s">
        <v>1045</v>
      </c>
      <c r="F475" s="19" t="s">
        <v>742</v>
      </c>
      <c r="G475" s="23"/>
    </row>
    <row r="476" spans="1:7" ht="18" hidden="1" customHeight="1" outlineLevel="2" x14ac:dyDescent="0.2">
      <c r="A476" s="18"/>
      <c r="B476" s="19" t="s">
        <v>223</v>
      </c>
      <c r="C476" s="18" t="s">
        <v>1040</v>
      </c>
      <c r="D476" s="19" t="s">
        <v>920</v>
      </c>
      <c r="E476" s="36" t="s">
        <v>1046</v>
      </c>
      <c r="F476" s="19" t="s">
        <v>742</v>
      </c>
      <c r="G476" s="23"/>
    </row>
    <row r="477" spans="1:7" ht="18" hidden="1" customHeight="1" outlineLevel="2" x14ac:dyDescent="0.2">
      <c r="A477" s="18"/>
      <c r="B477" s="19" t="s">
        <v>223</v>
      </c>
      <c r="C477" s="18" t="s">
        <v>1040</v>
      </c>
      <c r="D477" s="19" t="s">
        <v>922</v>
      </c>
      <c r="E477" s="36" t="s">
        <v>1047</v>
      </c>
      <c r="F477" s="19" t="s">
        <v>742</v>
      </c>
      <c r="G477" s="23"/>
    </row>
    <row r="478" spans="1:7" ht="18" hidden="1" customHeight="1" outlineLevel="2" x14ac:dyDescent="0.2">
      <c r="A478" s="18"/>
      <c r="B478" s="19" t="s">
        <v>223</v>
      </c>
      <c r="C478" s="18" t="s">
        <v>1040</v>
      </c>
      <c r="D478" s="19" t="s">
        <v>924</v>
      </c>
      <c r="E478" s="36" t="s">
        <v>1048</v>
      </c>
      <c r="F478" s="19" t="s">
        <v>742</v>
      </c>
      <c r="G478" s="23"/>
    </row>
    <row r="479" spans="1:7" ht="18" hidden="1" customHeight="1" outlineLevel="2" x14ac:dyDescent="0.2">
      <c r="A479" s="18"/>
      <c r="B479" s="19" t="s">
        <v>223</v>
      </c>
      <c r="C479" s="18" t="s">
        <v>1040</v>
      </c>
      <c r="D479" s="19" t="s">
        <v>926</v>
      </c>
      <c r="E479" s="36" t="s">
        <v>1049</v>
      </c>
      <c r="F479" s="19" t="s">
        <v>742</v>
      </c>
      <c r="G479" s="23"/>
    </row>
    <row r="480" spans="1:7" ht="18" hidden="1" customHeight="1" outlineLevel="2" x14ac:dyDescent="0.2">
      <c r="A480" s="18"/>
      <c r="B480" s="19"/>
      <c r="C480" s="18"/>
      <c r="D480" s="19"/>
      <c r="E480" s="36"/>
      <c r="F480" s="19"/>
      <c r="G480" s="23"/>
    </row>
    <row r="481" spans="1:7" ht="18" hidden="1" customHeight="1" outlineLevel="2" x14ac:dyDescent="0.2">
      <c r="A481" s="18"/>
      <c r="B481" s="19" t="s">
        <v>223</v>
      </c>
      <c r="C481" s="18" t="s">
        <v>1050</v>
      </c>
      <c r="D481" s="19" t="s">
        <v>1051</v>
      </c>
      <c r="E481" s="36" t="s">
        <v>1052</v>
      </c>
      <c r="F481" s="19" t="s">
        <v>742</v>
      </c>
      <c r="G481" s="23" t="s">
        <v>1053</v>
      </c>
    </row>
    <row r="482" spans="1:7" ht="18" hidden="1" customHeight="1" outlineLevel="2" x14ac:dyDescent="0.2">
      <c r="A482" s="18"/>
      <c r="B482" s="19" t="s">
        <v>223</v>
      </c>
      <c r="C482" s="18" t="s">
        <v>1050</v>
      </c>
      <c r="D482" s="19" t="s">
        <v>1054</v>
      </c>
      <c r="E482" s="36" t="s">
        <v>1055</v>
      </c>
      <c r="F482" s="19" t="s">
        <v>742</v>
      </c>
      <c r="G482" s="23" t="s">
        <v>1053</v>
      </c>
    </row>
    <row r="483" spans="1:7" ht="18" hidden="1" customHeight="1" outlineLevel="2" x14ac:dyDescent="0.2">
      <c r="A483" s="18"/>
      <c r="B483" s="19" t="s">
        <v>223</v>
      </c>
      <c r="C483" s="18" t="s">
        <v>1050</v>
      </c>
      <c r="D483" s="19" t="s">
        <v>1056</v>
      </c>
      <c r="E483" s="36" t="s">
        <v>1057</v>
      </c>
      <c r="F483" s="19" t="s">
        <v>742</v>
      </c>
      <c r="G483" s="23" t="s">
        <v>1053</v>
      </c>
    </row>
    <row r="484" spans="1:7" ht="18" hidden="1" customHeight="1" outlineLevel="2" x14ac:dyDescent="0.2">
      <c r="A484" s="18"/>
      <c r="B484" s="19" t="s">
        <v>223</v>
      </c>
      <c r="C484" s="18" t="s">
        <v>1050</v>
      </c>
      <c r="D484" s="19" t="s">
        <v>1058</v>
      </c>
      <c r="E484" s="36" t="s">
        <v>1059</v>
      </c>
      <c r="F484" s="19" t="s">
        <v>742</v>
      </c>
      <c r="G484" s="23" t="s">
        <v>1053</v>
      </c>
    </row>
    <row r="485" spans="1:7" ht="18" hidden="1" customHeight="1" outlineLevel="2" x14ac:dyDescent="0.2">
      <c r="A485" s="18"/>
      <c r="B485" s="19" t="s">
        <v>223</v>
      </c>
      <c r="C485" s="18" t="s">
        <v>1050</v>
      </c>
      <c r="D485" s="19" t="s">
        <v>1060</v>
      </c>
      <c r="E485" s="36" t="s">
        <v>1061</v>
      </c>
      <c r="F485" s="19" t="s">
        <v>742</v>
      </c>
      <c r="G485" s="23" t="s">
        <v>1053</v>
      </c>
    </row>
    <row r="486" spans="1:7" ht="18" hidden="1" customHeight="1" outlineLevel="2" x14ac:dyDescent="0.2">
      <c r="A486" s="18"/>
      <c r="B486" s="19" t="s">
        <v>223</v>
      </c>
      <c r="C486" s="18" t="s">
        <v>1050</v>
      </c>
      <c r="D486" s="19" t="s">
        <v>1062</v>
      </c>
      <c r="E486" s="36" t="s">
        <v>1063</v>
      </c>
      <c r="F486" s="19" t="s">
        <v>742</v>
      </c>
      <c r="G486" s="23" t="s">
        <v>1053</v>
      </c>
    </row>
    <row r="487" spans="1:7" ht="18" hidden="1" customHeight="1" outlineLevel="2" x14ac:dyDescent="0.2">
      <c r="A487" s="18"/>
      <c r="B487" s="19" t="s">
        <v>223</v>
      </c>
      <c r="C487" s="18" t="s">
        <v>1050</v>
      </c>
      <c r="D487" s="19" t="s">
        <v>1064</v>
      </c>
      <c r="E487" s="36" t="s">
        <v>1065</v>
      </c>
      <c r="F487" s="19" t="s">
        <v>742</v>
      </c>
      <c r="G487" s="23" t="s">
        <v>1053</v>
      </c>
    </row>
    <row r="488" spans="1:7" ht="18" hidden="1" customHeight="1" outlineLevel="2" x14ac:dyDescent="0.2">
      <c r="A488" s="18"/>
      <c r="B488" s="19" t="s">
        <v>223</v>
      </c>
      <c r="C488" s="18" t="s">
        <v>1050</v>
      </c>
      <c r="D488" s="19" t="s">
        <v>1066</v>
      </c>
      <c r="E488" s="36" t="s">
        <v>1067</v>
      </c>
      <c r="F488" s="19" t="s">
        <v>742</v>
      </c>
      <c r="G488" s="23" t="s">
        <v>1053</v>
      </c>
    </row>
    <row r="489" spans="1:7" ht="18" hidden="1" customHeight="1" outlineLevel="2" x14ac:dyDescent="0.2">
      <c r="A489" s="18"/>
      <c r="B489" s="19" t="s">
        <v>223</v>
      </c>
      <c r="C489" s="18" t="s">
        <v>1050</v>
      </c>
      <c r="D489" s="19" t="s">
        <v>1068</v>
      </c>
      <c r="E489" s="36" t="s">
        <v>1069</v>
      </c>
      <c r="F489" s="19" t="s">
        <v>742</v>
      </c>
      <c r="G489" s="23" t="s">
        <v>1053</v>
      </c>
    </row>
    <row r="490" spans="1:7" ht="18" hidden="1" customHeight="1" outlineLevel="2" x14ac:dyDescent="0.2">
      <c r="A490" s="18"/>
      <c r="B490" s="19"/>
      <c r="C490" s="18"/>
      <c r="D490" s="19"/>
      <c r="E490" s="36"/>
      <c r="F490" s="19"/>
      <c r="G490" s="23"/>
    </row>
    <row r="491" spans="1:7" ht="18" hidden="1" customHeight="1" outlineLevel="2" x14ac:dyDescent="0.2">
      <c r="A491" s="18"/>
      <c r="B491" s="19" t="s">
        <v>223</v>
      </c>
      <c r="C491" s="18" t="s">
        <v>1070</v>
      </c>
      <c r="D491" s="19" t="s">
        <v>1071</v>
      </c>
      <c r="E491" s="36" t="s">
        <v>1072</v>
      </c>
      <c r="F491" s="19" t="s">
        <v>742</v>
      </c>
      <c r="G491" s="23" t="s">
        <v>1073</v>
      </c>
    </row>
    <row r="492" spans="1:7" ht="18" hidden="1" customHeight="1" outlineLevel="2" x14ac:dyDescent="0.2">
      <c r="A492" s="18"/>
      <c r="B492" s="19" t="s">
        <v>223</v>
      </c>
      <c r="C492" s="18" t="s">
        <v>1070</v>
      </c>
      <c r="D492" s="19" t="s">
        <v>1074</v>
      </c>
      <c r="E492" s="36" t="s">
        <v>1075</v>
      </c>
      <c r="F492" s="19" t="s">
        <v>742</v>
      </c>
      <c r="G492" s="23" t="s">
        <v>1073</v>
      </c>
    </row>
    <row r="493" spans="1:7" ht="18" hidden="1" customHeight="1" outlineLevel="2" x14ac:dyDescent="0.2">
      <c r="A493" s="18"/>
      <c r="B493" s="19" t="s">
        <v>223</v>
      </c>
      <c r="C493" s="18" t="s">
        <v>1070</v>
      </c>
      <c r="D493" s="19" t="s">
        <v>1076</v>
      </c>
      <c r="E493" s="36" t="s">
        <v>1077</v>
      </c>
      <c r="F493" s="19" t="s">
        <v>742</v>
      </c>
      <c r="G493" s="23" t="s">
        <v>1073</v>
      </c>
    </row>
    <row r="494" spans="1:7" ht="18" hidden="1" customHeight="1" outlineLevel="2" x14ac:dyDescent="0.2">
      <c r="A494" s="18"/>
      <c r="B494" s="19" t="s">
        <v>223</v>
      </c>
      <c r="C494" s="18" t="s">
        <v>1070</v>
      </c>
      <c r="D494" s="19" t="s">
        <v>1078</v>
      </c>
      <c r="E494" s="36" t="s">
        <v>1079</v>
      </c>
      <c r="F494" s="19" t="s">
        <v>742</v>
      </c>
      <c r="G494" s="23" t="s">
        <v>1073</v>
      </c>
    </row>
    <row r="495" spans="1:7" ht="18" hidden="1" customHeight="1" outlineLevel="2" x14ac:dyDescent="0.2">
      <c r="A495" s="18"/>
      <c r="B495" s="19" t="s">
        <v>223</v>
      </c>
      <c r="C495" s="18" t="s">
        <v>1070</v>
      </c>
      <c r="D495" s="19" t="s">
        <v>1080</v>
      </c>
      <c r="E495" s="36" t="s">
        <v>1081</v>
      </c>
      <c r="F495" s="19" t="s">
        <v>742</v>
      </c>
      <c r="G495" s="23" t="s">
        <v>1073</v>
      </c>
    </row>
    <row r="496" spans="1:7" ht="18" hidden="1" customHeight="1" outlineLevel="2" x14ac:dyDescent="0.2">
      <c r="A496" s="18"/>
      <c r="B496" s="19" t="s">
        <v>223</v>
      </c>
      <c r="C496" s="18" t="s">
        <v>1070</v>
      </c>
      <c r="D496" s="19" t="s">
        <v>1082</v>
      </c>
      <c r="E496" s="36" t="s">
        <v>1083</v>
      </c>
      <c r="F496" s="19" t="s">
        <v>742</v>
      </c>
      <c r="G496" s="23" t="s">
        <v>1073</v>
      </c>
    </row>
    <row r="497" spans="1:7" ht="18" hidden="1" customHeight="1" outlineLevel="2" x14ac:dyDescent="0.2">
      <c r="A497" s="18"/>
      <c r="B497" s="19" t="s">
        <v>223</v>
      </c>
      <c r="C497" s="18" t="s">
        <v>1070</v>
      </c>
      <c r="D497" s="19" t="s">
        <v>1084</v>
      </c>
      <c r="E497" s="36" t="s">
        <v>1085</v>
      </c>
      <c r="F497" s="19" t="s">
        <v>742</v>
      </c>
      <c r="G497" s="23" t="s">
        <v>1073</v>
      </c>
    </row>
    <row r="498" spans="1:7" ht="18" hidden="1" customHeight="1" outlineLevel="2" x14ac:dyDescent="0.2">
      <c r="A498" s="18"/>
      <c r="B498" s="19"/>
      <c r="C498" s="18"/>
      <c r="D498" s="19"/>
      <c r="E498" s="36"/>
      <c r="F498" s="19"/>
      <c r="G498" s="23"/>
    </row>
    <row r="499" spans="1:7" ht="18" hidden="1" customHeight="1" outlineLevel="2" x14ac:dyDescent="0.2">
      <c r="A499" s="18"/>
      <c r="B499" s="19" t="s">
        <v>223</v>
      </c>
      <c r="C499" s="18" t="s">
        <v>1086</v>
      </c>
      <c r="D499" s="19" t="s">
        <v>1087</v>
      </c>
      <c r="E499" s="36" t="s">
        <v>1088</v>
      </c>
      <c r="F499" s="19" t="s">
        <v>742</v>
      </c>
      <c r="G499" s="23" t="s">
        <v>1073</v>
      </c>
    </row>
    <row r="500" spans="1:7" ht="18" hidden="1" customHeight="1" outlineLevel="2" x14ac:dyDescent="0.2">
      <c r="A500" s="18"/>
      <c r="B500" s="19" t="s">
        <v>223</v>
      </c>
      <c r="C500" s="18" t="s">
        <v>1086</v>
      </c>
      <c r="D500" s="19" t="s">
        <v>1074</v>
      </c>
      <c r="E500" s="36" t="s">
        <v>1089</v>
      </c>
      <c r="F500" s="19" t="s">
        <v>742</v>
      </c>
      <c r="G500" s="23" t="s">
        <v>1073</v>
      </c>
    </row>
    <row r="501" spans="1:7" ht="18" hidden="1" customHeight="1" outlineLevel="2" x14ac:dyDescent="0.2">
      <c r="A501" s="18"/>
      <c r="B501" s="19" t="s">
        <v>223</v>
      </c>
      <c r="C501" s="18" t="s">
        <v>1086</v>
      </c>
      <c r="D501" s="19" t="s">
        <v>1076</v>
      </c>
      <c r="E501" s="36" t="s">
        <v>1090</v>
      </c>
      <c r="F501" s="19" t="s">
        <v>742</v>
      </c>
      <c r="G501" s="23" t="s">
        <v>1073</v>
      </c>
    </row>
    <row r="502" spans="1:7" ht="18" hidden="1" customHeight="1" outlineLevel="2" x14ac:dyDescent="0.2">
      <c r="A502" s="18"/>
      <c r="B502" s="19" t="s">
        <v>223</v>
      </c>
      <c r="C502" s="18" t="s">
        <v>1086</v>
      </c>
      <c r="D502" s="19" t="s">
        <v>1078</v>
      </c>
      <c r="E502" s="36" t="s">
        <v>1091</v>
      </c>
      <c r="F502" s="19" t="s">
        <v>742</v>
      </c>
      <c r="G502" s="23" t="s">
        <v>1073</v>
      </c>
    </row>
    <row r="503" spans="1:7" ht="18" hidden="1" customHeight="1" outlineLevel="2" x14ac:dyDescent="0.2">
      <c r="A503" s="18"/>
      <c r="B503" s="19" t="s">
        <v>223</v>
      </c>
      <c r="C503" s="18" t="s">
        <v>1086</v>
      </c>
      <c r="D503" s="19" t="s">
        <v>1080</v>
      </c>
      <c r="E503" s="36" t="s">
        <v>1092</v>
      </c>
      <c r="F503" s="19" t="s">
        <v>742</v>
      </c>
      <c r="G503" s="23" t="s">
        <v>1073</v>
      </c>
    </row>
    <row r="504" spans="1:7" ht="18" hidden="1" customHeight="1" outlineLevel="2" x14ac:dyDescent="0.2">
      <c r="A504" s="18"/>
      <c r="B504" s="19" t="s">
        <v>223</v>
      </c>
      <c r="C504" s="18" t="s">
        <v>1086</v>
      </c>
      <c r="D504" s="19" t="s">
        <v>1082</v>
      </c>
      <c r="E504" s="36" t="s">
        <v>1093</v>
      </c>
      <c r="F504" s="19" t="s">
        <v>742</v>
      </c>
      <c r="G504" s="23" t="s">
        <v>1073</v>
      </c>
    </row>
    <row r="505" spans="1:7" ht="18" hidden="1" customHeight="1" outlineLevel="2" x14ac:dyDescent="0.2">
      <c r="A505" s="18"/>
      <c r="B505" s="19" t="s">
        <v>223</v>
      </c>
      <c r="C505" s="18" t="s">
        <v>1086</v>
      </c>
      <c r="D505" s="19" t="s">
        <v>1094</v>
      </c>
      <c r="E505" s="36" t="s">
        <v>1095</v>
      </c>
      <c r="F505" s="19" t="s">
        <v>742</v>
      </c>
      <c r="G505" s="23" t="s">
        <v>1073</v>
      </c>
    </row>
    <row r="506" spans="1:7" ht="18" hidden="1" customHeight="1" outlineLevel="2" x14ac:dyDescent="0.2">
      <c r="A506" s="18"/>
      <c r="B506" s="19" t="s">
        <v>223</v>
      </c>
      <c r="C506" s="18" t="s">
        <v>1086</v>
      </c>
      <c r="D506" s="19" t="s">
        <v>1096</v>
      </c>
      <c r="E506" s="36" t="s">
        <v>1097</v>
      </c>
      <c r="F506" s="19" t="s">
        <v>742</v>
      </c>
      <c r="G506" s="23" t="s">
        <v>1073</v>
      </c>
    </row>
    <row r="507" spans="1:7" ht="18" hidden="1" customHeight="1" outlineLevel="2" x14ac:dyDescent="0.2">
      <c r="A507" s="18"/>
      <c r="B507" s="19" t="s">
        <v>223</v>
      </c>
      <c r="C507" s="18" t="s">
        <v>1086</v>
      </c>
      <c r="D507" s="19" t="s">
        <v>1098</v>
      </c>
      <c r="E507" s="36" t="s">
        <v>1099</v>
      </c>
      <c r="F507" s="19" t="s">
        <v>742</v>
      </c>
      <c r="G507" s="23" t="s">
        <v>1073</v>
      </c>
    </row>
    <row r="508" spans="1:7" ht="18" hidden="1" customHeight="1" outlineLevel="2" x14ac:dyDescent="0.2">
      <c r="A508" s="18"/>
      <c r="B508" s="19" t="s">
        <v>223</v>
      </c>
      <c r="C508" s="18" t="s">
        <v>1086</v>
      </c>
      <c r="D508" s="19" t="s">
        <v>1100</v>
      </c>
      <c r="E508" s="36" t="s">
        <v>1101</v>
      </c>
      <c r="F508" s="19" t="s">
        <v>742</v>
      </c>
      <c r="G508" s="23" t="s">
        <v>1073</v>
      </c>
    </row>
    <row r="509" spans="1:7" ht="18" hidden="1" customHeight="1" outlineLevel="2" x14ac:dyDescent="0.2">
      <c r="A509" s="18"/>
      <c r="B509" s="19"/>
      <c r="C509" s="18"/>
      <c r="D509" s="19"/>
      <c r="E509" s="36"/>
      <c r="F509" s="19"/>
      <c r="G509" s="23"/>
    </row>
    <row r="510" spans="1:7" ht="18" hidden="1" customHeight="1" outlineLevel="2" x14ac:dyDescent="0.2">
      <c r="A510" s="18"/>
      <c r="B510" s="19" t="s">
        <v>223</v>
      </c>
      <c r="C510" s="18" t="s">
        <v>1070</v>
      </c>
      <c r="D510" s="19" t="s">
        <v>1071</v>
      </c>
      <c r="E510" s="36" t="s">
        <v>1102</v>
      </c>
      <c r="F510" s="19" t="s">
        <v>742</v>
      </c>
      <c r="G510" s="23" t="s">
        <v>1103</v>
      </c>
    </row>
    <row r="511" spans="1:7" ht="18" hidden="1" customHeight="1" outlineLevel="2" x14ac:dyDescent="0.2">
      <c r="A511" s="18"/>
      <c r="B511" s="19" t="s">
        <v>223</v>
      </c>
      <c r="C511" s="18" t="s">
        <v>1070</v>
      </c>
      <c r="D511" s="19" t="s">
        <v>1074</v>
      </c>
      <c r="E511" s="36" t="s">
        <v>1104</v>
      </c>
      <c r="F511" s="19" t="s">
        <v>742</v>
      </c>
      <c r="G511" s="23" t="s">
        <v>1103</v>
      </c>
    </row>
    <row r="512" spans="1:7" ht="18" hidden="1" customHeight="1" outlineLevel="2" x14ac:dyDescent="0.2">
      <c r="A512" s="18"/>
      <c r="B512" s="19" t="s">
        <v>223</v>
      </c>
      <c r="C512" s="18" t="s">
        <v>1070</v>
      </c>
      <c r="D512" s="19" t="s">
        <v>1076</v>
      </c>
      <c r="E512" s="36" t="s">
        <v>1105</v>
      </c>
      <c r="F512" s="19" t="s">
        <v>742</v>
      </c>
      <c r="G512" s="23" t="s">
        <v>1103</v>
      </c>
    </row>
    <row r="513" spans="1:7" ht="18" hidden="1" customHeight="1" outlineLevel="2" x14ac:dyDescent="0.2">
      <c r="A513" s="18"/>
      <c r="B513" s="19" t="s">
        <v>223</v>
      </c>
      <c r="C513" s="18" t="s">
        <v>1070</v>
      </c>
      <c r="D513" s="19" t="s">
        <v>1078</v>
      </c>
      <c r="E513" s="36" t="s">
        <v>1106</v>
      </c>
      <c r="F513" s="19" t="s">
        <v>742</v>
      </c>
      <c r="G513" s="23" t="s">
        <v>1103</v>
      </c>
    </row>
    <row r="514" spans="1:7" ht="18" hidden="1" customHeight="1" outlineLevel="2" x14ac:dyDescent="0.2">
      <c r="A514" s="18"/>
      <c r="B514" s="19" t="s">
        <v>223</v>
      </c>
      <c r="C514" s="18" t="s">
        <v>1070</v>
      </c>
      <c r="D514" s="19" t="s">
        <v>1080</v>
      </c>
      <c r="E514" s="36" t="s">
        <v>1107</v>
      </c>
      <c r="F514" s="19" t="s">
        <v>742</v>
      </c>
      <c r="G514" s="23" t="s">
        <v>1103</v>
      </c>
    </row>
    <row r="515" spans="1:7" ht="18" hidden="1" customHeight="1" outlineLevel="2" x14ac:dyDescent="0.2">
      <c r="A515" s="18"/>
      <c r="B515" s="19" t="s">
        <v>223</v>
      </c>
      <c r="C515" s="18" t="s">
        <v>1070</v>
      </c>
      <c r="D515" s="19" t="s">
        <v>1082</v>
      </c>
      <c r="E515" s="36" t="s">
        <v>1108</v>
      </c>
      <c r="F515" s="19" t="s">
        <v>742</v>
      </c>
      <c r="G515" s="23" t="s">
        <v>1103</v>
      </c>
    </row>
    <row r="516" spans="1:7" ht="18" hidden="1" customHeight="1" outlineLevel="2" x14ac:dyDescent="0.2">
      <c r="A516" s="18"/>
      <c r="B516" s="19" t="s">
        <v>223</v>
      </c>
      <c r="C516" s="18" t="s">
        <v>1070</v>
      </c>
      <c r="D516" s="19" t="s">
        <v>1109</v>
      </c>
      <c r="E516" s="36" t="s">
        <v>1110</v>
      </c>
      <c r="F516" s="19" t="s">
        <v>742</v>
      </c>
      <c r="G516" s="23" t="s">
        <v>1103</v>
      </c>
    </row>
    <row r="517" spans="1:7" ht="18" hidden="1" customHeight="1" outlineLevel="2" x14ac:dyDescent="0.2">
      <c r="A517" s="18"/>
      <c r="B517" s="19"/>
      <c r="C517" s="18"/>
      <c r="D517" s="19"/>
      <c r="E517" s="36"/>
      <c r="F517" s="19"/>
      <c r="G517" s="23"/>
    </row>
    <row r="518" spans="1:7" ht="18" hidden="1" customHeight="1" outlineLevel="2" x14ac:dyDescent="0.2">
      <c r="A518" s="18"/>
      <c r="B518" s="19" t="s">
        <v>223</v>
      </c>
      <c r="C518" s="18" t="s">
        <v>1086</v>
      </c>
      <c r="D518" s="19" t="s">
        <v>1087</v>
      </c>
      <c r="E518" s="36" t="s">
        <v>1111</v>
      </c>
      <c r="F518" s="19" t="s">
        <v>742</v>
      </c>
      <c r="G518" s="23" t="s">
        <v>1103</v>
      </c>
    </row>
    <row r="519" spans="1:7" ht="18" hidden="1" customHeight="1" outlineLevel="2" x14ac:dyDescent="0.2">
      <c r="A519" s="18"/>
      <c r="B519" s="19" t="s">
        <v>223</v>
      </c>
      <c r="C519" s="18" t="s">
        <v>1086</v>
      </c>
      <c r="D519" s="19" t="s">
        <v>1074</v>
      </c>
      <c r="E519" s="36" t="s">
        <v>1112</v>
      </c>
      <c r="F519" s="19" t="s">
        <v>742</v>
      </c>
      <c r="G519" s="23" t="s">
        <v>1103</v>
      </c>
    </row>
    <row r="520" spans="1:7" ht="18" hidden="1" customHeight="1" outlineLevel="2" x14ac:dyDescent="0.2">
      <c r="A520" s="18"/>
      <c r="B520" s="19" t="s">
        <v>223</v>
      </c>
      <c r="C520" s="18" t="s">
        <v>1086</v>
      </c>
      <c r="D520" s="19" t="s">
        <v>1076</v>
      </c>
      <c r="E520" s="36" t="s">
        <v>1113</v>
      </c>
      <c r="F520" s="19" t="s">
        <v>742</v>
      </c>
      <c r="G520" s="23" t="s">
        <v>1103</v>
      </c>
    </row>
    <row r="521" spans="1:7" ht="18" hidden="1" customHeight="1" outlineLevel="2" x14ac:dyDescent="0.2">
      <c r="A521" s="18"/>
      <c r="B521" s="19" t="s">
        <v>223</v>
      </c>
      <c r="C521" s="18" t="s">
        <v>1086</v>
      </c>
      <c r="D521" s="19" t="s">
        <v>1078</v>
      </c>
      <c r="E521" s="36" t="s">
        <v>1114</v>
      </c>
      <c r="F521" s="19" t="s">
        <v>742</v>
      </c>
      <c r="G521" s="23" t="s">
        <v>1103</v>
      </c>
    </row>
    <row r="522" spans="1:7" ht="18" hidden="1" customHeight="1" outlineLevel="2" x14ac:dyDescent="0.2">
      <c r="A522" s="18"/>
      <c r="B522" s="19" t="s">
        <v>223</v>
      </c>
      <c r="C522" s="18" t="s">
        <v>1086</v>
      </c>
      <c r="D522" s="19" t="s">
        <v>1080</v>
      </c>
      <c r="E522" s="36" t="s">
        <v>1115</v>
      </c>
      <c r="F522" s="19" t="s">
        <v>742</v>
      </c>
      <c r="G522" s="23" t="s">
        <v>1103</v>
      </c>
    </row>
    <row r="523" spans="1:7" ht="18" hidden="1" customHeight="1" outlineLevel="2" x14ac:dyDescent="0.2">
      <c r="A523" s="18"/>
      <c r="B523" s="19" t="s">
        <v>223</v>
      </c>
      <c r="C523" s="18" t="s">
        <v>1086</v>
      </c>
      <c r="D523" s="19" t="s">
        <v>1082</v>
      </c>
      <c r="E523" s="36" t="s">
        <v>1116</v>
      </c>
      <c r="F523" s="19" t="s">
        <v>742</v>
      </c>
      <c r="G523" s="23" t="s">
        <v>1103</v>
      </c>
    </row>
    <row r="524" spans="1:7" ht="18" hidden="1" customHeight="1" outlineLevel="2" x14ac:dyDescent="0.2">
      <c r="A524" s="18"/>
      <c r="B524" s="19" t="s">
        <v>223</v>
      </c>
      <c r="C524" s="18" t="s">
        <v>1086</v>
      </c>
      <c r="D524" s="19" t="s">
        <v>1094</v>
      </c>
      <c r="E524" s="36" t="s">
        <v>1117</v>
      </c>
      <c r="F524" s="19" t="s">
        <v>742</v>
      </c>
      <c r="G524" s="23" t="s">
        <v>1103</v>
      </c>
    </row>
    <row r="525" spans="1:7" ht="18" hidden="1" customHeight="1" outlineLevel="2" x14ac:dyDescent="0.2">
      <c r="A525" s="18"/>
      <c r="B525" s="19"/>
      <c r="C525" s="18"/>
      <c r="D525" s="19"/>
      <c r="E525" s="36"/>
      <c r="F525" s="19"/>
      <c r="G525" s="23"/>
    </row>
    <row r="526" spans="1:7" ht="18" hidden="1" customHeight="1" outlineLevel="2" x14ac:dyDescent="0.2">
      <c r="A526" s="18"/>
      <c r="B526" s="19" t="s">
        <v>223</v>
      </c>
      <c r="C526" s="18" t="s">
        <v>1118</v>
      </c>
      <c r="D526" s="19" t="s">
        <v>1119</v>
      </c>
      <c r="E526" s="36" t="s">
        <v>1120</v>
      </c>
      <c r="F526" s="19" t="s">
        <v>742</v>
      </c>
      <c r="G526" s="23" t="s">
        <v>1121</v>
      </c>
    </row>
    <row r="527" spans="1:7" ht="18" hidden="1" customHeight="1" outlineLevel="2" x14ac:dyDescent="0.2">
      <c r="A527" s="18"/>
      <c r="B527" s="19" t="s">
        <v>223</v>
      </c>
      <c r="C527" s="18" t="s">
        <v>1118</v>
      </c>
      <c r="D527" s="19" t="s">
        <v>1122</v>
      </c>
      <c r="E527" s="36" t="s">
        <v>1123</v>
      </c>
      <c r="F527" s="19" t="s">
        <v>742</v>
      </c>
      <c r="G527" s="23" t="s">
        <v>1121</v>
      </c>
    </row>
    <row r="528" spans="1:7" ht="18" hidden="1" customHeight="1" outlineLevel="2" x14ac:dyDescent="0.2">
      <c r="A528" s="18"/>
      <c r="B528" s="19" t="s">
        <v>223</v>
      </c>
      <c r="C528" s="18" t="s">
        <v>1118</v>
      </c>
      <c r="D528" s="19" t="s">
        <v>1124</v>
      </c>
      <c r="E528" s="36" t="s">
        <v>1125</v>
      </c>
      <c r="F528" s="19" t="s">
        <v>742</v>
      </c>
      <c r="G528" s="23" t="s">
        <v>1121</v>
      </c>
    </row>
    <row r="529" spans="1:7" ht="18" hidden="1" customHeight="1" outlineLevel="2" x14ac:dyDescent="0.2">
      <c r="A529" s="18"/>
      <c r="B529" s="19" t="s">
        <v>223</v>
      </c>
      <c r="C529" s="18" t="s">
        <v>1118</v>
      </c>
      <c r="D529" s="19" t="s">
        <v>1126</v>
      </c>
      <c r="E529" s="36" t="s">
        <v>1127</v>
      </c>
      <c r="F529" s="19" t="s">
        <v>742</v>
      </c>
      <c r="G529" s="23" t="s">
        <v>1121</v>
      </c>
    </row>
    <row r="530" spans="1:7" ht="18" hidden="1" customHeight="1" outlineLevel="2" x14ac:dyDescent="0.2">
      <c r="A530" s="18"/>
      <c r="B530" s="19" t="s">
        <v>223</v>
      </c>
      <c r="C530" s="18" t="s">
        <v>1118</v>
      </c>
      <c r="D530" s="19" t="s">
        <v>1128</v>
      </c>
      <c r="E530" s="36" t="s">
        <v>1129</v>
      </c>
      <c r="F530" s="19" t="s">
        <v>742</v>
      </c>
      <c r="G530" s="23" t="s">
        <v>1121</v>
      </c>
    </row>
    <row r="531" spans="1:7" ht="18" hidden="1" customHeight="1" outlineLevel="2" x14ac:dyDescent="0.2">
      <c r="A531" s="18"/>
      <c r="B531" s="19" t="s">
        <v>223</v>
      </c>
      <c r="C531" s="18" t="s">
        <v>1118</v>
      </c>
      <c r="D531" s="19" t="s">
        <v>1130</v>
      </c>
      <c r="E531" s="36" t="s">
        <v>1131</v>
      </c>
      <c r="F531" s="19" t="s">
        <v>742</v>
      </c>
      <c r="G531" s="23" t="s">
        <v>1121</v>
      </c>
    </row>
    <row r="532" spans="1:7" ht="18" hidden="1" customHeight="1" outlineLevel="2" x14ac:dyDescent="0.2">
      <c r="A532" s="18"/>
      <c r="B532" s="19" t="s">
        <v>223</v>
      </c>
      <c r="C532" s="18" t="s">
        <v>1118</v>
      </c>
      <c r="D532" s="19" t="s">
        <v>1132</v>
      </c>
      <c r="E532" s="36" t="s">
        <v>1133</v>
      </c>
      <c r="F532" s="19" t="s">
        <v>742</v>
      </c>
      <c r="G532" s="23" t="s">
        <v>1121</v>
      </c>
    </row>
    <row r="533" spans="1:7" ht="18" hidden="1" customHeight="1" outlineLevel="2" x14ac:dyDescent="0.2">
      <c r="A533" s="18"/>
      <c r="B533" s="19"/>
      <c r="C533" s="18"/>
      <c r="D533" s="19"/>
      <c r="E533" s="36"/>
      <c r="F533" s="19"/>
      <c r="G533" s="23"/>
    </row>
    <row r="534" spans="1:7" ht="18" hidden="1" customHeight="1" outlineLevel="2" x14ac:dyDescent="0.2">
      <c r="A534" s="18"/>
      <c r="B534" s="19" t="s">
        <v>223</v>
      </c>
      <c r="C534" s="18" t="s">
        <v>1134</v>
      </c>
      <c r="D534" s="19" t="s">
        <v>1119</v>
      </c>
      <c r="E534" s="36" t="s">
        <v>1135</v>
      </c>
      <c r="F534" s="19" t="s">
        <v>742</v>
      </c>
      <c r="G534" s="23" t="s">
        <v>1136</v>
      </c>
    </row>
    <row r="535" spans="1:7" ht="18" hidden="1" customHeight="1" outlineLevel="2" x14ac:dyDescent="0.2">
      <c r="A535" s="18"/>
      <c r="B535" s="19" t="s">
        <v>223</v>
      </c>
      <c r="C535" s="18" t="s">
        <v>1134</v>
      </c>
      <c r="D535" s="19" t="s">
        <v>1122</v>
      </c>
      <c r="E535" s="36" t="s">
        <v>1137</v>
      </c>
      <c r="F535" s="19" t="s">
        <v>742</v>
      </c>
      <c r="G535" s="23" t="s">
        <v>1136</v>
      </c>
    </row>
    <row r="536" spans="1:7" ht="18" hidden="1" customHeight="1" outlineLevel="2" x14ac:dyDescent="0.2">
      <c r="A536" s="18"/>
      <c r="B536" s="19" t="s">
        <v>223</v>
      </c>
      <c r="C536" s="18" t="s">
        <v>1134</v>
      </c>
      <c r="D536" s="19" t="s">
        <v>1124</v>
      </c>
      <c r="E536" s="36" t="s">
        <v>1138</v>
      </c>
      <c r="F536" s="19" t="s">
        <v>742</v>
      </c>
      <c r="G536" s="23" t="s">
        <v>1136</v>
      </c>
    </row>
    <row r="537" spans="1:7" ht="18" hidden="1" customHeight="1" outlineLevel="2" x14ac:dyDescent="0.2">
      <c r="A537" s="18"/>
      <c r="B537" s="19" t="s">
        <v>223</v>
      </c>
      <c r="C537" s="18" t="s">
        <v>1134</v>
      </c>
      <c r="D537" s="19" t="s">
        <v>1126</v>
      </c>
      <c r="E537" s="36" t="s">
        <v>1139</v>
      </c>
      <c r="F537" s="19" t="s">
        <v>742</v>
      </c>
      <c r="G537" s="23" t="s">
        <v>1136</v>
      </c>
    </row>
    <row r="538" spans="1:7" ht="18" hidden="1" customHeight="1" outlineLevel="2" x14ac:dyDescent="0.2">
      <c r="A538" s="18"/>
      <c r="B538" s="19" t="s">
        <v>223</v>
      </c>
      <c r="C538" s="18" t="s">
        <v>1134</v>
      </c>
      <c r="D538" s="19" t="s">
        <v>1128</v>
      </c>
      <c r="E538" s="36" t="s">
        <v>1140</v>
      </c>
      <c r="F538" s="19" t="s">
        <v>742</v>
      </c>
      <c r="G538" s="23" t="s">
        <v>1136</v>
      </c>
    </row>
    <row r="539" spans="1:7" ht="18" hidden="1" customHeight="1" outlineLevel="2" x14ac:dyDescent="0.2">
      <c r="A539" s="18"/>
      <c r="B539" s="19" t="s">
        <v>223</v>
      </c>
      <c r="C539" s="18" t="s">
        <v>1134</v>
      </c>
      <c r="D539" s="19" t="s">
        <v>1130</v>
      </c>
      <c r="E539" s="36" t="s">
        <v>1141</v>
      </c>
      <c r="F539" s="19" t="s">
        <v>742</v>
      </c>
      <c r="G539" s="23" t="s">
        <v>1136</v>
      </c>
    </row>
    <row r="540" spans="1:7" ht="18" hidden="1" customHeight="1" outlineLevel="2" x14ac:dyDescent="0.2">
      <c r="A540" s="18"/>
      <c r="B540" s="19" t="s">
        <v>223</v>
      </c>
      <c r="C540" s="18" t="s">
        <v>1134</v>
      </c>
      <c r="D540" s="19" t="s">
        <v>1142</v>
      </c>
      <c r="E540" s="36" t="s">
        <v>1143</v>
      </c>
      <c r="F540" s="19" t="s">
        <v>742</v>
      </c>
      <c r="G540" s="23" t="s">
        <v>1136</v>
      </c>
    </row>
    <row r="541" spans="1:7" ht="18" hidden="1" customHeight="1" outlineLevel="2" x14ac:dyDescent="0.2">
      <c r="A541" s="18"/>
      <c r="B541" s="19" t="s">
        <v>223</v>
      </c>
      <c r="C541" s="18" t="s">
        <v>1134</v>
      </c>
      <c r="D541" s="19" t="s">
        <v>1132</v>
      </c>
      <c r="E541" s="36" t="s">
        <v>1144</v>
      </c>
      <c r="F541" s="19" t="s">
        <v>742</v>
      </c>
      <c r="G541" s="23" t="s">
        <v>1136</v>
      </c>
    </row>
    <row r="542" spans="1:7" ht="18" hidden="1" customHeight="1" outlineLevel="2" x14ac:dyDescent="0.2">
      <c r="A542" s="18"/>
      <c r="B542" s="19" t="s">
        <v>223</v>
      </c>
      <c r="C542" s="18" t="s">
        <v>1134</v>
      </c>
      <c r="D542" s="19" t="s">
        <v>1145</v>
      </c>
      <c r="E542" s="36" t="s">
        <v>1146</v>
      </c>
      <c r="F542" s="19" t="s">
        <v>742</v>
      </c>
      <c r="G542" s="23" t="s">
        <v>1136</v>
      </c>
    </row>
    <row r="543" spans="1:7" ht="18" hidden="1" customHeight="1" outlineLevel="2" x14ac:dyDescent="0.2">
      <c r="A543" s="18"/>
      <c r="B543" s="19"/>
      <c r="C543" s="18"/>
      <c r="D543" s="19"/>
      <c r="E543" s="36"/>
      <c r="F543" s="19"/>
      <c r="G543" s="23"/>
    </row>
    <row r="544" spans="1:7" ht="18" hidden="1" customHeight="1" outlineLevel="2" x14ac:dyDescent="0.2">
      <c r="A544" s="18"/>
      <c r="B544" s="19" t="s">
        <v>223</v>
      </c>
      <c r="C544" s="18" t="s">
        <v>1147</v>
      </c>
      <c r="D544" s="19" t="s">
        <v>1119</v>
      </c>
      <c r="E544" s="36" t="s">
        <v>1148</v>
      </c>
      <c r="F544" s="19" t="s">
        <v>742</v>
      </c>
      <c r="G544" s="23" t="s">
        <v>1121</v>
      </c>
    </row>
    <row r="545" spans="1:7" ht="18" hidden="1" customHeight="1" outlineLevel="2" x14ac:dyDescent="0.2">
      <c r="A545" s="18"/>
      <c r="B545" s="19" t="s">
        <v>223</v>
      </c>
      <c r="C545" s="18" t="s">
        <v>1147</v>
      </c>
      <c r="D545" s="19" t="s">
        <v>1122</v>
      </c>
      <c r="E545" s="36" t="s">
        <v>1149</v>
      </c>
      <c r="F545" s="19" t="s">
        <v>742</v>
      </c>
      <c r="G545" s="23" t="s">
        <v>1121</v>
      </c>
    </row>
    <row r="546" spans="1:7" ht="18" hidden="1" customHeight="1" outlineLevel="2" x14ac:dyDescent="0.2">
      <c r="A546" s="18"/>
      <c r="B546" s="19" t="s">
        <v>223</v>
      </c>
      <c r="C546" s="18" t="s">
        <v>1147</v>
      </c>
      <c r="D546" s="19" t="s">
        <v>1124</v>
      </c>
      <c r="E546" s="36" t="s">
        <v>1150</v>
      </c>
      <c r="F546" s="19" t="s">
        <v>742</v>
      </c>
      <c r="G546" s="23" t="s">
        <v>1121</v>
      </c>
    </row>
    <row r="547" spans="1:7" ht="18" hidden="1" customHeight="1" outlineLevel="2" x14ac:dyDescent="0.2">
      <c r="A547" s="18"/>
      <c r="B547" s="19" t="s">
        <v>223</v>
      </c>
      <c r="C547" s="18" t="s">
        <v>1147</v>
      </c>
      <c r="D547" s="19" t="s">
        <v>1126</v>
      </c>
      <c r="E547" s="36" t="s">
        <v>1151</v>
      </c>
      <c r="F547" s="19" t="s">
        <v>742</v>
      </c>
      <c r="G547" s="23" t="s">
        <v>1121</v>
      </c>
    </row>
    <row r="548" spans="1:7" ht="18" hidden="1" customHeight="1" outlineLevel="2" x14ac:dyDescent="0.2">
      <c r="A548" s="18"/>
      <c r="B548" s="19" t="s">
        <v>223</v>
      </c>
      <c r="C548" s="18" t="s">
        <v>1147</v>
      </c>
      <c r="D548" s="19" t="s">
        <v>1128</v>
      </c>
      <c r="E548" s="36" t="s">
        <v>1152</v>
      </c>
      <c r="F548" s="19" t="s">
        <v>742</v>
      </c>
      <c r="G548" s="23" t="s">
        <v>1121</v>
      </c>
    </row>
    <row r="549" spans="1:7" ht="18" hidden="1" customHeight="1" outlineLevel="2" x14ac:dyDescent="0.2">
      <c r="A549" s="18"/>
      <c r="B549" s="19" t="s">
        <v>223</v>
      </c>
      <c r="C549" s="18" t="s">
        <v>1147</v>
      </c>
      <c r="D549" s="19" t="s">
        <v>1130</v>
      </c>
      <c r="E549" s="36" t="s">
        <v>1153</v>
      </c>
      <c r="F549" s="19" t="s">
        <v>742</v>
      </c>
      <c r="G549" s="23" t="s">
        <v>1121</v>
      </c>
    </row>
    <row r="550" spans="1:7" ht="18" hidden="1" customHeight="1" outlineLevel="2" x14ac:dyDescent="0.2">
      <c r="A550" s="18"/>
      <c r="B550" s="19" t="s">
        <v>223</v>
      </c>
      <c r="C550" s="18" t="s">
        <v>1147</v>
      </c>
      <c r="D550" s="19" t="s">
        <v>1132</v>
      </c>
      <c r="E550" s="36" t="s">
        <v>1154</v>
      </c>
      <c r="F550" s="19" t="s">
        <v>742</v>
      </c>
      <c r="G550" s="23" t="s">
        <v>1121</v>
      </c>
    </row>
    <row r="551" spans="1:7" ht="18" hidden="1" customHeight="1" outlineLevel="2" x14ac:dyDescent="0.2">
      <c r="A551" s="18"/>
      <c r="B551" s="19"/>
      <c r="C551" s="18"/>
      <c r="D551" s="19"/>
      <c r="E551" s="36"/>
      <c r="F551" s="19"/>
      <c r="G551" s="23"/>
    </row>
    <row r="552" spans="1:7" ht="18" hidden="1" customHeight="1" outlineLevel="2" x14ac:dyDescent="0.2">
      <c r="A552" s="18"/>
      <c r="B552" s="19" t="s">
        <v>223</v>
      </c>
      <c r="C552" s="18" t="s">
        <v>1155</v>
      </c>
      <c r="D552" s="19" t="s">
        <v>1119</v>
      </c>
      <c r="E552" s="36" t="s">
        <v>1156</v>
      </c>
      <c r="F552" s="19" t="s">
        <v>742</v>
      </c>
      <c r="G552" s="23" t="s">
        <v>1121</v>
      </c>
    </row>
    <row r="553" spans="1:7" ht="18" hidden="1" customHeight="1" outlineLevel="2" x14ac:dyDescent="0.2">
      <c r="A553" s="18"/>
      <c r="B553" s="19" t="s">
        <v>223</v>
      </c>
      <c r="C553" s="18" t="s">
        <v>1155</v>
      </c>
      <c r="D553" s="19" t="s">
        <v>1122</v>
      </c>
      <c r="E553" s="36" t="s">
        <v>1157</v>
      </c>
      <c r="F553" s="19" t="s">
        <v>742</v>
      </c>
      <c r="G553" s="23" t="s">
        <v>1121</v>
      </c>
    </row>
    <row r="554" spans="1:7" ht="18" hidden="1" customHeight="1" outlineLevel="2" x14ac:dyDescent="0.2">
      <c r="A554" s="18"/>
      <c r="B554" s="19" t="s">
        <v>223</v>
      </c>
      <c r="C554" s="18" t="s">
        <v>1155</v>
      </c>
      <c r="D554" s="19" t="s">
        <v>1124</v>
      </c>
      <c r="E554" s="36" t="s">
        <v>1158</v>
      </c>
      <c r="F554" s="19" t="s">
        <v>742</v>
      </c>
      <c r="G554" s="23" t="s">
        <v>1121</v>
      </c>
    </row>
    <row r="555" spans="1:7" ht="18" hidden="1" customHeight="1" outlineLevel="2" x14ac:dyDescent="0.2">
      <c r="A555" s="18"/>
      <c r="B555" s="19" t="s">
        <v>223</v>
      </c>
      <c r="C555" s="18" t="s">
        <v>1155</v>
      </c>
      <c r="D555" s="19" t="s">
        <v>1159</v>
      </c>
      <c r="E555" s="36" t="s">
        <v>1160</v>
      </c>
      <c r="F555" s="19" t="s">
        <v>742</v>
      </c>
      <c r="G555" s="23" t="s">
        <v>1121</v>
      </c>
    </row>
    <row r="556" spans="1:7" ht="18" hidden="1" customHeight="1" outlineLevel="2" x14ac:dyDescent="0.2">
      <c r="A556" s="18"/>
      <c r="B556" s="19" t="s">
        <v>223</v>
      </c>
      <c r="C556" s="18" t="s">
        <v>1155</v>
      </c>
      <c r="D556" s="19" t="s">
        <v>1126</v>
      </c>
      <c r="E556" s="36" t="s">
        <v>1161</v>
      </c>
      <c r="F556" s="19" t="s">
        <v>742</v>
      </c>
      <c r="G556" s="23" t="s">
        <v>1121</v>
      </c>
    </row>
    <row r="557" spans="1:7" ht="18" hidden="1" customHeight="1" outlineLevel="2" x14ac:dyDescent="0.2">
      <c r="A557" s="18"/>
      <c r="B557" s="19" t="s">
        <v>223</v>
      </c>
      <c r="C557" s="18" t="s">
        <v>1155</v>
      </c>
      <c r="D557" s="19" t="s">
        <v>1162</v>
      </c>
      <c r="E557" s="36" t="s">
        <v>1163</v>
      </c>
      <c r="F557" s="19" t="s">
        <v>742</v>
      </c>
      <c r="G557" s="23" t="s">
        <v>1121</v>
      </c>
    </row>
    <row r="558" spans="1:7" ht="18" hidden="1" customHeight="1" outlineLevel="2" x14ac:dyDescent="0.2">
      <c r="A558" s="18"/>
      <c r="B558" s="19" t="s">
        <v>223</v>
      </c>
      <c r="C558" s="18" t="s">
        <v>1155</v>
      </c>
      <c r="D558" s="19" t="s">
        <v>1128</v>
      </c>
      <c r="E558" s="36" t="s">
        <v>1164</v>
      </c>
      <c r="F558" s="19" t="s">
        <v>742</v>
      </c>
      <c r="G558" s="23" t="s">
        <v>1121</v>
      </c>
    </row>
    <row r="559" spans="1:7" ht="18" hidden="1" customHeight="1" outlineLevel="2" x14ac:dyDescent="0.2">
      <c r="A559" s="18"/>
      <c r="B559" s="19" t="s">
        <v>223</v>
      </c>
      <c r="C559" s="18" t="s">
        <v>1155</v>
      </c>
      <c r="D559" s="19" t="s">
        <v>1165</v>
      </c>
      <c r="E559" s="36" t="s">
        <v>1166</v>
      </c>
      <c r="F559" s="19" t="s">
        <v>742</v>
      </c>
      <c r="G559" s="23" t="s">
        <v>1121</v>
      </c>
    </row>
    <row r="560" spans="1:7" ht="18" hidden="1" customHeight="1" outlineLevel="2" x14ac:dyDescent="0.2">
      <c r="A560" s="18"/>
      <c r="B560" s="19" t="s">
        <v>223</v>
      </c>
      <c r="C560" s="18" t="s">
        <v>1155</v>
      </c>
      <c r="D560" s="19" t="s">
        <v>1130</v>
      </c>
      <c r="E560" s="36" t="s">
        <v>1167</v>
      </c>
      <c r="F560" s="19" t="s">
        <v>742</v>
      </c>
      <c r="G560" s="23" t="s">
        <v>1121</v>
      </c>
    </row>
    <row r="561" spans="1:7" ht="18" hidden="1" customHeight="1" outlineLevel="2" x14ac:dyDescent="0.2">
      <c r="A561" s="18"/>
      <c r="B561" s="19" t="s">
        <v>223</v>
      </c>
      <c r="C561" s="18" t="s">
        <v>1155</v>
      </c>
      <c r="D561" s="19" t="s">
        <v>1168</v>
      </c>
      <c r="E561" s="36" t="s">
        <v>1169</v>
      </c>
      <c r="F561" s="19" t="s">
        <v>742</v>
      </c>
      <c r="G561" s="23" t="s">
        <v>1121</v>
      </c>
    </row>
    <row r="562" spans="1:7" ht="18" hidden="1" customHeight="1" outlineLevel="2" x14ac:dyDescent="0.2">
      <c r="A562" s="18"/>
      <c r="B562" s="19" t="s">
        <v>223</v>
      </c>
      <c r="C562" s="18" t="s">
        <v>1155</v>
      </c>
      <c r="D562" s="19" t="s">
        <v>1132</v>
      </c>
      <c r="E562" s="36" t="s">
        <v>1170</v>
      </c>
      <c r="F562" s="19" t="s">
        <v>742</v>
      </c>
      <c r="G562" s="23" t="s">
        <v>1121</v>
      </c>
    </row>
    <row r="563" spans="1:7" ht="18" hidden="1" customHeight="1" outlineLevel="2" x14ac:dyDescent="0.2">
      <c r="A563" s="18"/>
      <c r="B563" s="19"/>
      <c r="C563" s="18"/>
      <c r="D563" s="19"/>
      <c r="E563" s="36"/>
      <c r="F563" s="19"/>
      <c r="G563" s="23"/>
    </row>
    <row r="564" spans="1:7" ht="18" hidden="1" customHeight="1" outlineLevel="2" x14ac:dyDescent="0.2">
      <c r="A564" s="18"/>
      <c r="B564" s="19" t="s">
        <v>223</v>
      </c>
      <c r="C564" s="18" t="s">
        <v>1118</v>
      </c>
      <c r="D564" s="19" t="s">
        <v>1119</v>
      </c>
      <c r="E564" s="36" t="s">
        <v>1171</v>
      </c>
      <c r="F564" s="19" t="s">
        <v>742</v>
      </c>
      <c r="G564" s="23" t="s">
        <v>1103</v>
      </c>
    </row>
    <row r="565" spans="1:7" ht="18" hidden="1" customHeight="1" outlineLevel="2" x14ac:dyDescent="0.2">
      <c r="A565" s="18"/>
      <c r="B565" s="19" t="s">
        <v>223</v>
      </c>
      <c r="C565" s="18" t="s">
        <v>1118</v>
      </c>
      <c r="D565" s="19" t="s">
        <v>1122</v>
      </c>
      <c r="E565" s="36" t="s">
        <v>1172</v>
      </c>
      <c r="F565" s="19" t="s">
        <v>742</v>
      </c>
      <c r="G565" s="23" t="s">
        <v>1103</v>
      </c>
    </row>
    <row r="566" spans="1:7" ht="18" hidden="1" customHeight="1" outlineLevel="2" x14ac:dyDescent="0.2">
      <c r="A566" s="18"/>
      <c r="B566" s="19" t="s">
        <v>223</v>
      </c>
      <c r="C566" s="18" t="s">
        <v>1118</v>
      </c>
      <c r="D566" s="19" t="s">
        <v>1124</v>
      </c>
      <c r="E566" s="36" t="s">
        <v>1173</v>
      </c>
      <c r="F566" s="19" t="s">
        <v>742</v>
      </c>
      <c r="G566" s="23" t="s">
        <v>1103</v>
      </c>
    </row>
    <row r="567" spans="1:7" ht="18" hidden="1" customHeight="1" outlineLevel="2" x14ac:dyDescent="0.2">
      <c r="A567" s="18"/>
      <c r="B567" s="19" t="s">
        <v>223</v>
      </c>
      <c r="C567" s="18" t="s">
        <v>1118</v>
      </c>
      <c r="D567" s="19" t="s">
        <v>1126</v>
      </c>
      <c r="E567" s="36" t="s">
        <v>1174</v>
      </c>
      <c r="F567" s="19" t="s">
        <v>742</v>
      </c>
      <c r="G567" s="23" t="s">
        <v>1103</v>
      </c>
    </row>
    <row r="568" spans="1:7" ht="18" hidden="1" customHeight="1" outlineLevel="2" x14ac:dyDescent="0.2">
      <c r="A568" s="18"/>
      <c r="B568" s="19" t="s">
        <v>223</v>
      </c>
      <c r="C568" s="18" t="s">
        <v>1118</v>
      </c>
      <c r="D568" s="19" t="s">
        <v>1128</v>
      </c>
      <c r="E568" s="36" t="s">
        <v>1175</v>
      </c>
      <c r="F568" s="19" t="s">
        <v>742</v>
      </c>
      <c r="G568" s="23" t="s">
        <v>1103</v>
      </c>
    </row>
    <row r="569" spans="1:7" ht="18" hidden="1" customHeight="1" outlineLevel="2" x14ac:dyDescent="0.2">
      <c r="A569" s="18"/>
      <c r="B569" s="19" t="s">
        <v>223</v>
      </c>
      <c r="C569" s="18" t="s">
        <v>1118</v>
      </c>
      <c r="D569" s="19" t="s">
        <v>1130</v>
      </c>
      <c r="E569" s="36" t="s">
        <v>1176</v>
      </c>
      <c r="F569" s="19" t="s">
        <v>742</v>
      </c>
      <c r="G569" s="23" t="s">
        <v>1103</v>
      </c>
    </row>
    <row r="570" spans="1:7" ht="18" hidden="1" customHeight="1" outlineLevel="2" x14ac:dyDescent="0.2">
      <c r="A570" s="18"/>
      <c r="B570" s="19" t="s">
        <v>223</v>
      </c>
      <c r="C570" s="18" t="s">
        <v>1118</v>
      </c>
      <c r="D570" s="19" t="s">
        <v>1132</v>
      </c>
      <c r="E570" s="36" t="s">
        <v>1177</v>
      </c>
      <c r="F570" s="19" t="s">
        <v>742</v>
      </c>
      <c r="G570" s="23" t="s">
        <v>1103</v>
      </c>
    </row>
    <row r="571" spans="1:7" ht="18" hidden="1" customHeight="1" outlineLevel="2" x14ac:dyDescent="0.2">
      <c r="A571" s="18"/>
      <c r="B571" s="19"/>
      <c r="C571" s="18"/>
      <c r="D571" s="19"/>
      <c r="E571" s="36"/>
      <c r="F571" s="19"/>
      <c r="G571" s="23"/>
    </row>
    <row r="572" spans="1:7" ht="18" hidden="1" customHeight="1" outlineLevel="2" x14ac:dyDescent="0.2">
      <c r="A572" s="18"/>
      <c r="B572" s="19" t="s">
        <v>223</v>
      </c>
      <c r="C572" s="18" t="s">
        <v>1134</v>
      </c>
      <c r="D572" s="19" t="s">
        <v>1119</v>
      </c>
      <c r="E572" s="36" t="s">
        <v>1178</v>
      </c>
      <c r="F572" s="19" t="s">
        <v>742</v>
      </c>
      <c r="G572" s="23" t="s">
        <v>1103</v>
      </c>
    </row>
    <row r="573" spans="1:7" ht="18" hidden="1" customHeight="1" outlineLevel="2" x14ac:dyDescent="0.2">
      <c r="A573" s="18"/>
      <c r="B573" s="19" t="s">
        <v>223</v>
      </c>
      <c r="C573" s="18" t="s">
        <v>1134</v>
      </c>
      <c r="D573" s="19" t="s">
        <v>1122</v>
      </c>
      <c r="E573" s="36" t="s">
        <v>1179</v>
      </c>
      <c r="F573" s="19" t="s">
        <v>742</v>
      </c>
      <c r="G573" s="23" t="s">
        <v>1103</v>
      </c>
    </row>
    <row r="574" spans="1:7" ht="18" hidden="1" customHeight="1" outlineLevel="2" x14ac:dyDescent="0.2">
      <c r="A574" s="18"/>
      <c r="B574" s="19" t="s">
        <v>223</v>
      </c>
      <c r="C574" s="18" t="s">
        <v>1134</v>
      </c>
      <c r="D574" s="19" t="s">
        <v>1124</v>
      </c>
      <c r="E574" s="36" t="s">
        <v>1180</v>
      </c>
      <c r="F574" s="19" t="s">
        <v>742</v>
      </c>
      <c r="G574" s="23" t="s">
        <v>1103</v>
      </c>
    </row>
    <row r="575" spans="1:7" ht="18" hidden="1" customHeight="1" outlineLevel="2" x14ac:dyDescent="0.2">
      <c r="A575" s="18"/>
      <c r="B575" s="19" t="s">
        <v>223</v>
      </c>
      <c r="C575" s="18" t="s">
        <v>1134</v>
      </c>
      <c r="D575" s="19" t="s">
        <v>1126</v>
      </c>
      <c r="E575" s="36" t="s">
        <v>1181</v>
      </c>
      <c r="F575" s="19" t="s">
        <v>742</v>
      </c>
      <c r="G575" s="23" t="s">
        <v>1103</v>
      </c>
    </row>
    <row r="576" spans="1:7" ht="18" hidden="1" customHeight="1" outlineLevel="2" x14ac:dyDescent="0.2">
      <c r="A576" s="18"/>
      <c r="B576" s="19" t="s">
        <v>223</v>
      </c>
      <c r="C576" s="18" t="s">
        <v>1134</v>
      </c>
      <c r="D576" s="19" t="s">
        <v>1128</v>
      </c>
      <c r="E576" s="36" t="s">
        <v>1182</v>
      </c>
      <c r="F576" s="19" t="s">
        <v>742</v>
      </c>
      <c r="G576" s="23" t="s">
        <v>1103</v>
      </c>
    </row>
    <row r="577" spans="1:8" ht="18" hidden="1" customHeight="1" outlineLevel="2" x14ac:dyDescent="0.2">
      <c r="A577" s="18"/>
      <c r="B577" s="19" t="s">
        <v>223</v>
      </c>
      <c r="C577" s="18" t="s">
        <v>1134</v>
      </c>
      <c r="D577" s="19" t="s">
        <v>1130</v>
      </c>
      <c r="E577" s="36" t="s">
        <v>1183</v>
      </c>
      <c r="F577" s="19" t="s">
        <v>742</v>
      </c>
      <c r="G577" s="23" t="s">
        <v>1103</v>
      </c>
    </row>
    <row r="578" spans="1:8" ht="18" hidden="1" customHeight="1" outlineLevel="2" x14ac:dyDescent="0.2">
      <c r="A578" s="18"/>
      <c r="B578" s="19" t="s">
        <v>223</v>
      </c>
      <c r="C578" s="18" t="s">
        <v>1134</v>
      </c>
      <c r="D578" s="19" t="s">
        <v>1132</v>
      </c>
      <c r="E578" s="36" t="s">
        <v>1184</v>
      </c>
      <c r="F578" s="19" t="s">
        <v>742</v>
      </c>
      <c r="G578" s="23" t="s">
        <v>1103</v>
      </c>
    </row>
    <row r="579" spans="1:8" ht="18" hidden="1" customHeight="1" outlineLevel="2" x14ac:dyDescent="0.2">
      <c r="A579" s="18"/>
      <c r="B579" s="19"/>
      <c r="C579" s="18"/>
      <c r="D579" s="19"/>
      <c r="E579" s="36"/>
      <c r="F579" s="19"/>
      <c r="G579" s="23"/>
    </row>
    <row r="580" spans="1:8" ht="18" hidden="1" customHeight="1" outlineLevel="1" x14ac:dyDescent="0.2">
      <c r="A580" s="119" t="s">
        <v>138</v>
      </c>
      <c r="B580" s="120"/>
      <c r="C580" s="120"/>
      <c r="D580" s="120"/>
      <c r="E580" s="120"/>
      <c r="F580" s="120"/>
      <c r="G580" s="120"/>
      <c r="H580" s="120"/>
    </row>
    <row r="581" spans="1:8" ht="18" hidden="1" customHeight="1" outlineLevel="2" x14ac:dyDescent="0.2">
      <c r="A581" s="25"/>
      <c r="B581" s="25" t="s">
        <v>3466</v>
      </c>
      <c r="C581" s="59" t="s">
        <v>2579</v>
      </c>
      <c r="D581" s="25" t="s">
        <v>2580</v>
      </c>
      <c r="E581" s="25" t="s">
        <v>2581</v>
      </c>
      <c r="F581" s="25" t="s">
        <v>2582</v>
      </c>
      <c r="G581" s="25" t="s">
        <v>3895</v>
      </c>
    </row>
    <row r="582" spans="1:8" ht="18" hidden="1" customHeight="1" outlineLevel="2" x14ac:dyDescent="0.2">
      <c r="A582" s="25"/>
      <c r="B582" s="25" t="s">
        <v>352</v>
      </c>
      <c r="C582" s="59" t="s">
        <v>2579</v>
      </c>
      <c r="D582" s="25" t="s">
        <v>2583</v>
      </c>
      <c r="E582" s="25" t="s">
        <v>2584</v>
      </c>
      <c r="F582" s="25" t="s">
        <v>2582</v>
      </c>
      <c r="G582" s="25" t="s">
        <v>3896</v>
      </c>
    </row>
    <row r="583" spans="1:8" ht="18" hidden="1" customHeight="1" outlineLevel="2" x14ac:dyDescent="0.2">
      <c r="A583" s="25"/>
      <c r="B583" s="25" t="s">
        <v>3467</v>
      </c>
      <c r="C583" s="59" t="s">
        <v>2585</v>
      </c>
      <c r="D583" s="25" t="s">
        <v>2586</v>
      </c>
      <c r="E583" s="25" t="s">
        <v>2587</v>
      </c>
      <c r="F583" s="25" t="s">
        <v>2588</v>
      </c>
      <c r="G583" s="25" t="s">
        <v>3897</v>
      </c>
    </row>
    <row r="584" spans="1:8" ht="18" hidden="1" customHeight="1" outlineLevel="2" x14ac:dyDescent="0.2">
      <c r="A584" s="25"/>
      <c r="B584" s="25"/>
      <c r="C584" s="59" t="s">
        <v>2589</v>
      </c>
      <c r="D584" s="25" t="s">
        <v>2590</v>
      </c>
      <c r="E584" s="25" t="s">
        <v>2591</v>
      </c>
      <c r="F584" s="25" t="s">
        <v>2588</v>
      </c>
      <c r="G584" s="25"/>
    </row>
    <row r="585" spans="1:8" ht="18" hidden="1" customHeight="1" outlineLevel="2" x14ac:dyDescent="0.2">
      <c r="A585" s="25"/>
      <c r="B585" s="25" t="s">
        <v>352</v>
      </c>
      <c r="C585" s="25" t="s">
        <v>2585</v>
      </c>
      <c r="D585" s="25" t="s">
        <v>2592</v>
      </c>
      <c r="E585" s="25" t="s">
        <v>2593</v>
      </c>
      <c r="F585" s="25" t="s">
        <v>2588</v>
      </c>
      <c r="G585" s="25" t="s">
        <v>3898</v>
      </c>
    </row>
    <row r="586" spans="1:8" ht="18" hidden="1" customHeight="1" outlineLevel="2" x14ac:dyDescent="0.2">
      <c r="A586" s="25"/>
      <c r="B586" s="25"/>
      <c r="C586" s="59" t="s">
        <v>2594</v>
      </c>
      <c r="D586" s="25" t="s">
        <v>2595</v>
      </c>
      <c r="E586" s="25"/>
      <c r="F586" s="25" t="s">
        <v>2588</v>
      </c>
      <c r="G586" s="25" t="s">
        <v>3899</v>
      </c>
    </row>
    <row r="587" spans="1:8" ht="18" hidden="1" customHeight="1" outlineLevel="2" x14ac:dyDescent="0.2">
      <c r="A587" s="25"/>
      <c r="B587" s="25" t="s">
        <v>352</v>
      </c>
      <c r="C587" s="59" t="s">
        <v>2596</v>
      </c>
      <c r="D587" s="25" t="s">
        <v>2597</v>
      </c>
      <c r="E587" s="25" t="s">
        <v>2598</v>
      </c>
      <c r="F587" s="25" t="s">
        <v>2588</v>
      </c>
      <c r="G587" s="25" t="s">
        <v>3900</v>
      </c>
    </row>
    <row r="588" spans="1:8" ht="18" hidden="1" customHeight="1" outlineLevel="2" x14ac:dyDescent="0.2">
      <c r="A588" s="31"/>
      <c r="B588" s="72"/>
      <c r="C588" s="71"/>
      <c r="D588" s="72"/>
      <c r="E588" s="73"/>
      <c r="F588" s="72"/>
      <c r="G588" s="72"/>
      <c r="H588" s="60"/>
    </row>
    <row r="589" spans="1:8" ht="18" hidden="1" customHeight="1" outlineLevel="2" collapsed="1" x14ac:dyDescent="0.2">
      <c r="A589" s="119" t="s">
        <v>139</v>
      </c>
      <c r="B589" s="120"/>
      <c r="C589" s="120"/>
      <c r="D589" s="120"/>
      <c r="E589" s="120"/>
      <c r="F589" s="120"/>
      <c r="G589" s="120"/>
      <c r="H589" s="120"/>
    </row>
    <row r="590" spans="1:8" ht="18" hidden="1" customHeight="1" outlineLevel="2" x14ac:dyDescent="0.2">
      <c r="A590" s="25"/>
      <c r="B590" s="25" t="s">
        <v>352</v>
      </c>
      <c r="C590" s="25" t="s">
        <v>2599</v>
      </c>
      <c r="D590" s="25" t="s">
        <v>2600</v>
      </c>
      <c r="E590" s="25" t="s">
        <v>2601</v>
      </c>
      <c r="F590" s="25" t="s">
        <v>742</v>
      </c>
      <c r="G590" s="25"/>
      <c r="H590" s="25" t="s">
        <v>3105</v>
      </c>
    </row>
    <row r="591" spans="1:8" ht="18" hidden="1" customHeight="1" outlineLevel="2" x14ac:dyDescent="0.2">
      <c r="A591" s="25"/>
      <c r="B591" s="25" t="s">
        <v>352</v>
      </c>
      <c r="C591" s="25" t="s">
        <v>2602</v>
      </c>
      <c r="D591" s="25"/>
      <c r="E591" s="25" t="s">
        <v>2603</v>
      </c>
      <c r="F591" s="25" t="s">
        <v>742</v>
      </c>
      <c r="G591" s="25" t="s">
        <v>2604</v>
      </c>
    </row>
    <row r="592" spans="1:8" ht="18" hidden="1" customHeight="1" outlineLevel="2" x14ac:dyDescent="0.2">
      <c r="A592" s="25"/>
      <c r="B592" s="25" t="s">
        <v>352</v>
      </c>
      <c r="C592" s="25" t="s">
        <v>2602</v>
      </c>
      <c r="D592" s="25"/>
      <c r="E592" s="25" t="s">
        <v>2605</v>
      </c>
      <c r="F592" s="25" t="s">
        <v>742</v>
      </c>
      <c r="G592" s="25" t="s">
        <v>2606</v>
      </c>
    </row>
    <row r="593" spans="1:8" ht="18" hidden="1" customHeight="1" outlineLevel="2" x14ac:dyDescent="0.2">
      <c r="A593" s="25"/>
      <c r="B593" s="25" t="s">
        <v>352</v>
      </c>
      <c r="C593" s="25" t="s">
        <v>2602</v>
      </c>
      <c r="D593" s="25"/>
      <c r="E593" s="25" t="s">
        <v>2607</v>
      </c>
      <c r="F593" s="25" t="s">
        <v>742</v>
      </c>
      <c r="G593" s="25" t="s">
        <v>2608</v>
      </c>
    </row>
    <row r="594" spans="1:8" ht="18" hidden="1" customHeight="1" outlineLevel="2" x14ac:dyDescent="0.2">
      <c r="A594" s="25"/>
      <c r="B594" s="25" t="s">
        <v>3468</v>
      </c>
      <c r="C594" s="25" t="s">
        <v>2609</v>
      </c>
      <c r="D594" s="25" t="s">
        <v>2610</v>
      </c>
      <c r="E594" s="25"/>
      <c r="F594" s="25"/>
      <c r="G594" s="25" t="s">
        <v>2611</v>
      </c>
      <c r="H594" s="25" t="s">
        <v>3106</v>
      </c>
    </row>
    <row r="595" spans="1:8" ht="18" hidden="1" customHeight="1" outlineLevel="2" x14ac:dyDescent="0.2">
      <c r="A595" s="25"/>
      <c r="B595" s="25" t="s">
        <v>352</v>
      </c>
      <c r="C595" s="59" t="s">
        <v>2612</v>
      </c>
      <c r="D595" s="25" t="s">
        <v>2613</v>
      </c>
      <c r="E595" s="25" t="s">
        <v>2614</v>
      </c>
      <c r="F595" s="25" t="s">
        <v>2615</v>
      </c>
      <c r="G595" s="25"/>
    </row>
    <row r="596" spans="1:8" ht="18" hidden="1" customHeight="1" outlineLevel="2" x14ac:dyDescent="0.2">
      <c r="A596" s="25"/>
      <c r="B596" s="25" t="s">
        <v>352</v>
      </c>
      <c r="C596" s="59" t="s">
        <v>2616</v>
      </c>
      <c r="D596" s="25" t="s">
        <v>2617</v>
      </c>
      <c r="E596" s="25"/>
      <c r="F596" s="25" t="s">
        <v>2588</v>
      </c>
      <c r="G596" s="25" t="s">
        <v>2618</v>
      </c>
      <c r="H596" s="25" t="s">
        <v>3107</v>
      </c>
    </row>
    <row r="597" spans="1:8" ht="18" hidden="1" customHeight="1" outlineLevel="2" x14ac:dyDescent="0.2">
      <c r="A597" s="25"/>
      <c r="B597" s="25" t="s">
        <v>3469</v>
      </c>
      <c r="C597" s="59" t="s">
        <v>2616</v>
      </c>
      <c r="D597" s="25" t="s">
        <v>2619</v>
      </c>
      <c r="E597" s="25" t="s">
        <v>2620</v>
      </c>
      <c r="F597" s="25" t="s">
        <v>742</v>
      </c>
      <c r="G597" s="25" t="s">
        <v>2621</v>
      </c>
      <c r="H597" s="25" t="s">
        <v>3107</v>
      </c>
    </row>
    <row r="598" spans="1:8" ht="18" hidden="1" customHeight="1" outlineLevel="2" x14ac:dyDescent="0.2">
      <c r="A598" s="25"/>
      <c r="B598" s="25" t="s">
        <v>3470</v>
      </c>
      <c r="C598" s="25" t="s">
        <v>2616</v>
      </c>
      <c r="D598" s="25" t="s">
        <v>2622</v>
      </c>
      <c r="E598" s="25"/>
      <c r="F598" s="25"/>
      <c r="G598" s="25"/>
      <c r="H598" s="25" t="s">
        <v>3107</v>
      </c>
    </row>
    <row r="599" spans="1:8" ht="18" hidden="1" customHeight="1" outlineLevel="2" x14ac:dyDescent="0.2">
      <c r="A599" s="25"/>
      <c r="B599" s="25" t="s">
        <v>3471</v>
      </c>
      <c r="C599" s="25" t="s">
        <v>2616</v>
      </c>
      <c r="D599" s="25" t="s">
        <v>2623</v>
      </c>
      <c r="E599" s="25" t="s">
        <v>2624</v>
      </c>
      <c r="F599" s="25" t="s">
        <v>742</v>
      </c>
      <c r="G599" s="25"/>
      <c r="H599" s="25" t="s">
        <v>3107</v>
      </c>
    </row>
    <row r="600" spans="1:8" ht="18" hidden="1" customHeight="1" outlineLevel="2" x14ac:dyDescent="0.2">
      <c r="A600" s="25"/>
      <c r="B600" s="25" t="s">
        <v>352</v>
      </c>
      <c r="C600" s="59" t="s">
        <v>2625</v>
      </c>
      <c r="D600" s="25" t="s">
        <v>2626</v>
      </c>
      <c r="E600" s="25" t="s">
        <v>2627</v>
      </c>
      <c r="F600" s="25" t="s">
        <v>204</v>
      </c>
      <c r="G600" s="25"/>
      <c r="H600" s="25" t="s">
        <v>350</v>
      </c>
    </row>
    <row r="601" spans="1:8" ht="18" hidden="1" customHeight="1" outlineLevel="2" x14ac:dyDescent="0.2">
      <c r="A601" s="25"/>
      <c r="B601" s="25" t="s">
        <v>352</v>
      </c>
      <c r="C601" s="25" t="s">
        <v>2625</v>
      </c>
      <c r="D601" s="25" t="s">
        <v>2628</v>
      </c>
      <c r="E601" s="25" t="s">
        <v>2629</v>
      </c>
      <c r="F601" s="25" t="s">
        <v>204</v>
      </c>
      <c r="G601" s="25"/>
      <c r="H601" s="25" t="s">
        <v>405</v>
      </c>
    </row>
    <row r="602" spans="1:8" ht="18" hidden="1" customHeight="1" outlineLevel="2" x14ac:dyDescent="0.2">
      <c r="A602" s="25"/>
      <c r="B602" s="25" t="s">
        <v>547</v>
      </c>
      <c r="C602" s="25" t="s">
        <v>2630</v>
      </c>
      <c r="D602" s="25" t="s">
        <v>2631</v>
      </c>
      <c r="E602" s="25" t="s">
        <v>2632</v>
      </c>
      <c r="F602" s="25" t="s">
        <v>2588</v>
      </c>
      <c r="G602" s="25"/>
    </row>
    <row r="603" spans="1:8" ht="18" hidden="1" customHeight="1" outlineLevel="2" x14ac:dyDescent="0.2">
      <c r="A603" s="31"/>
      <c r="B603" s="72"/>
      <c r="C603" s="71"/>
      <c r="D603" s="72"/>
      <c r="E603" s="73"/>
      <c r="F603" s="72"/>
      <c r="G603" s="72"/>
      <c r="H603" s="60"/>
    </row>
    <row r="604" spans="1:8" ht="18" customHeight="1" collapsed="1" x14ac:dyDescent="0.2">
      <c r="A604" s="133" t="s">
        <v>3711</v>
      </c>
      <c r="B604" s="134" t="s">
        <v>3711</v>
      </c>
      <c r="C604" s="134"/>
      <c r="D604" s="134"/>
      <c r="E604" s="134"/>
      <c r="F604" s="134"/>
      <c r="G604" s="134"/>
      <c r="H604" s="134"/>
    </row>
    <row r="605" spans="1:8" ht="18" hidden="1" customHeight="1" outlineLevel="1" x14ac:dyDescent="0.2">
      <c r="A605" s="119" t="s">
        <v>3721</v>
      </c>
      <c r="B605" s="120"/>
      <c r="C605" s="120"/>
      <c r="D605" s="120"/>
      <c r="E605" s="120"/>
      <c r="F605" s="120"/>
      <c r="G605" s="120"/>
      <c r="H605" s="120"/>
    </row>
    <row r="606" spans="1:8" ht="18" hidden="1" customHeight="1" outlineLevel="2" x14ac:dyDescent="0.2">
      <c r="A606" s="18"/>
      <c r="B606" s="33" t="s">
        <v>3184</v>
      </c>
      <c r="C606" s="18" t="s">
        <v>1186</v>
      </c>
      <c r="D606" s="18" t="s">
        <v>1187</v>
      </c>
      <c r="E606" s="36">
        <v>5413256909006</v>
      </c>
      <c r="F606" s="18" t="s">
        <v>1185</v>
      </c>
      <c r="G606" s="18" t="s">
        <v>885</v>
      </c>
      <c r="H606" s="25" t="s">
        <v>3078</v>
      </c>
    </row>
    <row r="607" spans="1:8" ht="18" hidden="1" customHeight="1" outlineLevel="2" x14ac:dyDescent="0.2">
      <c r="A607" s="18"/>
      <c r="B607" s="18" t="s">
        <v>352</v>
      </c>
      <c r="C607" s="18" t="s">
        <v>1188</v>
      </c>
      <c r="D607" s="18" t="s">
        <v>1187</v>
      </c>
      <c r="E607" s="36" t="s">
        <v>547</v>
      </c>
      <c r="F607" s="18" t="s">
        <v>1185</v>
      </c>
      <c r="G607" s="18" t="s">
        <v>1189</v>
      </c>
      <c r="H607" s="25" t="s">
        <v>547</v>
      </c>
    </row>
    <row r="608" spans="1:8" ht="18" hidden="1" customHeight="1" outlineLevel="2" x14ac:dyDescent="0.2">
      <c r="A608" s="18"/>
      <c r="B608" s="33" t="s">
        <v>3185</v>
      </c>
      <c r="C608" s="18" t="s">
        <v>1190</v>
      </c>
      <c r="D608" s="18" t="s">
        <v>1191</v>
      </c>
      <c r="E608" s="36">
        <v>5413256939423</v>
      </c>
      <c r="F608" s="18" t="s">
        <v>1185</v>
      </c>
      <c r="G608" s="18" t="s">
        <v>1192</v>
      </c>
      <c r="H608" s="25">
        <v>1</v>
      </c>
    </row>
    <row r="609" spans="1:8" ht="18" hidden="1" customHeight="1" outlineLevel="2" x14ac:dyDescent="0.2">
      <c r="A609" s="18"/>
      <c r="B609" s="18" t="s">
        <v>352</v>
      </c>
      <c r="C609" s="18" t="s">
        <v>1190</v>
      </c>
      <c r="D609" s="18" t="s">
        <v>1193</v>
      </c>
      <c r="E609" s="36" t="s">
        <v>547</v>
      </c>
      <c r="F609" s="18" t="s">
        <v>1185</v>
      </c>
      <c r="G609" s="18" t="s">
        <v>1194</v>
      </c>
      <c r="H609" s="25" t="s">
        <v>547</v>
      </c>
    </row>
    <row r="610" spans="1:8" ht="18" hidden="1" customHeight="1" outlineLevel="2" x14ac:dyDescent="0.2">
      <c r="A610" s="18"/>
      <c r="B610" s="33" t="s">
        <v>3186</v>
      </c>
      <c r="C610" s="18" t="s">
        <v>1195</v>
      </c>
      <c r="D610" s="18" t="s">
        <v>547</v>
      </c>
      <c r="E610" s="36">
        <v>5413256911535</v>
      </c>
      <c r="F610" s="18" t="s">
        <v>1185</v>
      </c>
      <c r="G610" s="18" t="s">
        <v>1196</v>
      </c>
      <c r="H610" s="25">
        <v>1</v>
      </c>
    </row>
    <row r="611" spans="1:8" ht="18" hidden="1" customHeight="1" outlineLevel="2" x14ac:dyDescent="0.2">
      <c r="A611" s="18"/>
      <c r="B611" s="18" t="s">
        <v>352</v>
      </c>
      <c r="C611" s="18" t="s">
        <v>1195</v>
      </c>
      <c r="D611" s="18" t="s">
        <v>547</v>
      </c>
      <c r="E611" s="36">
        <v>5413256943765</v>
      </c>
      <c r="F611" s="18" t="s">
        <v>1185</v>
      </c>
      <c r="G611" s="18" t="s">
        <v>1197</v>
      </c>
      <c r="H611" s="25">
        <v>1</v>
      </c>
    </row>
    <row r="612" spans="1:8" ht="18" hidden="1" customHeight="1" outlineLevel="2" x14ac:dyDescent="0.2">
      <c r="A612" s="18"/>
      <c r="B612" s="18" t="s">
        <v>352</v>
      </c>
      <c r="C612" s="18" t="s">
        <v>1195</v>
      </c>
      <c r="D612" s="18" t="s">
        <v>547</v>
      </c>
      <c r="E612" s="36">
        <v>5413256943789</v>
      </c>
      <c r="F612" s="18" t="s">
        <v>1185</v>
      </c>
      <c r="G612" s="18" t="s">
        <v>1198</v>
      </c>
      <c r="H612" s="25">
        <v>1</v>
      </c>
    </row>
    <row r="613" spans="1:8" ht="18" hidden="1" customHeight="1" outlineLevel="1" x14ac:dyDescent="0.2">
      <c r="A613" s="119" t="s">
        <v>3716</v>
      </c>
      <c r="B613" s="120"/>
      <c r="C613" s="120"/>
      <c r="D613" s="120"/>
      <c r="E613" s="120"/>
      <c r="F613" s="120"/>
      <c r="G613" s="120"/>
      <c r="H613" s="120"/>
    </row>
    <row r="614" spans="1:8" ht="18" hidden="1" customHeight="1" outlineLevel="2" x14ac:dyDescent="0.2">
      <c r="A614" s="18"/>
      <c r="B614" s="18" t="s">
        <v>3187</v>
      </c>
      <c r="C614" s="18" t="s">
        <v>3719</v>
      </c>
      <c r="D614" s="18" t="s">
        <v>1203</v>
      </c>
      <c r="E614" s="36">
        <v>5413256920544</v>
      </c>
      <c r="F614" s="18" t="s">
        <v>1185</v>
      </c>
      <c r="G614" s="18" t="s">
        <v>1199</v>
      </c>
      <c r="H614" s="25">
        <v>240</v>
      </c>
    </row>
    <row r="615" spans="1:8" ht="18" hidden="1" customHeight="1" outlineLevel="2" x14ac:dyDescent="0.2">
      <c r="A615" s="18"/>
      <c r="B615" s="18" t="s">
        <v>3188</v>
      </c>
      <c r="C615" s="18" t="s">
        <v>3719</v>
      </c>
      <c r="D615" s="18" t="s">
        <v>1204</v>
      </c>
      <c r="E615" s="36"/>
      <c r="F615" s="18" t="s">
        <v>1185</v>
      </c>
      <c r="G615" s="18" t="s">
        <v>1200</v>
      </c>
      <c r="H615" s="25">
        <v>200</v>
      </c>
    </row>
    <row r="616" spans="1:8" ht="18" hidden="1" customHeight="1" outlineLevel="2" x14ac:dyDescent="0.2">
      <c r="A616" s="18"/>
      <c r="B616" s="18" t="s">
        <v>3189</v>
      </c>
      <c r="C616" s="18" t="s">
        <v>3719</v>
      </c>
      <c r="D616" s="18" t="s">
        <v>1205</v>
      </c>
      <c r="E616" s="36">
        <v>5413256920582</v>
      </c>
      <c r="F616" s="18" t="s">
        <v>1185</v>
      </c>
      <c r="G616" s="18" t="s">
        <v>1201</v>
      </c>
      <c r="H616" s="25">
        <v>162</v>
      </c>
    </row>
    <row r="617" spans="1:8" ht="18" hidden="1" customHeight="1" outlineLevel="2" x14ac:dyDescent="0.2">
      <c r="A617" s="18"/>
      <c r="B617" s="18" t="s">
        <v>3190</v>
      </c>
      <c r="C617" s="18" t="s">
        <v>3719</v>
      </c>
      <c r="D617" s="18" t="s">
        <v>1206</v>
      </c>
      <c r="E617" s="36">
        <v>5413256920605</v>
      </c>
      <c r="F617" s="18" t="s">
        <v>1185</v>
      </c>
      <c r="G617" s="18" t="s">
        <v>1202</v>
      </c>
      <c r="H617" s="25">
        <v>136</v>
      </c>
    </row>
    <row r="618" spans="1:8" ht="18" hidden="1" customHeight="1" outlineLevel="2" x14ac:dyDescent="0.2">
      <c r="A618" s="18"/>
      <c r="B618" s="18" t="s">
        <v>3191</v>
      </c>
      <c r="C618" s="18" t="s">
        <v>3719</v>
      </c>
      <c r="D618" s="18" t="s">
        <v>1207</v>
      </c>
      <c r="E618" s="36">
        <v>5413256920643</v>
      </c>
      <c r="F618" s="18" t="s">
        <v>1185</v>
      </c>
      <c r="G618" s="18" t="s">
        <v>1208</v>
      </c>
      <c r="H618" s="25">
        <v>118</v>
      </c>
    </row>
    <row r="619" spans="1:8" ht="18" hidden="1" customHeight="1" outlineLevel="2" x14ac:dyDescent="0.2">
      <c r="A619" s="18"/>
      <c r="B619" s="18" t="s">
        <v>3192</v>
      </c>
      <c r="C619" s="18" t="s">
        <v>3719</v>
      </c>
      <c r="D619" s="18" t="s">
        <v>1209</v>
      </c>
      <c r="E619" s="36">
        <v>5413256920681</v>
      </c>
      <c r="F619" s="18" t="s">
        <v>1185</v>
      </c>
      <c r="G619" s="18" t="s">
        <v>1210</v>
      </c>
      <c r="H619" s="25">
        <v>98</v>
      </c>
    </row>
    <row r="620" spans="1:8" ht="18" hidden="1" customHeight="1" outlineLevel="2" x14ac:dyDescent="0.2">
      <c r="A620" s="18"/>
      <c r="B620" s="18" t="s">
        <v>3193</v>
      </c>
      <c r="C620" s="18" t="s">
        <v>3719</v>
      </c>
      <c r="D620" s="18" t="s">
        <v>1211</v>
      </c>
      <c r="E620" s="36">
        <v>5413256920728</v>
      </c>
      <c r="F620" s="18" t="s">
        <v>1185</v>
      </c>
      <c r="G620" s="18" t="s">
        <v>1212</v>
      </c>
      <c r="H620" s="25">
        <v>78</v>
      </c>
    </row>
    <row r="621" spans="1:8" ht="18" hidden="1" customHeight="1" outlineLevel="2" x14ac:dyDescent="0.2">
      <c r="A621" s="18"/>
      <c r="B621" s="18" t="s">
        <v>3194</v>
      </c>
      <c r="C621" s="18" t="s">
        <v>3719</v>
      </c>
      <c r="D621" s="18" t="s">
        <v>1213</v>
      </c>
      <c r="E621" s="36">
        <v>5413256920766</v>
      </c>
      <c r="F621" s="18" t="s">
        <v>1185</v>
      </c>
      <c r="G621" s="18" t="s">
        <v>1214</v>
      </c>
      <c r="H621" s="25">
        <v>58</v>
      </c>
    </row>
    <row r="622" spans="1:8" ht="18" hidden="1" customHeight="1" outlineLevel="2" x14ac:dyDescent="0.2">
      <c r="A622" s="18"/>
      <c r="B622" s="18" t="s">
        <v>3195</v>
      </c>
      <c r="C622" s="18" t="s">
        <v>3719</v>
      </c>
      <c r="D622" s="18" t="s">
        <v>1215</v>
      </c>
      <c r="E622" s="36">
        <v>5413256920803</v>
      </c>
      <c r="F622" s="18" t="s">
        <v>1185</v>
      </c>
      <c r="G622" s="18" t="s">
        <v>1216</v>
      </c>
      <c r="H622" s="25">
        <v>48</v>
      </c>
    </row>
    <row r="623" spans="1:8" ht="18" hidden="1" customHeight="1" outlineLevel="2" x14ac:dyDescent="0.2">
      <c r="A623" s="18"/>
      <c r="B623" s="18" t="s">
        <v>3196</v>
      </c>
      <c r="C623" s="18" t="s">
        <v>3719</v>
      </c>
      <c r="D623" s="18" t="s">
        <v>1217</v>
      </c>
      <c r="E623" s="36">
        <v>5413256920865</v>
      </c>
      <c r="F623" s="18" t="s">
        <v>1185</v>
      </c>
      <c r="G623" s="18" t="s">
        <v>521</v>
      </c>
      <c r="H623" s="25">
        <v>34</v>
      </c>
    </row>
    <row r="624" spans="1:8" ht="18" hidden="1" customHeight="1" outlineLevel="2" x14ac:dyDescent="0.2">
      <c r="A624" s="18"/>
      <c r="B624" s="18"/>
      <c r="C624" s="18"/>
      <c r="D624" s="18"/>
      <c r="E624" s="36"/>
      <c r="F624" s="18"/>
      <c r="G624" s="18"/>
    </row>
    <row r="625" spans="1:8" ht="18" hidden="1" customHeight="1" outlineLevel="2" x14ac:dyDescent="0.2">
      <c r="A625" s="18"/>
      <c r="B625" s="18" t="s">
        <v>4232</v>
      </c>
      <c r="C625" s="18" t="s">
        <v>3717</v>
      </c>
      <c r="D625" s="18" t="s">
        <v>4233</v>
      </c>
      <c r="E625" s="36"/>
      <c r="F625" s="18" t="s">
        <v>1185</v>
      </c>
      <c r="G625" s="94">
        <v>0.375</v>
      </c>
    </row>
    <row r="626" spans="1:8" ht="18" hidden="1" customHeight="1" outlineLevel="2" x14ac:dyDescent="0.2">
      <c r="A626" s="18"/>
      <c r="B626" s="18" t="s">
        <v>3197</v>
      </c>
      <c r="C626" s="18" t="s">
        <v>3717</v>
      </c>
      <c r="D626" s="18" t="s">
        <v>1218</v>
      </c>
      <c r="E626" s="36">
        <v>5413256921282</v>
      </c>
      <c r="F626" s="18" t="s">
        <v>1185</v>
      </c>
      <c r="G626" s="18" t="s">
        <v>1201</v>
      </c>
      <c r="H626" s="25">
        <v>88</v>
      </c>
    </row>
    <row r="627" spans="1:8" ht="18" hidden="1" customHeight="1" outlineLevel="2" x14ac:dyDescent="0.2">
      <c r="A627" s="18"/>
      <c r="B627" s="18" t="s">
        <v>3198</v>
      </c>
      <c r="C627" s="18" t="s">
        <v>3717</v>
      </c>
      <c r="D627" s="18" t="s">
        <v>1219</v>
      </c>
      <c r="E627" s="36">
        <v>5413256921305</v>
      </c>
      <c r="F627" s="18" t="s">
        <v>1185</v>
      </c>
      <c r="G627" s="18" t="s">
        <v>1202</v>
      </c>
      <c r="H627" s="25">
        <v>78</v>
      </c>
    </row>
    <row r="628" spans="1:8" ht="18" hidden="1" customHeight="1" outlineLevel="2" x14ac:dyDescent="0.2">
      <c r="A628" s="18"/>
      <c r="B628" s="18" t="s">
        <v>3199</v>
      </c>
      <c r="C628" s="18" t="s">
        <v>3717</v>
      </c>
      <c r="D628" s="18" t="s">
        <v>1220</v>
      </c>
      <c r="E628" s="36">
        <v>5413256921329</v>
      </c>
      <c r="F628" s="18" t="s">
        <v>1185</v>
      </c>
      <c r="G628" s="18" t="s">
        <v>1208</v>
      </c>
      <c r="H628" s="25">
        <v>72</v>
      </c>
    </row>
    <row r="629" spans="1:8" ht="18" hidden="1" customHeight="1" outlineLevel="2" x14ac:dyDescent="0.2">
      <c r="A629" s="18"/>
      <c r="B629" s="18" t="s">
        <v>3200</v>
      </c>
      <c r="C629" s="18" t="s">
        <v>3717</v>
      </c>
      <c r="D629" s="18" t="s">
        <v>1221</v>
      </c>
      <c r="E629" s="36">
        <v>5413256921367</v>
      </c>
      <c r="F629" s="18" t="s">
        <v>1185</v>
      </c>
      <c r="G629" s="18" t="s">
        <v>1210</v>
      </c>
      <c r="H629" s="25">
        <v>64</v>
      </c>
    </row>
    <row r="630" spans="1:8" ht="18" hidden="1" customHeight="1" outlineLevel="2" x14ac:dyDescent="0.2">
      <c r="A630" s="18"/>
      <c r="B630" s="18" t="s">
        <v>3201</v>
      </c>
      <c r="C630" s="18" t="s">
        <v>3717</v>
      </c>
      <c r="D630" s="18" t="s">
        <v>1222</v>
      </c>
      <c r="E630" s="36">
        <v>5413256921404</v>
      </c>
      <c r="F630" s="18" t="s">
        <v>1185</v>
      </c>
      <c r="G630" s="18" t="s">
        <v>1212</v>
      </c>
      <c r="H630" s="25">
        <v>48</v>
      </c>
    </row>
    <row r="631" spans="1:8" ht="18" hidden="1" customHeight="1" outlineLevel="2" x14ac:dyDescent="0.2">
      <c r="A631" s="18"/>
      <c r="B631" s="18" t="s">
        <v>3202</v>
      </c>
      <c r="C631" s="18" t="s">
        <v>3717</v>
      </c>
      <c r="D631" s="18" t="s">
        <v>1223</v>
      </c>
      <c r="E631" s="36">
        <v>5413256921442</v>
      </c>
      <c r="F631" s="18" t="s">
        <v>1185</v>
      </c>
      <c r="G631" s="18" t="s">
        <v>1214</v>
      </c>
      <c r="H631" s="25">
        <v>36</v>
      </c>
    </row>
    <row r="632" spans="1:8" ht="18" hidden="1" customHeight="1" outlineLevel="2" x14ac:dyDescent="0.2">
      <c r="A632" s="18"/>
      <c r="B632" s="18" t="s">
        <v>3203</v>
      </c>
      <c r="C632" s="18" t="s">
        <v>3717</v>
      </c>
      <c r="D632" s="18" t="s">
        <v>1224</v>
      </c>
      <c r="E632" s="36">
        <v>5413256921480</v>
      </c>
      <c r="F632" s="18" t="s">
        <v>1185</v>
      </c>
      <c r="G632" s="18" t="s">
        <v>1216</v>
      </c>
      <c r="H632" s="25">
        <v>32</v>
      </c>
    </row>
    <row r="633" spans="1:8" ht="18" hidden="1" customHeight="1" outlineLevel="2" x14ac:dyDescent="0.2">
      <c r="A633" s="18"/>
      <c r="B633" s="18" t="s">
        <v>3204</v>
      </c>
      <c r="C633" s="18" t="s">
        <v>3717</v>
      </c>
      <c r="D633" s="18" t="s">
        <v>1225</v>
      </c>
      <c r="E633" s="36">
        <v>5413256921541</v>
      </c>
      <c r="F633" s="18" t="s">
        <v>1185</v>
      </c>
      <c r="G633" s="18" t="s">
        <v>521</v>
      </c>
      <c r="H633" s="25">
        <v>24</v>
      </c>
    </row>
    <row r="634" spans="1:8" ht="18" hidden="1" customHeight="1" outlineLevel="2" x14ac:dyDescent="0.2">
      <c r="A634" s="18"/>
      <c r="B634" s="18" t="s">
        <v>3205</v>
      </c>
      <c r="C634" s="18" t="s">
        <v>3717</v>
      </c>
      <c r="D634" s="18" t="s">
        <v>1226</v>
      </c>
      <c r="E634" s="36">
        <v>5413256921626</v>
      </c>
      <c r="F634" s="18" t="s">
        <v>1185</v>
      </c>
      <c r="G634" s="18" t="s">
        <v>522</v>
      </c>
      <c r="H634" s="25">
        <v>14</v>
      </c>
    </row>
    <row r="635" spans="1:8" ht="18" hidden="1" customHeight="1" outlineLevel="2" x14ac:dyDescent="0.2">
      <c r="A635" s="18"/>
      <c r="B635" s="18" t="s">
        <v>3206</v>
      </c>
      <c r="C635" s="18" t="s">
        <v>3717</v>
      </c>
      <c r="D635" s="18" t="s">
        <v>1227</v>
      </c>
      <c r="E635" s="36">
        <v>5413256921688</v>
      </c>
      <c r="F635" s="18" t="s">
        <v>1185</v>
      </c>
      <c r="G635" s="18" t="s">
        <v>523</v>
      </c>
      <c r="H635" s="25">
        <v>12</v>
      </c>
    </row>
    <row r="636" spans="1:8" ht="18" hidden="1" customHeight="1" outlineLevel="2" x14ac:dyDescent="0.2">
      <c r="A636" s="18"/>
      <c r="B636" s="18" t="s">
        <v>3207</v>
      </c>
      <c r="C636" s="18" t="s">
        <v>3717</v>
      </c>
      <c r="D636" s="18" t="s">
        <v>1228</v>
      </c>
      <c r="E636" s="36">
        <v>5413256921749</v>
      </c>
      <c r="F636" s="18" t="s">
        <v>1185</v>
      </c>
      <c r="G636" s="18" t="s">
        <v>1229</v>
      </c>
      <c r="H636" s="25">
        <v>8</v>
      </c>
    </row>
    <row r="637" spans="1:8" ht="18" hidden="1" customHeight="1" outlineLevel="2" x14ac:dyDescent="0.2">
      <c r="A637" s="18"/>
      <c r="B637" s="18" t="s">
        <v>3208</v>
      </c>
      <c r="C637" s="18" t="s">
        <v>3717</v>
      </c>
      <c r="D637" s="18" t="s">
        <v>1230</v>
      </c>
      <c r="E637" s="36">
        <v>5413256921503</v>
      </c>
      <c r="F637" s="18" t="s">
        <v>1185</v>
      </c>
      <c r="G637" s="18" t="s">
        <v>1231</v>
      </c>
      <c r="H637" s="25">
        <v>24</v>
      </c>
    </row>
    <row r="638" spans="1:8" ht="18" hidden="1" customHeight="1" outlineLevel="2" x14ac:dyDescent="0.2">
      <c r="A638" s="18"/>
      <c r="B638" s="18" t="s">
        <v>3209</v>
      </c>
      <c r="C638" s="18" t="s">
        <v>3717</v>
      </c>
      <c r="D638" s="18" t="s">
        <v>1232</v>
      </c>
      <c r="E638" s="36">
        <v>5413256921589</v>
      </c>
      <c r="F638" s="18" t="s">
        <v>1185</v>
      </c>
      <c r="G638" s="18" t="s">
        <v>1233</v>
      </c>
      <c r="H638" s="25">
        <v>18</v>
      </c>
    </row>
    <row r="639" spans="1:8" ht="18" hidden="1" customHeight="1" outlineLevel="2" x14ac:dyDescent="0.2">
      <c r="A639" s="18"/>
      <c r="B639" s="18" t="s">
        <v>3210</v>
      </c>
      <c r="C639" s="18" t="s">
        <v>3717</v>
      </c>
      <c r="D639" s="18" t="s">
        <v>1234</v>
      </c>
      <c r="E639" s="36">
        <v>5413256921640</v>
      </c>
      <c r="F639" s="18" t="s">
        <v>1185</v>
      </c>
      <c r="G639" s="18"/>
      <c r="H639" s="25">
        <v>14</v>
      </c>
    </row>
    <row r="640" spans="1:8" ht="18" hidden="1" customHeight="1" outlineLevel="2" x14ac:dyDescent="0.2">
      <c r="A640" s="18"/>
      <c r="B640" s="18" t="s">
        <v>3211</v>
      </c>
      <c r="C640" s="18" t="s">
        <v>3717</v>
      </c>
      <c r="D640" s="18" t="s">
        <v>1235</v>
      </c>
      <c r="E640" s="36">
        <v>5413256921664</v>
      </c>
      <c r="F640" s="18" t="s">
        <v>1185</v>
      </c>
      <c r="G640" s="18" t="s">
        <v>1236</v>
      </c>
      <c r="H640" s="25">
        <v>12</v>
      </c>
    </row>
    <row r="641" spans="1:8" ht="18" hidden="1" customHeight="1" outlineLevel="2" x14ac:dyDescent="0.2">
      <c r="A641" s="18"/>
      <c r="B641" s="18" t="s">
        <v>3212</v>
      </c>
      <c r="C641" s="18" t="s">
        <v>3717</v>
      </c>
      <c r="D641" s="18" t="s">
        <v>1237</v>
      </c>
      <c r="E641" s="36">
        <v>5413256921701</v>
      </c>
      <c r="F641" s="18" t="s">
        <v>1185</v>
      </c>
      <c r="G641" s="18" t="s">
        <v>1238</v>
      </c>
      <c r="H641" s="25">
        <v>12</v>
      </c>
    </row>
    <row r="642" spans="1:8" ht="18" hidden="1" customHeight="1" outlineLevel="2" x14ac:dyDescent="0.2">
      <c r="A642" s="18"/>
      <c r="B642" s="18"/>
      <c r="C642" s="18"/>
      <c r="D642" s="18"/>
      <c r="E642" s="36"/>
      <c r="F642" s="18"/>
      <c r="G642" s="18"/>
    </row>
    <row r="643" spans="1:8" ht="18" hidden="1" customHeight="1" outlineLevel="2" x14ac:dyDescent="0.2">
      <c r="A643" s="18"/>
      <c r="B643" s="18" t="s">
        <v>3213</v>
      </c>
      <c r="C643" s="18" t="s">
        <v>3718</v>
      </c>
      <c r="D643" s="18" t="s">
        <v>1239</v>
      </c>
      <c r="E643" s="36">
        <v>5413256922821</v>
      </c>
      <c r="F643" s="18" t="s">
        <v>1185</v>
      </c>
      <c r="G643" s="18" t="s">
        <v>1208</v>
      </c>
      <c r="H643" s="25">
        <v>32</v>
      </c>
    </row>
    <row r="644" spans="1:8" ht="18" hidden="1" customHeight="1" outlineLevel="2" x14ac:dyDescent="0.2">
      <c r="A644" s="18"/>
      <c r="B644" s="18" t="s">
        <v>3214</v>
      </c>
      <c r="C644" s="18" t="s">
        <v>3718</v>
      </c>
      <c r="D644" s="18" t="s">
        <v>1240</v>
      </c>
      <c r="E644" s="36">
        <v>5413256922845</v>
      </c>
      <c r="F644" s="18" t="s">
        <v>1185</v>
      </c>
      <c r="G644" s="18" t="s">
        <v>1210</v>
      </c>
      <c r="H644" s="25">
        <v>32</v>
      </c>
    </row>
    <row r="645" spans="1:8" ht="18" hidden="1" customHeight="1" outlineLevel="2" x14ac:dyDescent="0.2">
      <c r="A645" s="18"/>
      <c r="B645" s="18" t="s">
        <v>3215</v>
      </c>
      <c r="C645" s="18" t="s">
        <v>3718</v>
      </c>
      <c r="D645" s="18" t="s">
        <v>1241</v>
      </c>
      <c r="E645" s="36">
        <v>5413256922869</v>
      </c>
      <c r="F645" s="18" t="s">
        <v>1185</v>
      </c>
      <c r="G645" s="18" t="s">
        <v>1212</v>
      </c>
      <c r="H645" s="25">
        <v>24</v>
      </c>
    </row>
    <row r="646" spans="1:8" ht="18" hidden="1" customHeight="1" outlineLevel="2" x14ac:dyDescent="0.2">
      <c r="A646" s="18"/>
      <c r="B646" s="18" t="s">
        <v>3216</v>
      </c>
      <c r="C646" s="18" t="s">
        <v>3718</v>
      </c>
      <c r="D646" s="18" t="s">
        <v>1242</v>
      </c>
      <c r="E646" s="36">
        <v>5413256922883</v>
      </c>
      <c r="F646" s="18" t="s">
        <v>1185</v>
      </c>
      <c r="G646" s="18" t="s">
        <v>1214</v>
      </c>
      <c r="H646" s="25">
        <v>22</v>
      </c>
    </row>
    <row r="647" spans="1:8" ht="18" hidden="1" customHeight="1" outlineLevel="2" x14ac:dyDescent="0.2">
      <c r="A647" s="18"/>
      <c r="B647" s="18" t="s">
        <v>3217</v>
      </c>
      <c r="C647" s="18" t="s">
        <v>3718</v>
      </c>
      <c r="D647" s="18" t="s">
        <v>1243</v>
      </c>
      <c r="E647" s="36">
        <v>5413256922906</v>
      </c>
      <c r="F647" s="18" t="s">
        <v>1185</v>
      </c>
      <c r="G647" s="18" t="s">
        <v>1216</v>
      </c>
      <c r="H647" s="25">
        <v>16</v>
      </c>
    </row>
    <row r="648" spans="1:8" ht="18" hidden="1" customHeight="1" outlineLevel="2" x14ac:dyDescent="0.2">
      <c r="A648" s="18"/>
      <c r="B648" s="18" t="s">
        <v>3218</v>
      </c>
      <c r="C648" s="18" t="s">
        <v>3718</v>
      </c>
      <c r="D648" s="18" t="s">
        <v>1244</v>
      </c>
      <c r="E648" s="36">
        <v>5413256922944</v>
      </c>
      <c r="F648" s="18" t="s">
        <v>1185</v>
      </c>
      <c r="G648" s="18" t="s">
        <v>521</v>
      </c>
      <c r="H648" s="25">
        <v>12</v>
      </c>
    </row>
    <row r="649" spans="1:8" ht="18" hidden="1" customHeight="1" outlineLevel="2" x14ac:dyDescent="0.2">
      <c r="A649" s="18"/>
      <c r="B649" s="18" t="s">
        <v>3219</v>
      </c>
      <c r="C649" s="18" t="s">
        <v>3718</v>
      </c>
      <c r="D649" s="18" t="s">
        <v>1245</v>
      </c>
      <c r="E649" s="36">
        <v>5413256923002</v>
      </c>
      <c r="F649" s="18" t="s">
        <v>1185</v>
      </c>
      <c r="G649" s="18" t="s">
        <v>522</v>
      </c>
      <c r="H649" s="25">
        <v>8</v>
      </c>
    </row>
    <row r="650" spans="1:8" ht="18" hidden="1" customHeight="1" outlineLevel="2" x14ac:dyDescent="0.2">
      <c r="A650" s="18"/>
      <c r="B650" s="18" t="s">
        <v>3220</v>
      </c>
      <c r="C650" s="18" t="s">
        <v>3718</v>
      </c>
      <c r="D650" s="18" t="s">
        <v>1246</v>
      </c>
      <c r="E650" s="36">
        <v>5413256923064</v>
      </c>
      <c r="F650" s="18" t="s">
        <v>1185</v>
      </c>
      <c r="G650" s="18" t="s">
        <v>523</v>
      </c>
      <c r="H650" s="25">
        <v>8</v>
      </c>
    </row>
    <row r="651" spans="1:8" ht="18" hidden="1" customHeight="1" outlineLevel="2" x14ac:dyDescent="0.2">
      <c r="A651" s="18"/>
      <c r="B651" s="18"/>
      <c r="C651" s="18" t="s">
        <v>3718</v>
      </c>
      <c r="D651" s="18" t="s">
        <v>1247</v>
      </c>
      <c r="E651" s="36">
        <v>5413256923101</v>
      </c>
      <c r="F651" s="18" t="s">
        <v>1185</v>
      </c>
      <c r="G651" s="18" t="s">
        <v>1229</v>
      </c>
      <c r="H651" s="25">
        <v>4</v>
      </c>
    </row>
    <row r="652" spans="1:8" ht="18" hidden="1" customHeight="1" outlineLevel="2" x14ac:dyDescent="0.2">
      <c r="A652" s="18"/>
      <c r="B652" s="18"/>
      <c r="C652" s="18" t="s">
        <v>3718</v>
      </c>
      <c r="D652" s="18" t="s">
        <v>1248</v>
      </c>
      <c r="E652" s="36">
        <v>5413256922920</v>
      </c>
      <c r="F652" s="18" t="s">
        <v>1185</v>
      </c>
      <c r="G652" s="18" t="s">
        <v>1231</v>
      </c>
      <c r="H652" s="25">
        <v>12</v>
      </c>
    </row>
    <row r="653" spans="1:8" ht="18" hidden="1" customHeight="1" outlineLevel="2" x14ac:dyDescent="0.2">
      <c r="A653" s="18"/>
      <c r="B653" s="18" t="s">
        <v>3221</v>
      </c>
      <c r="C653" s="18" t="s">
        <v>3718</v>
      </c>
      <c r="D653" s="18" t="s">
        <v>1249</v>
      </c>
      <c r="E653" s="36">
        <v>5413256922968</v>
      </c>
      <c r="F653" s="18" t="s">
        <v>1185</v>
      </c>
      <c r="G653" s="18" t="s">
        <v>1233</v>
      </c>
      <c r="H653" s="25">
        <v>10</v>
      </c>
    </row>
    <row r="654" spans="1:8" ht="18" hidden="1" customHeight="1" outlineLevel="2" x14ac:dyDescent="0.2">
      <c r="A654" s="18"/>
      <c r="B654" s="18" t="s">
        <v>3222</v>
      </c>
      <c r="C654" s="18" t="s">
        <v>3718</v>
      </c>
      <c r="D654" s="18" t="s">
        <v>1250</v>
      </c>
      <c r="E654" s="36">
        <v>5413256923026</v>
      </c>
      <c r="F654" s="18" t="s">
        <v>1185</v>
      </c>
      <c r="G654" s="18"/>
      <c r="H654" s="25">
        <v>8</v>
      </c>
    </row>
    <row r="655" spans="1:8" ht="18" hidden="1" customHeight="1" outlineLevel="2" x14ac:dyDescent="0.2">
      <c r="A655" s="18"/>
      <c r="B655" s="18"/>
      <c r="C655" s="18" t="s">
        <v>3718</v>
      </c>
      <c r="D655" s="18" t="s">
        <v>1251</v>
      </c>
      <c r="E655" s="36">
        <v>5413256923040</v>
      </c>
      <c r="F655" s="18" t="s">
        <v>1185</v>
      </c>
      <c r="G655" s="18" t="s">
        <v>1236</v>
      </c>
      <c r="H655" s="25">
        <v>8</v>
      </c>
    </row>
    <row r="656" spans="1:8" ht="18" hidden="1" customHeight="1" outlineLevel="2" x14ac:dyDescent="0.2">
      <c r="A656" s="18"/>
      <c r="B656" s="18" t="s">
        <v>3223</v>
      </c>
      <c r="C656" s="18" t="s">
        <v>3718</v>
      </c>
      <c r="D656" s="18" t="s">
        <v>1252</v>
      </c>
      <c r="E656" s="36">
        <v>5413256923088</v>
      </c>
      <c r="F656" s="18" t="s">
        <v>1185</v>
      </c>
      <c r="G656" s="18" t="s">
        <v>1238</v>
      </c>
      <c r="H656" s="25">
        <v>6</v>
      </c>
    </row>
    <row r="657" spans="1:8" ht="18" hidden="1" customHeight="1" outlineLevel="2" x14ac:dyDescent="0.2">
      <c r="A657" s="18"/>
      <c r="B657" s="18"/>
      <c r="C657" s="18"/>
      <c r="D657" s="18"/>
      <c r="E657" s="36"/>
      <c r="F657" s="18"/>
      <c r="G657" s="18"/>
    </row>
    <row r="658" spans="1:8" ht="18" hidden="1" customHeight="1" outlineLevel="2" x14ac:dyDescent="0.2">
      <c r="A658" s="18"/>
      <c r="B658" s="18"/>
      <c r="C658" s="18" t="s">
        <v>1253</v>
      </c>
      <c r="D658" s="18" t="s">
        <v>1254</v>
      </c>
      <c r="E658" s="36">
        <v>5413256917186</v>
      </c>
      <c r="F658" s="18" t="s">
        <v>1185</v>
      </c>
      <c r="G658" s="18"/>
      <c r="H658" s="25">
        <v>13</v>
      </c>
    </row>
    <row r="659" spans="1:8" ht="18" hidden="1" customHeight="1" outlineLevel="2" x14ac:dyDescent="0.2">
      <c r="A659" s="18"/>
      <c r="B659" s="18"/>
      <c r="C659" s="18" t="s">
        <v>1253</v>
      </c>
      <c r="D659" s="18" t="s">
        <v>1255</v>
      </c>
      <c r="E659" s="36">
        <v>5413256917186</v>
      </c>
      <c r="F659" s="18" t="s">
        <v>1185</v>
      </c>
      <c r="G659" s="18"/>
      <c r="H659" s="25" t="s">
        <v>57</v>
      </c>
    </row>
    <row r="660" spans="1:8" ht="18" hidden="1" customHeight="1" outlineLevel="2" x14ac:dyDescent="0.2">
      <c r="A660" s="18"/>
      <c r="B660" s="18" t="s">
        <v>3224</v>
      </c>
      <c r="C660" s="18" t="s">
        <v>1256</v>
      </c>
      <c r="D660" s="18" t="s">
        <v>1254</v>
      </c>
      <c r="E660" s="36">
        <v>5413256917209</v>
      </c>
      <c r="F660" s="18" t="s">
        <v>1185</v>
      </c>
      <c r="G660" s="18"/>
      <c r="H660" s="25">
        <v>9</v>
      </c>
    </row>
    <row r="661" spans="1:8" ht="18" hidden="1" customHeight="1" outlineLevel="2" x14ac:dyDescent="0.2">
      <c r="A661" s="18"/>
      <c r="B661" s="18"/>
      <c r="C661" s="18" t="s">
        <v>1256</v>
      </c>
      <c r="D661" s="18" t="s">
        <v>1255</v>
      </c>
      <c r="E661" s="36">
        <v>5413256917209</v>
      </c>
      <c r="F661" s="18" t="s">
        <v>1185</v>
      </c>
      <c r="G661" s="18"/>
      <c r="H661" s="25" t="s">
        <v>3079</v>
      </c>
    </row>
    <row r="662" spans="1:8" ht="18" hidden="1" customHeight="1" outlineLevel="2" x14ac:dyDescent="0.2">
      <c r="A662" s="18"/>
      <c r="B662" s="18"/>
      <c r="C662" s="18" t="s">
        <v>1257</v>
      </c>
      <c r="D662" s="18" t="s">
        <v>1254</v>
      </c>
      <c r="E662" s="36">
        <v>5413256917247</v>
      </c>
      <c r="F662" s="18" t="s">
        <v>1185</v>
      </c>
      <c r="G662" s="18"/>
      <c r="H662" s="25">
        <v>7</v>
      </c>
    </row>
    <row r="663" spans="1:8" ht="18" hidden="1" customHeight="1" outlineLevel="2" x14ac:dyDescent="0.2">
      <c r="A663" s="18"/>
      <c r="B663" s="18"/>
      <c r="C663" s="18" t="s">
        <v>1257</v>
      </c>
      <c r="D663" s="18" t="s">
        <v>1255</v>
      </c>
      <c r="E663" s="36">
        <v>5413256917247</v>
      </c>
      <c r="F663" s="18" t="s">
        <v>1185</v>
      </c>
      <c r="G663" s="18"/>
      <c r="H663" s="25" t="s">
        <v>3080</v>
      </c>
    </row>
    <row r="664" spans="1:8" ht="18" hidden="1" customHeight="1" outlineLevel="2" x14ac:dyDescent="0.2">
      <c r="A664" s="18"/>
      <c r="B664" s="18"/>
      <c r="C664" s="18"/>
      <c r="D664" s="18"/>
      <c r="E664" s="36"/>
      <c r="F664" s="18"/>
      <c r="G664" s="18"/>
    </row>
    <row r="665" spans="1:8" ht="18" hidden="1" customHeight="1" outlineLevel="1" x14ac:dyDescent="0.2">
      <c r="A665" s="119" t="s">
        <v>3715</v>
      </c>
      <c r="B665" s="120" t="s">
        <v>3225</v>
      </c>
      <c r="C665" s="120"/>
      <c r="D665" s="120"/>
      <c r="E665" s="120"/>
      <c r="F665" s="120"/>
      <c r="G665" s="120"/>
      <c r="H665" s="120"/>
    </row>
    <row r="666" spans="1:8" ht="18" hidden="1" customHeight="1" outlineLevel="2" x14ac:dyDescent="0.2">
      <c r="A666" s="18"/>
      <c r="B666" s="18" t="s">
        <v>352</v>
      </c>
      <c r="C666" s="18" t="s">
        <v>1258</v>
      </c>
      <c r="D666" s="18" t="s">
        <v>1204</v>
      </c>
      <c r="E666" s="36">
        <v>0</v>
      </c>
      <c r="F666" s="18" t="s">
        <v>1185</v>
      </c>
      <c r="G666" s="18" t="s">
        <v>1200</v>
      </c>
      <c r="H666" s="105">
        <v>0</v>
      </c>
    </row>
    <row r="667" spans="1:8" ht="18" hidden="1" customHeight="1" outlineLevel="2" x14ac:dyDescent="0.2">
      <c r="A667" s="18"/>
      <c r="B667" s="18" t="s">
        <v>352</v>
      </c>
      <c r="C667" s="18" t="s">
        <v>1258</v>
      </c>
      <c r="D667" s="18" t="s">
        <v>1205</v>
      </c>
      <c r="E667" s="36">
        <v>0</v>
      </c>
      <c r="F667" s="18" t="s">
        <v>1185</v>
      </c>
      <c r="G667" s="18" t="s">
        <v>1201</v>
      </c>
      <c r="H667" s="105">
        <v>0</v>
      </c>
    </row>
    <row r="668" spans="1:8" ht="18" hidden="1" customHeight="1" outlineLevel="2" x14ac:dyDescent="0.2">
      <c r="A668" s="18"/>
      <c r="B668" s="18" t="s">
        <v>352</v>
      </c>
      <c r="C668" s="18" t="s">
        <v>1258</v>
      </c>
      <c r="D668" s="18" t="s">
        <v>1206</v>
      </c>
      <c r="E668" s="36">
        <v>0</v>
      </c>
      <c r="F668" s="18" t="s">
        <v>1185</v>
      </c>
      <c r="G668" s="18" t="s">
        <v>1202</v>
      </c>
      <c r="H668" s="105">
        <v>0</v>
      </c>
    </row>
    <row r="669" spans="1:8" ht="18" hidden="1" customHeight="1" outlineLevel="2" x14ac:dyDescent="0.2">
      <c r="A669" s="18"/>
      <c r="B669" s="18" t="s">
        <v>3226</v>
      </c>
      <c r="C669" s="18" t="s">
        <v>1258</v>
      </c>
      <c r="D669" s="18" t="s">
        <v>1207</v>
      </c>
      <c r="E669" s="36">
        <v>0</v>
      </c>
      <c r="F669" s="18" t="s">
        <v>1185</v>
      </c>
      <c r="G669" s="18" t="s">
        <v>1208</v>
      </c>
      <c r="H669" s="105">
        <v>0</v>
      </c>
    </row>
    <row r="670" spans="1:8" ht="18" hidden="1" customHeight="1" outlineLevel="2" x14ac:dyDescent="0.2">
      <c r="A670" s="18"/>
      <c r="B670" s="18" t="s">
        <v>3227</v>
      </c>
      <c r="C670" s="18" t="s">
        <v>1258</v>
      </c>
      <c r="D670" s="18" t="s">
        <v>1209</v>
      </c>
      <c r="E670" s="36">
        <v>0</v>
      </c>
      <c r="F670" s="18" t="s">
        <v>1185</v>
      </c>
      <c r="G670" s="18" t="s">
        <v>1210</v>
      </c>
      <c r="H670" s="105">
        <v>0</v>
      </c>
    </row>
    <row r="671" spans="1:8" ht="18" hidden="1" customHeight="1" outlineLevel="2" x14ac:dyDescent="0.2">
      <c r="A671" s="18"/>
      <c r="B671" s="18" t="s">
        <v>3228</v>
      </c>
      <c r="C671" s="18" t="s">
        <v>1258</v>
      </c>
      <c r="D671" s="18" t="s">
        <v>1211</v>
      </c>
      <c r="E671" s="36">
        <v>0</v>
      </c>
      <c r="F671" s="18" t="s">
        <v>1185</v>
      </c>
      <c r="G671" s="18" t="s">
        <v>1212</v>
      </c>
      <c r="H671" s="105">
        <v>0</v>
      </c>
    </row>
    <row r="672" spans="1:8" ht="18" hidden="1" customHeight="1" outlineLevel="2" x14ac:dyDescent="0.2">
      <c r="A672" s="18"/>
      <c r="B672" s="18" t="s">
        <v>3229</v>
      </c>
      <c r="C672" s="18" t="s">
        <v>1258</v>
      </c>
      <c r="D672" s="18" t="s">
        <v>1213</v>
      </c>
      <c r="E672" s="36">
        <v>0</v>
      </c>
      <c r="F672" s="18" t="s">
        <v>1185</v>
      </c>
      <c r="G672" s="18" t="s">
        <v>1214</v>
      </c>
      <c r="H672" s="105">
        <v>0</v>
      </c>
    </row>
    <row r="673" spans="1:8" ht="18" hidden="1" customHeight="1" outlineLevel="2" x14ac:dyDescent="0.2">
      <c r="A673" s="18"/>
      <c r="B673" s="18" t="s">
        <v>3230</v>
      </c>
      <c r="C673" s="18" t="s">
        <v>1258</v>
      </c>
      <c r="D673" s="18" t="s">
        <v>1215</v>
      </c>
      <c r="E673" s="36">
        <v>0</v>
      </c>
      <c r="F673" s="18" t="s">
        <v>1185</v>
      </c>
      <c r="G673" s="18" t="s">
        <v>1216</v>
      </c>
      <c r="H673" s="105">
        <v>0</v>
      </c>
    </row>
    <row r="674" spans="1:8" ht="18" hidden="1" customHeight="1" outlineLevel="2" x14ac:dyDescent="0.2">
      <c r="A674" s="18"/>
      <c r="B674" s="18" t="s">
        <v>3231</v>
      </c>
      <c r="C674" s="18" t="s">
        <v>1258</v>
      </c>
      <c r="D674" s="18" t="s">
        <v>1217</v>
      </c>
      <c r="E674" s="36">
        <v>0</v>
      </c>
      <c r="F674" s="18" t="s">
        <v>1185</v>
      </c>
      <c r="G674" s="18" t="s">
        <v>521</v>
      </c>
      <c r="H674" s="105">
        <v>0</v>
      </c>
    </row>
    <row r="675" spans="1:8" ht="18" hidden="1" customHeight="1" outlineLevel="2" x14ac:dyDescent="0.2">
      <c r="A675" s="18"/>
      <c r="B675" s="18"/>
      <c r="C675" s="18"/>
      <c r="D675" s="18"/>
      <c r="E675" s="36"/>
      <c r="F675" s="18"/>
      <c r="G675" s="18"/>
    </row>
    <row r="676" spans="1:8" ht="18" hidden="1" customHeight="1" outlineLevel="2" x14ac:dyDescent="0.2">
      <c r="A676" s="18"/>
      <c r="B676" s="18" t="s">
        <v>352</v>
      </c>
      <c r="C676" s="18" t="s">
        <v>1259</v>
      </c>
      <c r="D676" s="18" t="s">
        <v>1218</v>
      </c>
      <c r="E676" s="36">
        <v>0</v>
      </c>
      <c r="F676" s="18" t="s">
        <v>1185</v>
      </c>
      <c r="G676" s="18" t="s">
        <v>1201</v>
      </c>
      <c r="H676" s="25">
        <v>0</v>
      </c>
    </row>
    <row r="677" spans="1:8" ht="18" hidden="1" customHeight="1" outlineLevel="2" x14ac:dyDescent="0.2">
      <c r="A677" s="18"/>
      <c r="B677" s="18" t="s">
        <v>352</v>
      </c>
      <c r="C677" s="18" t="s">
        <v>1259</v>
      </c>
      <c r="D677" s="18" t="s">
        <v>1219</v>
      </c>
      <c r="E677" s="36">
        <v>0</v>
      </c>
      <c r="F677" s="18" t="s">
        <v>1185</v>
      </c>
      <c r="G677" s="18" t="s">
        <v>1202</v>
      </c>
      <c r="H677" s="25">
        <v>0</v>
      </c>
    </row>
    <row r="678" spans="1:8" ht="18" hidden="1" customHeight="1" outlineLevel="2" x14ac:dyDescent="0.2">
      <c r="A678" s="18"/>
      <c r="B678" s="18" t="s">
        <v>3232</v>
      </c>
      <c r="C678" s="18" t="s">
        <v>1259</v>
      </c>
      <c r="D678" s="18" t="s">
        <v>1220</v>
      </c>
      <c r="E678" s="36">
        <v>0</v>
      </c>
      <c r="F678" s="18" t="s">
        <v>1185</v>
      </c>
      <c r="G678" s="18" t="s">
        <v>1208</v>
      </c>
      <c r="H678" s="25">
        <v>0</v>
      </c>
    </row>
    <row r="679" spans="1:8" ht="18" hidden="1" customHeight="1" outlineLevel="2" x14ac:dyDescent="0.2">
      <c r="A679" s="18"/>
      <c r="B679" s="18" t="s">
        <v>3233</v>
      </c>
      <c r="C679" s="18" t="s">
        <v>1259</v>
      </c>
      <c r="D679" s="18" t="s">
        <v>1221</v>
      </c>
      <c r="E679" s="36">
        <v>0</v>
      </c>
      <c r="F679" s="18" t="s">
        <v>1185</v>
      </c>
      <c r="G679" s="18" t="s">
        <v>1210</v>
      </c>
      <c r="H679" s="25">
        <v>0</v>
      </c>
    </row>
    <row r="680" spans="1:8" ht="18" hidden="1" customHeight="1" outlineLevel="2" x14ac:dyDescent="0.2">
      <c r="A680" s="18"/>
      <c r="B680" s="18" t="s">
        <v>3234</v>
      </c>
      <c r="C680" s="18" t="s">
        <v>1259</v>
      </c>
      <c r="D680" s="18" t="s">
        <v>1222</v>
      </c>
      <c r="E680" s="36">
        <v>0</v>
      </c>
      <c r="F680" s="18" t="s">
        <v>1185</v>
      </c>
      <c r="G680" s="18" t="s">
        <v>1212</v>
      </c>
      <c r="H680" s="25">
        <v>0</v>
      </c>
    </row>
    <row r="681" spans="1:8" ht="18" hidden="1" customHeight="1" outlineLevel="2" x14ac:dyDescent="0.2">
      <c r="A681" s="18"/>
      <c r="B681" s="18" t="s">
        <v>3235</v>
      </c>
      <c r="C681" s="18" t="s">
        <v>1259</v>
      </c>
      <c r="D681" s="18" t="s">
        <v>1223</v>
      </c>
      <c r="E681" s="36">
        <v>0</v>
      </c>
      <c r="F681" s="18" t="s">
        <v>1185</v>
      </c>
      <c r="G681" s="18" t="s">
        <v>1214</v>
      </c>
      <c r="H681" s="25">
        <v>0</v>
      </c>
    </row>
    <row r="682" spans="1:8" ht="18" hidden="1" customHeight="1" outlineLevel="2" x14ac:dyDescent="0.2">
      <c r="A682" s="18"/>
      <c r="B682" s="18" t="s">
        <v>3236</v>
      </c>
      <c r="C682" s="18" t="s">
        <v>1259</v>
      </c>
      <c r="D682" s="18" t="s">
        <v>1224</v>
      </c>
      <c r="E682" s="36">
        <v>0</v>
      </c>
      <c r="F682" s="18" t="s">
        <v>1185</v>
      </c>
      <c r="G682" s="18" t="s">
        <v>1216</v>
      </c>
      <c r="H682" s="25">
        <v>0</v>
      </c>
    </row>
    <row r="683" spans="1:8" ht="18" hidden="1" customHeight="1" outlineLevel="2" x14ac:dyDescent="0.2">
      <c r="A683" s="18"/>
      <c r="B683" s="18" t="s">
        <v>3237</v>
      </c>
      <c r="C683" s="18" t="s">
        <v>1259</v>
      </c>
      <c r="D683" s="18" t="s">
        <v>1225</v>
      </c>
      <c r="E683" s="36">
        <v>0</v>
      </c>
      <c r="F683" s="18" t="s">
        <v>1185</v>
      </c>
      <c r="G683" s="18" t="s">
        <v>521</v>
      </c>
      <c r="H683" s="25">
        <v>0</v>
      </c>
    </row>
    <row r="684" spans="1:8" ht="18" hidden="1" customHeight="1" outlineLevel="2" x14ac:dyDescent="0.2">
      <c r="A684" s="18"/>
      <c r="B684" s="18" t="s">
        <v>352</v>
      </c>
      <c r="C684" s="18" t="s">
        <v>1259</v>
      </c>
      <c r="D684" s="18" t="s">
        <v>1226</v>
      </c>
      <c r="E684" s="36">
        <v>0</v>
      </c>
      <c r="F684" s="18" t="s">
        <v>1185</v>
      </c>
      <c r="G684" s="18" t="s">
        <v>522</v>
      </c>
      <c r="H684" s="25">
        <v>0</v>
      </c>
    </row>
    <row r="685" spans="1:8" ht="18" hidden="1" customHeight="1" outlineLevel="2" x14ac:dyDescent="0.2">
      <c r="A685" s="18"/>
      <c r="B685" s="18" t="s">
        <v>352</v>
      </c>
      <c r="C685" s="18" t="s">
        <v>1259</v>
      </c>
      <c r="D685" s="18" t="s">
        <v>1227</v>
      </c>
      <c r="E685" s="36">
        <v>0</v>
      </c>
      <c r="F685" s="18" t="s">
        <v>1185</v>
      </c>
      <c r="G685" s="18" t="s">
        <v>523</v>
      </c>
      <c r="H685" s="25">
        <v>0</v>
      </c>
    </row>
    <row r="686" spans="1:8" ht="18" hidden="1" customHeight="1" outlineLevel="2" x14ac:dyDescent="0.2">
      <c r="A686" s="18"/>
      <c r="B686" s="18" t="s">
        <v>352</v>
      </c>
      <c r="C686" s="18" t="s">
        <v>1259</v>
      </c>
      <c r="D686" s="18" t="s">
        <v>1228</v>
      </c>
      <c r="E686" s="36">
        <v>0</v>
      </c>
      <c r="F686" s="18" t="s">
        <v>1185</v>
      </c>
      <c r="G686" s="18" t="s">
        <v>1229</v>
      </c>
      <c r="H686" s="25">
        <v>0</v>
      </c>
    </row>
    <row r="687" spans="1:8" ht="18" hidden="1" customHeight="1" outlineLevel="2" x14ac:dyDescent="0.2">
      <c r="A687" s="18"/>
      <c r="B687" s="18" t="s">
        <v>352</v>
      </c>
      <c r="C687" s="18" t="s">
        <v>1259</v>
      </c>
      <c r="D687" s="18" t="s">
        <v>1230</v>
      </c>
      <c r="E687" s="36">
        <v>0</v>
      </c>
      <c r="F687" s="18" t="s">
        <v>1185</v>
      </c>
      <c r="G687" s="18" t="s">
        <v>1231</v>
      </c>
      <c r="H687" s="25">
        <v>0</v>
      </c>
    </row>
    <row r="688" spans="1:8" ht="18" hidden="1" customHeight="1" outlineLevel="2" x14ac:dyDescent="0.2">
      <c r="A688" s="18"/>
      <c r="B688" s="18" t="s">
        <v>352</v>
      </c>
      <c r="C688" s="18" t="s">
        <v>1259</v>
      </c>
      <c r="D688" s="18" t="s">
        <v>1232</v>
      </c>
      <c r="E688" s="36">
        <v>0</v>
      </c>
      <c r="F688" s="18" t="s">
        <v>1185</v>
      </c>
      <c r="G688" s="18" t="s">
        <v>1233</v>
      </c>
      <c r="H688" s="25">
        <v>0</v>
      </c>
    </row>
    <row r="689" spans="1:8" ht="18" hidden="1" customHeight="1" outlineLevel="2" x14ac:dyDescent="0.2">
      <c r="A689" s="18"/>
      <c r="B689" s="18" t="s">
        <v>352</v>
      </c>
      <c r="C689" s="18" t="s">
        <v>1259</v>
      </c>
      <c r="D689" s="18" t="s">
        <v>1234</v>
      </c>
      <c r="E689" s="36">
        <v>0</v>
      </c>
      <c r="F689" s="18" t="s">
        <v>1185</v>
      </c>
      <c r="G689" s="18"/>
      <c r="H689" s="25">
        <v>0</v>
      </c>
    </row>
    <row r="690" spans="1:8" ht="18" hidden="1" customHeight="1" outlineLevel="2" x14ac:dyDescent="0.2">
      <c r="A690" s="18"/>
      <c r="B690" s="18" t="s">
        <v>352</v>
      </c>
      <c r="C690" s="18" t="s">
        <v>1259</v>
      </c>
      <c r="D690" s="18" t="s">
        <v>1235</v>
      </c>
      <c r="E690" s="36">
        <v>0</v>
      </c>
      <c r="F690" s="18" t="s">
        <v>1185</v>
      </c>
      <c r="G690" s="18" t="s">
        <v>1236</v>
      </c>
      <c r="H690" s="25">
        <v>0</v>
      </c>
    </row>
    <row r="691" spans="1:8" ht="18" hidden="1" customHeight="1" outlineLevel="2" x14ac:dyDescent="0.2">
      <c r="A691" s="18"/>
      <c r="B691" s="18" t="s">
        <v>352</v>
      </c>
      <c r="C691" s="18" t="s">
        <v>1259</v>
      </c>
      <c r="D691" s="18" t="s">
        <v>1237</v>
      </c>
      <c r="E691" s="36">
        <v>0</v>
      </c>
      <c r="F691" s="18" t="s">
        <v>1185</v>
      </c>
      <c r="G691" s="18" t="s">
        <v>1238</v>
      </c>
      <c r="H691" s="25">
        <v>0</v>
      </c>
    </row>
    <row r="692" spans="1:8" ht="18" hidden="1" customHeight="1" outlineLevel="2" x14ac:dyDescent="0.2">
      <c r="A692" s="18"/>
      <c r="B692" s="18"/>
      <c r="C692" s="18"/>
      <c r="D692" s="18"/>
      <c r="E692" s="36"/>
      <c r="F692" s="18"/>
      <c r="G692" s="18"/>
    </row>
    <row r="693" spans="1:8" ht="18" hidden="1" customHeight="1" outlineLevel="2" x14ac:dyDescent="0.2">
      <c r="A693" s="18"/>
      <c r="B693" s="18" t="s">
        <v>352</v>
      </c>
      <c r="C693" s="18" t="s">
        <v>1260</v>
      </c>
      <c r="D693" s="18" t="s">
        <v>1239</v>
      </c>
      <c r="E693" s="36">
        <v>0</v>
      </c>
      <c r="F693" s="18" t="s">
        <v>1185</v>
      </c>
      <c r="G693" s="18" t="s">
        <v>1208</v>
      </c>
      <c r="H693" s="25">
        <v>0</v>
      </c>
    </row>
    <row r="694" spans="1:8" ht="18" hidden="1" customHeight="1" outlineLevel="2" x14ac:dyDescent="0.2">
      <c r="A694" s="18"/>
      <c r="B694" s="18" t="s">
        <v>352</v>
      </c>
      <c r="C694" s="18" t="s">
        <v>1260</v>
      </c>
      <c r="D694" s="18" t="s">
        <v>1240</v>
      </c>
      <c r="E694" s="36">
        <v>0</v>
      </c>
      <c r="F694" s="18" t="s">
        <v>1185</v>
      </c>
      <c r="G694" s="18" t="s">
        <v>1210</v>
      </c>
      <c r="H694" s="25">
        <v>0</v>
      </c>
    </row>
    <row r="695" spans="1:8" ht="18" hidden="1" customHeight="1" outlineLevel="2" x14ac:dyDescent="0.2">
      <c r="A695" s="18"/>
      <c r="B695" s="18" t="s">
        <v>352</v>
      </c>
      <c r="C695" s="18" t="s">
        <v>1260</v>
      </c>
      <c r="D695" s="18" t="s">
        <v>1241</v>
      </c>
      <c r="E695" s="36">
        <v>0</v>
      </c>
      <c r="F695" s="18" t="s">
        <v>1185</v>
      </c>
      <c r="G695" s="18" t="s">
        <v>1212</v>
      </c>
      <c r="H695" s="25">
        <v>0</v>
      </c>
    </row>
    <row r="696" spans="1:8" ht="18" hidden="1" customHeight="1" outlineLevel="2" x14ac:dyDescent="0.2">
      <c r="A696" s="18"/>
      <c r="B696" s="18" t="s">
        <v>352</v>
      </c>
      <c r="C696" s="18" t="s">
        <v>1260</v>
      </c>
      <c r="D696" s="18" t="s">
        <v>1242</v>
      </c>
      <c r="E696" s="36">
        <v>0</v>
      </c>
      <c r="F696" s="18" t="s">
        <v>1185</v>
      </c>
      <c r="G696" s="18" t="s">
        <v>1214</v>
      </c>
      <c r="H696" s="25">
        <v>0</v>
      </c>
    </row>
    <row r="697" spans="1:8" ht="18" hidden="1" customHeight="1" outlineLevel="2" x14ac:dyDescent="0.2">
      <c r="A697" s="18"/>
      <c r="B697" s="18" t="s">
        <v>3238</v>
      </c>
      <c r="C697" s="18" t="s">
        <v>1260</v>
      </c>
      <c r="D697" s="18" t="s">
        <v>1243</v>
      </c>
      <c r="E697" s="36">
        <v>0</v>
      </c>
      <c r="F697" s="18" t="s">
        <v>1185</v>
      </c>
      <c r="G697" s="18" t="s">
        <v>1216</v>
      </c>
      <c r="H697" s="25">
        <v>0</v>
      </c>
    </row>
    <row r="698" spans="1:8" ht="18" hidden="1" customHeight="1" outlineLevel="2" x14ac:dyDescent="0.2">
      <c r="A698" s="18"/>
      <c r="B698" s="18" t="s">
        <v>352</v>
      </c>
      <c r="C698" s="18" t="s">
        <v>1260</v>
      </c>
      <c r="D698" s="18" t="s">
        <v>1244</v>
      </c>
      <c r="E698" s="36">
        <v>0</v>
      </c>
      <c r="F698" s="18" t="s">
        <v>1185</v>
      </c>
      <c r="G698" s="18" t="s">
        <v>521</v>
      </c>
      <c r="H698" s="25">
        <v>0</v>
      </c>
    </row>
    <row r="699" spans="1:8" ht="18" hidden="1" customHeight="1" outlineLevel="2" x14ac:dyDescent="0.2">
      <c r="A699" s="18"/>
      <c r="B699" s="18" t="s">
        <v>3239</v>
      </c>
      <c r="C699" s="18" t="s">
        <v>1260</v>
      </c>
      <c r="D699" s="18" t="s">
        <v>1245</v>
      </c>
      <c r="E699" s="36">
        <v>0</v>
      </c>
      <c r="F699" s="18" t="s">
        <v>1185</v>
      </c>
      <c r="G699" s="18" t="s">
        <v>522</v>
      </c>
      <c r="H699" s="25">
        <v>0</v>
      </c>
    </row>
    <row r="700" spans="1:8" ht="18" hidden="1" customHeight="1" outlineLevel="2" x14ac:dyDescent="0.2">
      <c r="A700" s="18"/>
      <c r="B700" s="18" t="s">
        <v>352</v>
      </c>
      <c r="C700" s="18" t="s">
        <v>1260</v>
      </c>
      <c r="D700" s="18" t="s">
        <v>1246</v>
      </c>
      <c r="E700" s="36">
        <v>0</v>
      </c>
      <c r="F700" s="18" t="s">
        <v>1185</v>
      </c>
      <c r="G700" s="18" t="s">
        <v>523</v>
      </c>
      <c r="H700" s="25">
        <v>0</v>
      </c>
    </row>
    <row r="701" spans="1:8" ht="18" hidden="1" customHeight="1" outlineLevel="2" x14ac:dyDescent="0.2">
      <c r="A701" s="18"/>
      <c r="B701" s="18" t="s">
        <v>352</v>
      </c>
      <c r="C701" s="18" t="s">
        <v>1260</v>
      </c>
      <c r="D701" s="18" t="s">
        <v>1247</v>
      </c>
      <c r="E701" s="36">
        <v>0</v>
      </c>
      <c r="F701" s="18" t="s">
        <v>1185</v>
      </c>
      <c r="G701" s="18" t="s">
        <v>1229</v>
      </c>
      <c r="H701" s="25">
        <v>0</v>
      </c>
    </row>
    <row r="702" spans="1:8" ht="18" hidden="1" customHeight="1" outlineLevel="2" x14ac:dyDescent="0.2">
      <c r="A702" s="18"/>
      <c r="B702" s="18" t="s">
        <v>352</v>
      </c>
      <c r="C702" s="18" t="s">
        <v>1260</v>
      </c>
      <c r="D702" s="18" t="s">
        <v>1248</v>
      </c>
      <c r="E702" s="36">
        <v>0</v>
      </c>
      <c r="F702" s="18" t="s">
        <v>1185</v>
      </c>
      <c r="G702" s="18" t="s">
        <v>1231</v>
      </c>
      <c r="H702" s="25">
        <v>0</v>
      </c>
    </row>
    <row r="703" spans="1:8" ht="18" hidden="1" customHeight="1" outlineLevel="2" x14ac:dyDescent="0.2">
      <c r="A703" s="18"/>
      <c r="B703" s="18" t="s">
        <v>352</v>
      </c>
      <c r="C703" s="18" t="s">
        <v>1260</v>
      </c>
      <c r="D703" s="18" t="s">
        <v>1249</v>
      </c>
      <c r="E703" s="36">
        <v>0</v>
      </c>
      <c r="F703" s="18" t="s">
        <v>1185</v>
      </c>
      <c r="G703" s="18" t="s">
        <v>1233</v>
      </c>
      <c r="H703" s="25">
        <v>0</v>
      </c>
    </row>
    <row r="704" spans="1:8" ht="18" hidden="1" customHeight="1" outlineLevel="2" x14ac:dyDescent="0.2">
      <c r="A704" s="18"/>
      <c r="B704" s="18" t="s">
        <v>352</v>
      </c>
      <c r="C704" s="18" t="s">
        <v>1260</v>
      </c>
      <c r="D704" s="18" t="s">
        <v>1250</v>
      </c>
      <c r="E704" s="36">
        <v>0</v>
      </c>
      <c r="F704" s="18" t="s">
        <v>1185</v>
      </c>
      <c r="G704" s="18"/>
      <c r="H704" s="25">
        <v>0</v>
      </c>
    </row>
    <row r="705" spans="1:8" ht="18" hidden="1" customHeight="1" outlineLevel="2" x14ac:dyDescent="0.2">
      <c r="A705" s="18"/>
      <c r="B705" s="18" t="s">
        <v>352</v>
      </c>
      <c r="C705" s="18" t="s">
        <v>1260</v>
      </c>
      <c r="D705" s="18" t="s">
        <v>1251</v>
      </c>
      <c r="E705" s="36">
        <v>0</v>
      </c>
      <c r="F705" s="18" t="s">
        <v>1185</v>
      </c>
      <c r="G705" s="18" t="s">
        <v>1236</v>
      </c>
      <c r="H705" s="25">
        <v>0</v>
      </c>
    </row>
    <row r="706" spans="1:8" ht="18" hidden="1" customHeight="1" outlineLevel="2" x14ac:dyDescent="0.2">
      <c r="A706" s="18"/>
      <c r="B706" s="18" t="s">
        <v>352</v>
      </c>
      <c r="C706" s="18" t="s">
        <v>1260</v>
      </c>
      <c r="D706" s="18" t="s">
        <v>1252</v>
      </c>
      <c r="E706" s="36">
        <v>0</v>
      </c>
      <c r="F706" s="18" t="s">
        <v>1185</v>
      </c>
      <c r="G706" s="18" t="s">
        <v>1238</v>
      </c>
      <c r="H706" s="25">
        <v>0</v>
      </c>
    </row>
    <row r="707" spans="1:8" ht="18" hidden="1" customHeight="1" outlineLevel="2" x14ac:dyDescent="0.2">
      <c r="A707" s="18"/>
      <c r="B707" s="18" t="s">
        <v>547</v>
      </c>
      <c r="C707" s="18"/>
      <c r="D707" s="18"/>
      <c r="E707" s="36">
        <v>0</v>
      </c>
      <c r="F707" s="18" t="s">
        <v>1185</v>
      </c>
      <c r="G707" s="18"/>
      <c r="H707" s="25">
        <v>0</v>
      </c>
    </row>
    <row r="708" spans="1:8" ht="18" hidden="1" customHeight="1" outlineLevel="2" x14ac:dyDescent="0.2">
      <c r="A708" s="18"/>
      <c r="B708" s="18" t="s">
        <v>352</v>
      </c>
      <c r="C708" s="18" t="s">
        <v>1261</v>
      </c>
      <c r="D708" s="18" t="s">
        <v>1204</v>
      </c>
      <c r="E708" s="36">
        <v>0</v>
      </c>
      <c r="F708" s="18" t="s">
        <v>1185</v>
      </c>
      <c r="G708" s="18" t="s">
        <v>1200</v>
      </c>
      <c r="H708" s="25">
        <v>0</v>
      </c>
    </row>
    <row r="709" spans="1:8" ht="18" hidden="1" customHeight="1" outlineLevel="2" x14ac:dyDescent="0.2">
      <c r="A709" s="18"/>
      <c r="B709" s="18" t="s">
        <v>352</v>
      </c>
      <c r="C709" s="18" t="s">
        <v>1261</v>
      </c>
      <c r="D709" s="18" t="s">
        <v>1205</v>
      </c>
      <c r="E709" s="36">
        <v>0</v>
      </c>
      <c r="F709" s="18" t="s">
        <v>1185</v>
      </c>
      <c r="G709" s="18" t="s">
        <v>1201</v>
      </c>
      <c r="H709" s="25">
        <v>0</v>
      </c>
    </row>
    <row r="710" spans="1:8" ht="18" hidden="1" customHeight="1" outlineLevel="2" x14ac:dyDescent="0.2">
      <c r="A710" s="18"/>
      <c r="B710" s="18" t="s">
        <v>352</v>
      </c>
      <c r="C710" s="18" t="s">
        <v>1261</v>
      </c>
      <c r="D710" s="18" t="s">
        <v>1206</v>
      </c>
      <c r="E710" s="36">
        <v>0</v>
      </c>
      <c r="F710" s="18" t="s">
        <v>1185</v>
      </c>
      <c r="G710" s="18" t="s">
        <v>1202</v>
      </c>
      <c r="H710" s="25">
        <v>0</v>
      </c>
    </row>
    <row r="711" spans="1:8" ht="18" hidden="1" customHeight="1" outlineLevel="2" x14ac:dyDescent="0.2">
      <c r="A711" s="18"/>
      <c r="B711" s="18" t="s">
        <v>352</v>
      </c>
      <c r="C711" s="18" t="s">
        <v>1261</v>
      </c>
      <c r="D711" s="18" t="s">
        <v>1207</v>
      </c>
      <c r="E711" s="36">
        <v>0</v>
      </c>
      <c r="F711" s="18" t="s">
        <v>1185</v>
      </c>
      <c r="G711" s="18" t="s">
        <v>1208</v>
      </c>
      <c r="H711" s="25">
        <v>0</v>
      </c>
    </row>
    <row r="712" spans="1:8" ht="18" hidden="1" customHeight="1" outlineLevel="2" x14ac:dyDescent="0.2">
      <c r="A712" s="18"/>
      <c r="B712" s="18" t="s">
        <v>352</v>
      </c>
      <c r="C712" s="18" t="s">
        <v>1261</v>
      </c>
      <c r="D712" s="18" t="s">
        <v>1209</v>
      </c>
      <c r="E712" s="36">
        <v>0</v>
      </c>
      <c r="F712" s="18" t="s">
        <v>1185</v>
      </c>
      <c r="G712" s="18" t="s">
        <v>1210</v>
      </c>
      <c r="H712" s="25">
        <v>0</v>
      </c>
    </row>
    <row r="713" spans="1:8" ht="18" hidden="1" customHeight="1" outlineLevel="2" x14ac:dyDescent="0.2">
      <c r="A713" s="18"/>
      <c r="B713" s="18" t="s">
        <v>352</v>
      </c>
      <c r="C713" s="18" t="s">
        <v>1261</v>
      </c>
      <c r="D713" s="18" t="s">
        <v>1211</v>
      </c>
      <c r="E713" s="36">
        <v>0</v>
      </c>
      <c r="F713" s="18" t="s">
        <v>1185</v>
      </c>
      <c r="G713" s="18" t="s">
        <v>1212</v>
      </c>
      <c r="H713" s="25">
        <v>0</v>
      </c>
    </row>
    <row r="714" spans="1:8" ht="18" hidden="1" customHeight="1" outlineLevel="2" x14ac:dyDescent="0.2">
      <c r="A714" s="18"/>
      <c r="B714" s="18" t="s">
        <v>352</v>
      </c>
      <c r="C714" s="18" t="s">
        <v>1261</v>
      </c>
      <c r="D714" s="18" t="s">
        <v>1213</v>
      </c>
      <c r="E714" s="36">
        <v>0</v>
      </c>
      <c r="F714" s="18" t="s">
        <v>1185</v>
      </c>
      <c r="G714" s="18" t="s">
        <v>1214</v>
      </c>
      <c r="H714" s="25">
        <v>0</v>
      </c>
    </row>
    <row r="715" spans="1:8" ht="18" hidden="1" customHeight="1" outlineLevel="2" x14ac:dyDescent="0.2">
      <c r="A715" s="18"/>
      <c r="B715" s="18" t="s">
        <v>352</v>
      </c>
      <c r="C715" s="18" t="s">
        <v>1261</v>
      </c>
      <c r="D715" s="18" t="s">
        <v>1215</v>
      </c>
      <c r="E715" s="36">
        <v>0</v>
      </c>
      <c r="F715" s="18" t="s">
        <v>1185</v>
      </c>
      <c r="G715" s="18" t="s">
        <v>1216</v>
      </c>
      <c r="H715" s="25">
        <v>0</v>
      </c>
    </row>
    <row r="716" spans="1:8" ht="18" hidden="1" customHeight="1" outlineLevel="2" x14ac:dyDescent="0.2">
      <c r="A716" s="18"/>
      <c r="B716" s="18" t="s">
        <v>352</v>
      </c>
      <c r="C716" s="18" t="s">
        <v>1261</v>
      </c>
      <c r="D716" s="18" t="s">
        <v>1217</v>
      </c>
      <c r="E716" s="36">
        <v>0</v>
      </c>
      <c r="F716" s="18" t="s">
        <v>1185</v>
      </c>
      <c r="G716" s="18" t="s">
        <v>521</v>
      </c>
      <c r="H716" s="25">
        <v>0</v>
      </c>
    </row>
    <row r="717" spans="1:8" ht="18" hidden="1" customHeight="1" outlineLevel="2" x14ac:dyDescent="0.2">
      <c r="A717" s="18"/>
      <c r="B717" s="18"/>
      <c r="C717" s="18"/>
      <c r="D717" s="18"/>
      <c r="E717" s="36"/>
      <c r="F717" s="18"/>
      <c r="G717" s="18"/>
    </row>
    <row r="718" spans="1:8" ht="18" hidden="1" customHeight="1" outlineLevel="2" x14ac:dyDescent="0.2">
      <c r="A718" s="18"/>
      <c r="B718" s="18" t="s">
        <v>352</v>
      </c>
      <c r="C718" s="18" t="s">
        <v>1262</v>
      </c>
      <c r="D718" s="18" t="s">
        <v>1218</v>
      </c>
      <c r="E718" s="36">
        <v>0</v>
      </c>
      <c r="F718" s="18" t="s">
        <v>1185</v>
      </c>
      <c r="G718" s="18" t="s">
        <v>1201</v>
      </c>
      <c r="H718" s="25">
        <v>0</v>
      </c>
    </row>
    <row r="719" spans="1:8" ht="18" hidden="1" customHeight="1" outlineLevel="2" x14ac:dyDescent="0.2">
      <c r="A719" s="18"/>
      <c r="B719" s="18" t="s">
        <v>352</v>
      </c>
      <c r="C719" s="18" t="s">
        <v>1262</v>
      </c>
      <c r="D719" s="18" t="s">
        <v>1219</v>
      </c>
      <c r="E719" s="36">
        <v>0</v>
      </c>
      <c r="F719" s="18" t="s">
        <v>1185</v>
      </c>
      <c r="G719" s="18" t="s">
        <v>1202</v>
      </c>
      <c r="H719" s="25">
        <v>0</v>
      </c>
    </row>
    <row r="720" spans="1:8" ht="18" hidden="1" customHeight="1" outlineLevel="2" x14ac:dyDescent="0.2">
      <c r="A720" s="18"/>
      <c r="B720" s="18" t="s">
        <v>352</v>
      </c>
      <c r="C720" s="18" t="s">
        <v>1262</v>
      </c>
      <c r="D720" s="18" t="s">
        <v>1220</v>
      </c>
      <c r="E720" s="36">
        <v>0</v>
      </c>
      <c r="F720" s="18" t="s">
        <v>1185</v>
      </c>
      <c r="G720" s="18" t="s">
        <v>1208</v>
      </c>
      <c r="H720" s="25">
        <v>0</v>
      </c>
    </row>
    <row r="721" spans="1:8" ht="18" hidden="1" customHeight="1" outlineLevel="2" x14ac:dyDescent="0.2">
      <c r="A721" s="18"/>
      <c r="B721" s="18" t="s">
        <v>352</v>
      </c>
      <c r="C721" s="18" t="s">
        <v>1262</v>
      </c>
      <c r="D721" s="18" t="s">
        <v>1221</v>
      </c>
      <c r="E721" s="36">
        <v>0</v>
      </c>
      <c r="F721" s="18" t="s">
        <v>1185</v>
      </c>
      <c r="G721" s="18" t="s">
        <v>1210</v>
      </c>
      <c r="H721" s="25">
        <v>0</v>
      </c>
    </row>
    <row r="722" spans="1:8" ht="18" hidden="1" customHeight="1" outlineLevel="2" x14ac:dyDescent="0.2">
      <c r="A722" s="18"/>
      <c r="B722" s="18" t="s">
        <v>352</v>
      </c>
      <c r="C722" s="18" t="s">
        <v>1262</v>
      </c>
      <c r="D722" s="18" t="s">
        <v>1222</v>
      </c>
      <c r="E722" s="36">
        <v>0</v>
      </c>
      <c r="F722" s="18" t="s">
        <v>1185</v>
      </c>
      <c r="G722" s="18" t="s">
        <v>1212</v>
      </c>
      <c r="H722" s="25">
        <v>0</v>
      </c>
    </row>
    <row r="723" spans="1:8" ht="18" hidden="1" customHeight="1" outlineLevel="2" x14ac:dyDescent="0.2">
      <c r="A723" s="18"/>
      <c r="B723" s="18" t="s">
        <v>352</v>
      </c>
      <c r="C723" s="18" t="s">
        <v>1262</v>
      </c>
      <c r="D723" s="18" t="s">
        <v>1223</v>
      </c>
      <c r="E723" s="36">
        <v>0</v>
      </c>
      <c r="F723" s="18" t="s">
        <v>1185</v>
      </c>
      <c r="G723" s="18" t="s">
        <v>1214</v>
      </c>
      <c r="H723" s="25">
        <v>0</v>
      </c>
    </row>
    <row r="724" spans="1:8" ht="18" hidden="1" customHeight="1" outlineLevel="2" x14ac:dyDescent="0.2">
      <c r="A724" s="18"/>
      <c r="B724" s="18" t="s">
        <v>352</v>
      </c>
      <c r="C724" s="18" t="s">
        <v>1262</v>
      </c>
      <c r="D724" s="18" t="s">
        <v>1224</v>
      </c>
      <c r="E724" s="36">
        <v>0</v>
      </c>
      <c r="F724" s="18" t="s">
        <v>1185</v>
      </c>
      <c r="G724" s="18" t="s">
        <v>1216</v>
      </c>
      <c r="H724" s="25">
        <v>0</v>
      </c>
    </row>
    <row r="725" spans="1:8" ht="18" hidden="1" customHeight="1" outlineLevel="2" x14ac:dyDescent="0.2">
      <c r="A725" s="18"/>
      <c r="B725" s="18" t="s">
        <v>352</v>
      </c>
      <c r="C725" s="18" t="s">
        <v>1262</v>
      </c>
      <c r="D725" s="18" t="s">
        <v>1225</v>
      </c>
      <c r="E725" s="36">
        <v>0</v>
      </c>
      <c r="F725" s="18" t="s">
        <v>1185</v>
      </c>
      <c r="G725" s="18" t="s">
        <v>521</v>
      </c>
      <c r="H725" s="25">
        <v>0</v>
      </c>
    </row>
    <row r="726" spans="1:8" ht="18" hidden="1" customHeight="1" outlineLevel="2" x14ac:dyDescent="0.2">
      <c r="A726" s="18"/>
      <c r="B726" s="18" t="s">
        <v>352</v>
      </c>
      <c r="C726" s="18" t="s">
        <v>1262</v>
      </c>
      <c r="D726" s="18" t="s">
        <v>1226</v>
      </c>
      <c r="E726" s="36">
        <v>0</v>
      </c>
      <c r="F726" s="18" t="s">
        <v>1185</v>
      </c>
      <c r="G726" s="18" t="s">
        <v>522</v>
      </c>
      <c r="H726" s="25">
        <v>0</v>
      </c>
    </row>
    <row r="727" spans="1:8" ht="18" hidden="1" customHeight="1" outlineLevel="2" x14ac:dyDescent="0.2">
      <c r="A727" s="18"/>
      <c r="B727" s="18" t="s">
        <v>352</v>
      </c>
      <c r="C727" s="18" t="s">
        <v>1262</v>
      </c>
      <c r="D727" s="18" t="s">
        <v>1227</v>
      </c>
      <c r="E727" s="36">
        <v>0</v>
      </c>
      <c r="F727" s="18" t="s">
        <v>1185</v>
      </c>
      <c r="G727" s="18" t="s">
        <v>523</v>
      </c>
      <c r="H727" s="25">
        <v>0</v>
      </c>
    </row>
    <row r="728" spans="1:8" ht="18" hidden="1" customHeight="1" outlineLevel="2" x14ac:dyDescent="0.2">
      <c r="A728" s="18"/>
      <c r="B728" s="18" t="s">
        <v>352</v>
      </c>
      <c r="C728" s="18" t="s">
        <v>1262</v>
      </c>
      <c r="D728" s="18" t="s">
        <v>1228</v>
      </c>
      <c r="E728" s="36">
        <v>0</v>
      </c>
      <c r="F728" s="18" t="s">
        <v>1185</v>
      </c>
      <c r="G728" s="18" t="s">
        <v>1229</v>
      </c>
      <c r="H728" s="25">
        <v>0</v>
      </c>
    </row>
    <row r="729" spans="1:8" ht="18" hidden="1" customHeight="1" outlineLevel="2" x14ac:dyDescent="0.2">
      <c r="A729" s="18"/>
      <c r="B729" s="18" t="s">
        <v>352</v>
      </c>
      <c r="C729" s="18" t="s">
        <v>1262</v>
      </c>
      <c r="D729" s="18" t="s">
        <v>1230</v>
      </c>
      <c r="E729" s="36">
        <v>0</v>
      </c>
      <c r="F729" s="18" t="s">
        <v>1185</v>
      </c>
      <c r="G729" s="18" t="s">
        <v>1231</v>
      </c>
      <c r="H729" s="25">
        <v>0</v>
      </c>
    </row>
    <row r="730" spans="1:8" ht="18" hidden="1" customHeight="1" outlineLevel="2" x14ac:dyDescent="0.2">
      <c r="A730" s="18"/>
      <c r="B730" s="18" t="s">
        <v>352</v>
      </c>
      <c r="C730" s="18" t="s">
        <v>1262</v>
      </c>
      <c r="D730" s="18" t="s">
        <v>1232</v>
      </c>
      <c r="E730" s="36">
        <v>0</v>
      </c>
      <c r="F730" s="18" t="s">
        <v>1185</v>
      </c>
      <c r="G730" s="18" t="s">
        <v>1233</v>
      </c>
      <c r="H730" s="25">
        <v>0</v>
      </c>
    </row>
    <row r="731" spans="1:8" ht="18" hidden="1" customHeight="1" outlineLevel="2" x14ac:dyDescent="0.2">
      <c r="A731" s="18"/>
      <c r="B731" s="18" t="s">
        <v>352</v>
      </c>
      <c r="C731" s="18" t="s">
        <v>1262</v>
      </c>
      <c r="D731" s="18" t="s">
        <v>1234</v>
      </c>
      <c r="E731" s="36">
        <v>0</v>
      </c>
      <c r="F731" s="18" t="s">
        <v>1185</v>
      </c>
      <c r="G731" s="18"/>
      <c r="H731" s="25">
        <v>0</v>
      </c>
    </row>
    <row r="732" spans="1:8" ht="18" hidden="1" customHeight="1" outlineLevel="2" x14ac:dyDescent="0.2">
      <c r="A732" s="18"/>
      <c r="B732" s="18" t="s">
        <v>352</v>
      </c>
      <c r="C732" s="18" t="s">
        <v>1262</v>
      </c>
      <c r="D732" s="18" t="s">
        <v>1235</v>
      </c>
      <c r="E732" s="36">
        <v>0</v>
      </c>
      <c r="F732" s="18" t="s">
        <v>1185</v>
      </c>
      <c r="G732" s="18" t="s">
        <v>1236</v>
      </c>
      <c r="H732" s="25">
        <v>0</v>
      </c>
    </row>
    <row r="733" spans="1:8" ht="18" hidden="1" customHeight="1" outlineLevel="2" x14ac:dyDescent="0.2">
      <c r="A733" s="18"/>
      <c r="B733" s="18" t="s">
        <v>352</v>
      </c>
      <c r="C733" s="18" t="s">
        <v>1262</v>
      </c>
      <c r="D733" s="18" t="s">
        <v>1237</v>
      </c>
      <c r="E733" s="36">
        <v>0</v>
      </c>
      <c r="F733" s="18" t="s">
        <v>1185</v>
      </c>
      <c r="G733" s="18" t="s">
        <v>1238</v>
      </c>
      <c r="H733" s="25">
        <v>0</v>
      </c>
    </row>
    <row r="734" spans="1:8" ht="18" hidden="1" customHeight="1" outlineLevel="2" x14ac:dyDescent="0.2">
      <c r="A734" s="18"/>
      <c r="B734" s="18"/>
      <c r="C734" s="18"/>
      <c r="D734" s="18"/>
      <c r="E734" s="36"/>
      <c r="F734" s="18"/>
      <c r="G734" s="18"/>
    </row>
    <row r="735" spans="1:8" ht="18" hidden="1" customHeight="1" outlineLevel="2" x14ac:dyDescent="0.2">
      <c r="A735" s="18"/>
      <c r="B735" s="18" t="s">
        <v>352</v>
      </c>
      <c r="C735" s="18" t="s">
        <v>1263</v>
      </c>
      <c r="D735" s="18" t="s">
        <v>1239</v>
      </c>
      <c r="E735" s="36">
        <v>0</v>
      </c>
      <c r="F735" s="18" t="s">
        <v>1185</v>
      </c>
      <c r="G735" s="18" t="s">
        <v>1208</v>
      </c>
      <c r="H735" s="25">
        <v>0</v>
      </c>
    </row>
    <row r="736" spans="1:8" ht="18" hidden="1" customHeight="1" outlineLevel="2" x14ac:dyDescent="0.2">
      <c r="A736" s="18"/>
      <c r="B736" s="18" t="s">
        <v>352</v>
      </c>
      <c r="C736" s="18" t="s">
        <v>1263</v>
      </c>
      <c r="D736" s="18" t="s">
        <v>1240</v>
      </c>
      <c r="E736" s="36">
        <v>0</v>
      </c>
      <c r="F736" s="18" t="s">
        <v>1185</v>
      </c>
      <c r="G736" s="18" t="s">
        <v>1210</v>
      </c>
      <c r="H736" s="25">
        <v>0</v>
      </c>
    </row>
    <row r="737" spans="1:8" ht="18" hidden="1" customHeight="1" outlineLevel="2" x14ac:dyDescent="0.2">
      <c r="A737" s="18"/>
      <c r="B737" s="18" t="s">
        <v>352</v>
      </c>
      <c r="C737" s="18" t="s">
        <v>1263</v>
      </c>
      <c r="D737" s="18" t="s">
        <v>1241</v>
      </c>
      <c r="E737" s="36">
        <v>0</v>
      </c>
      <c r="F737" s="18" t="s">
        <v>1185</v>
      </c>
      <c r="G737" s="18" t="s">
        <v>1212</v>
      </c>
      <c r="H737" s="25">
        <v>0</v>
      </c>
    </row>
    <row r="738" spans="1:8" ht="18" hidden="1" customHeight="1" outlineLevel="2" x14ac:dyDescent="0.2">
      <c r="A738" s="18"/>
      <c r="B738" s="18" t="s">
        <v>352</v>
      </c>
      <c r="C738" s="18" t="s">
        <v>1263</v>
      </c>
      <c r="D738" s="18" t="s">
        <v>1242</v>
      </c>
      <c r="E738" s="36">
        <v>0</v>
      </c>
      <c r="F738" s="18" t="s">
        <v>1185</v>
      </c>
      <c r="G738" s="18" t="s">
        <v>1214</v>
      </c>
      <c r="H738" s="25">
        <v>0</v>
      </c>
    </row>
    <row r="739" spans="1:8" ht="18" hidden="1" customHeight="1" outlineLevel="2" x14ac:dyDescent="0.2">
      <c r="A739" s="18"/>
      <c r="B739" s="18" t="s">
        <v>352</v>
      </c>
      <c r="C739" s="18" t="s">
        <v>1263</v>
      </c>
      <c r="D739" s="18" t="s">
        <v>1243</v>
      </c>
      <c r="E739" s="36">
        <v>0</v>
      </c>
      <c r="F739" s="18" t="s">
        <v>1185</v>
      </c>
      <c r="G739" s="18" t="s">
        <v>1216</v>
      </c>
      <c r="H739" s="25">
        <v>0</v>
      </c>
    </row>
    <row r="740" spans="1:8" ht="18" hidden="1" customHeight="1" outlineLevel="2" x14ac:dyDescent="0.2">
      <c r="A740" s="18"/>
      <c r="B740" s="18" t="s">
        <v>352</v>
      </c>
      <c r="C740" s="18" t="s">
        <v>1263</v>
      </c>
      <c r="D740" s="18" t="s">
        <v>1244</v>
      </c>
      <c r="E740" s="36">
        <v>0</v>
      </c>
      <c r="F740" s="18" t="s">
        <v>1185</v>
      </c>
      <c r="G740" s="18" t="s">
        <v>521</v>
      </c>
      <c r="H740" s="25">
        <v>0</v>
      </c>
    </row>
    <row r="741" spans="1:8" ht="18" hidden="1" customHeight="1" outlineLevel="2" x14ac:dyDescent="0.2">
      <c r="A741" s="18"/>
      <c r="B741" s="18" t="s">
        <v>352</v>
      </c>
      <c r="C741" s="18" t="s">
        <v>1263</v>
      </c>
      <c r="D741" s="18" t="s">
        <v>1245</v>
      </c>
      <c r="E741" s="36">
        <v>0</v>
      </c>
      <c r="F741" s="18" t="s">
        <v>1185</v>
      </c>
      <c r="G741" s="18" t="s">
        <v>522</v>
      </c>
      <c r="H741" s="25">
        <v>0</v>
      </c>
    </row>
    <row r="742" spans="1:8" ht="18" hidden="1" customHeight="1" outlineLevel="2" x14ac:dyDescent="0.2">
      <c r="A742" s="18"/>
      <c r="B742" s="18" t="s">
        <v>352</v>
      </c>
      <c r="C742" s="18" t="s">
        <v>1263</v>
      </c>
      <c r="D742" s="18" t="s">
        <v>1246</v>
      </c>
      <c r="E742" s="36">
        <v>0</v>
      </c>
      <c r="F742" s="18" t="s">
        <v>1185</v>
      </c>
      <c r="G742" s="18" t="s">
        <v>523</v>
      </c>
      <c r="H742" s="25">
        <v>0</v>
      </c>
    </row>
    <row r="743" spans="1:8" ht="18" hidden="1" customHeight="1" outlineLevel="2" x14ac:dyDescent="0.2">
      <c r="A743" s="18"/>
      <c r="B743" s="18" t="s">
        <v>352</v>
      </c>
      <c r="C743" s="18" t="s">
        <v>1263</v>
      </c>
      <c r="D743" s="18" t="s">
        <v>1247</v>
      </c>
      <c r="E743" s="36">
        <v>0</v>
      </c>
      <c r="F743" s="18" t="s">
        <v>1185</v>
      </c>
      <c r="G743" s="18" t="s">
        <v>1229</v>
      </c>
      <c r="H743" s="25">
        <v>0</v>
      </c>
    </row>
    <row r="744" spans="1:8" ht="18" hidden="1" customHeight="1" outlineLevel="2" x14ac:dyDescent="0.2">
      <c r="A744" s="18"/>
      <c r="B744" s="18" t="s">
        <v>352</v>
      </c>
      <c r="C744" s="18" t="s">
        <v>1263</v>
      </c>
      <c r="D744" s="18" t="s">
        <v>1248</v>
      </c>
      <c r="E744" s="36">
        <v>0</v>
      </c>
      <c r="F744" s="18" t="s">
        <v>1185</v>
      </c>
      <c r="G744" s="18" t="s">
        <v>1231</v>
      </c>
      <c r="H744" s="25">
        <v>0</v>
      </c>
    </row>
    <row r="745" spans="1:8" ht="18" hidden="1" customHeight="1" outlineLevel="2" x14ac:dyDescent="0.2">
      <c r="A745" s="18"/>
      <c r="B745" s="18" t="s">
        <v>352</v>
      </c>
      <c r="C745" s="18" t="s">
        <v>1263</v>
      </c>
      <c r="D745" s="18" t="s">
        <v>1249</v>
      </c>
      <c r="E745" s="36">
        <v>0</v>
      </c>
      <c r="F745" s="18" t="s">
        <v>1185</v>
      </c>
      <c r="G745" s="18" t="s">
        <v>1233</v>
      </c>
      <c r="H745" s="25">
        <v>0</v>
      </c>
    </row>
    <row r="746" spans="1:8" ht="18" hidden="1" customHeight="1" outlineLevel="2" x14ac:dyDescent="0.2">
      <c r="A746" s="18"/>
      <c r="B746" s="18" t="s">
        <v>352</v>
      </c>
      <c r="C746" s="18" t="s">
        <v>1263</v>
      </c>
      <c r="D746" s="18" t="s">
        <v>1250</v>
      </c>
      <c r="E746" s="36">
        <v>0</v>
      </c>
      <c r="F746" s="18" t="s">
        <v>1185</v>
      </c>
      <c r="G746" s="18"/>
      <c r="H746" s="25">
        <v>0</v>
      </c>
    </row>
    <row r="747" spans="1:8" ht="18" hidden="1" customHeight="1" outlineLevel="2" x14ac:dyDescent="0.2">
      <c r="A747" s="18"/>
      <c r="B747" s="18" t="s">
        <v>352</v>
      </c>
      <c r="C747" s="18" t="s">
        <v>1263</v>
      </c>
      <c r="D747" s="18" t="s">
        <v>1251</v>
      </c>
      <c r="E747" s="36">
        <v>0</v>
      </c>
      <c r="F747" s="18" t="s">
        <v>1185</v>
      </c>
      <c r="G747" s="18" t="s">
        <v>1236</v>
      </c>
      <c r="H747" s="25">
        <v>0</v>
      </c>
    </row>
    <row r="748" spans="1:8" ht="18" hidden="1" customHeight="1" outlineLevel="2" x14ac:dyDescent="0.2">
      <c r="A748" s="18"/>
      <c r="B748" s="18" t="s">
        <v>352</v>
      </c>
      <c r="C748" s="18" t="s">
        <v>1263</v>
      </c>
      <c r="D748" s="18" t="s">
        <v>1252</v>
      </c>
      <c r="E748" s="36">
        <v>0</v>
      </c>
      <c r="F748" s="18" t="s">
        <v>1185</v>
      </c>
      <c r="G748" s="18" t="s">
        <v>1238</v>
      </c>
      <c r="H748" s="25">
        <v>0</v>
      </c>
    </row>
    <row r="749" spans="1:8" ht="18" hidden="1" customHeight="1" outlineLevel="2" x14ac:dyDescent="0.2">
      <c r="A749" s="18"/>
      <c r="B749" s="18"/>
      <c r="C749" s="18"/>
      <c r="D749" s="18"/>
      <c r="E749" s="36"/>
      <c r="F749" s="18"/>
      <c r="G749" s="18"/>
    </row>
    <row r="750" spans="1:8" ht="18" customHeight="1" collapsed="1" x14ac:dyDescent="0.2">
      <c r="A750" s="131" t="s">
        <v>3720</v>
      </c>
      <c r="B750" s="132" t="s">
        <v>3249</v>
      </c>
      <c r="C750" s="132"/>
      <c r="D750" s="132"/>
      <c r="E750" s="132"/>
      <c r="F750" s="132"/>
      <c r="G750" s="132"/>
      <c r="H750" s="132"/>
    </row>
    <row r="751" spans="1:8" ht="18" hidden="1" customHeight="1" outlineLevel="1" x14ac:dyDescent="0.2">
      <c r="A751" s="119" t="s">
        <v>3728</v>
      </c>
      <c r="B751" s="120"/>
      <c r="C751" s="120"/>
      <c r="D751" s="120"/>
      <c r="E751" s="120"/>
      <c r="F751" s="120"/>
      <c r="G751" s="120"/>
      <c r="H751" s="120"/>
    </row>
    <row r="752" spans="1:8" ht="18" hidden="1" customHeight="1" outlineLevel="2" x14ac:dyDescent="0.2">
      <c r="A752" s="18"/>
      <c r="B752" s="18" t="s">
        <v>3254</v>
      </c>
      <c r="C752" s="18" t="s">
        <v>1361</v>
      </c>
      <c r="D752" s="18" t="s">
        <v>1362</v>
      </c>
      <c r="E752" s="36" t="s">
        <v>1363</v>
      </c>
      <c r="F752" s="18" t="s">
        <v>1326</v>
      </c>
      <c r="G752" s="18" t="s">
        <v>3039</v>
      </c>
    </row>
    <row r="753" spans="1:7" ht="18" hidden="1" customHeight="1" outlineLevel="2" x14ac:dyDescent="0.2">
      <c r="A753" s="18"/>
      <c r="B753" s="18" t="s">
        <v>3040</v>
      </c>
      <c r="C753" s="18" t="s">
        <v>1361</v>
      </c>
      <c r="D753" s="18" t="s">
        <v>1364</v>
      </c>
      <c r="E753" s="36" t="s">
        <v>1365</v>
      </c>
      <c r="F753" s="18" t="s">
        <v>1326</v>
      </c>
      <c r="G753" s="18"/>
    </row>
    <row r="754" spans="1:7" ht="18" hidden="1" customHeight="1" outlineLevel="2" x14ac:dyDescent="0.2">
      <c r="A754" s="18"/>
      <c r="B754" s="18" t="s">
        <v>3255</v>
      </c>
      <c r="C754" s="18" t="s">
        <v>1361</v>
      </c>
      <c r="D754" s="18" t="s">
        <v>1366</v>
      </c>
      <c r="E754" s="36" t="s">
        <v>1367</v>
      </c>
      <c r="F754" s="18" t="s">
        <v>1326</v>
      </c>
      <c r="G754" s="18" t="s">
        <v>3041</v>
      </c>
    </row>
    <row r="755" spans="1:7" ht="18" hidden="1" customHeight="1" outlineLevel="2" x14ac:dyDescent="0.2">
      <c r="A755" s="18"/>
      <c r="B755" s="18" t="s">
        <v>3256</v>
      </c>
      <c r="C755" s="18" t="s">
        <v>1361</v>
      </c>
      <c r="D755" s="18" t="s">
        <v>1368</v>
      </c>
      <c r="E755" s="36" t="s">
        <v>1369</v>
      </c>
      <c r="F755" s="18" t="s">
        <v>1326</v>
      </c>
      <c r="G755" s="18" t="s">
        <v>3042</v>
      </c>
    </row>
    <row r="756" spans="1:7" ht="18" hidden="1" customHeight="1" outlineLevel="2" x14ac:dyDescent="0.2">
      <c r="A756" s="18"/>
      <c r="B756" s="18" t="s">
        <v>3257</v>
      </c>
      <c r="C756" s="18" t="s">
        <v>1361</v>
      </c>
      <c r="D756" s="18" t="s">
        <v>1370</v>
      </c>
      <c r="E756" s="36" t="s">
        <v>1371</v>
      </c>
      <c r="F756" s="18" t="s">
        <v>1326</v>
      </c>
      <c r="G756" s="18" t="s">
        <v>3043</v>
      </c>
    </row>
    <row r="757" spans="1:7" ht="18" hidden="1" customHeight="1" outlineLevel="2" x14ac:dyDescent="0.2">
      <c r="A757" s="18"/>
      <c r="B757" s="18" t="s">
        <v>3044</v>
      </c>
      <c r="C757" s="18" t="s">
        <v>1361</v>
      </c>
      <c r="D757" s="18" t="s">
        <v>1372</v>
      </c>
      <c r="E757" s="36" t="s">
        <v>1373</v>
      </c>
      <c r="F757" s="18" t="s">
        <v>1326</v>
      </c>
      <c r="G757" s="18"/>
    </row>
    <row r="758" spans="1:7" ht="18" hidden="1" customHeight="1" outlineLevel="2" x14ac:dyDescent="0.2">
      <c r="A758" s="18"/>
      <c r="B758" s="33" t="s">
        <v>3258</v>
      </c>
      <c r="C758" s="18" t="s">
        <v>1361</v>
      </c>
      <c r="D758" s="18" t="s">
        <v>1374</v>
      </c>
      <c r="E758" s="36" t="s">
        <v>1375</v>
      </c>
      <c r="F758" s="18" t="s">
        <v>1326</v>
      </c>
      <c r="G758" s="18" t="s">
        <v>3045</v>
      </c>
    </row>
    <row r="759" spans="1:7" ht="18" hidden="1" customHeight="1" outlineLevel="2" x14ac:dyDescent="0.2">
      <c r="A759" s="18"/>
      <c r="B759" s="33" t="s">
        <v>3259</v>
      </c>
      <c r="C759" s="18" t="s">
        <v>1361</v>
      </c>
      <c r="D759" s="18" t="s">
        <v>1376</v>
      </c>
      <c r="E759" s="36" t="s">
        <v>1377</v>
      </c>
      <c r="F759" s="18" t="s">
        <v>1326</v>
      </c>
      <c r="G759" s="18" t="s">
        <v>3046</v>
      </c>
    </row>
    <row r="760" spans="1:7" ht="18" hidden="1" customHeight="1" outlineLevel="2" x14ac:dyDescent="0.2">
      <c r="A760" s="18"/>
      <c r="B760" s="33" t="s">
        <v>3260</v>
      </c>
      <c r="C760" s="18" t="s">
        <v>1361</v>
      </c>
      <c r="D760" s="18" t="s">
        <v>1378</v>
      </c>
      <c r="E760" s="36" t="s">
        <v>1379</v>
      </c>
      <c r="F760" s="18" t="s">
        <v>1326</v>
      </c>
      <c r="G760" s="18" t="s">
        <v>3047</v>
      </c>
    </row>
    <row r="761" spans="1:7" ht="18" hidden="1" customHeight="1" outlineLevel="2" x14ac:dyDescent="0.2">
      <c r="A761" s="18"/>
      <c r="B761" s="18" t="s">
        <v>3261</v>
      </c>
      <c r="C761" s="18" t="s">
        <v>1361</v>
      </c>
      <c r="D761" s="18" t="s">
        <v>1380</v>
      </c>
      <c r="E761" s="36" t="s">
        <v>1381</v>
      </c>
      <c r="F761" s="18" t="s">
        <v>1326</v>
      </c>
      <c r="G761" s="18" t="s">
        <v>3048</v>
      </c>
    </row>
    <row r="762" spans="1:7" ht="18" hidden="1" customHeight="1" outlineLevel="2" x14ac:dyDescent="0.2">
      <c r="A762" s="18"/>
      <c r="B762" s="18"/>
      <c r="C762" s="18"/>
      <c r="D762" s="18"/>
      <c r="E762" s="36"/>
      <c r="F762" s="18"/>
      <c r="G762" s="18"/>
    </row>
    <row r="763" spans="1:7" ht="18" hidden="1" customHeight="1" outlineLevel="2" x14ac:dyDescent="0.2">
      <c r="A763" s="18"/>
      <c r="B763" s="33" t="s">
        <v>3040</v>
      </c>
      <c r="C763" s="18" t="s">
        <v>1361</v>
      </c>
      <c r="D763" s="18" t="s">
        <v>1382</v>
      </c>
      <c r="E763" s="36" t="s">
        <v>1383</v>
      </c>
      <c r="F763" s="18" t="s">
        <v>1326</v>
      </c>
      <c r="G763" s="18" t="s">
        <v>3049</v>
      </c>
    </row>
    <row r="764" spans="1:7" ht="18" hidden="1" customHeight="1" outlineLevel="2" x14ac:dyDescent="0.2">
      <c r="A764" s="18"/>
      <c r="B764" s="33" t="s">
        <v>3255</v>
      </c>
      <c r="C764" s="18" t="s">
        <v>1361</v>
      </c>
      <c r="D764" s="18" t="s">
        <v>1384</v>
      </c>
      <c r="E764" s="36" t="s">
        <v>1385</v>
      </c>
      <c r="F764" s="18" t="s">
        <v>1326</v>
      </c>
      <c r="G764" s="18" t="s">
        <v>3050</v>
      </c>
    </row>
    <row r="765" spans="1:7" ht="18" hidden="1" customHeight="1" outlineLevel="2" x14ac:dyDescent="0.2">
      <c r="A765" s="18"/>
      <c r="B765" s="18" t="s">
        <v>3044</v>
      </c>
      <c r="C765" s="18" t="s">
        <v>1361</v>
      </c>
      <c r="D765" s="18" t="s">
        <v>1386</v>
      </c>
      <c r="E765" s="36" t="s">
        <v>1387</v>
      </c>
      <c r="F765" s="18" t="s">
        <v>1326</v>
      </c>
      <c r="G765" s="18" t="s">
        <v>3051</v>
      </c>
    </row>
    <row r="766" spans="1:7" ht="18" hidden="1" customHeight="1" outlineLevel="2" x14ac:dyDescent="0.2">
      <c r="A766" s="18"/>
      <c r="B766" s="18" t="s">
        <v>3258</v>
      </c>
      <c r="C766" s="18" t="s">
        <v>1361</v>
      </c>
      <c r="D766" s="18" t="s">
        <v>1388</v>
      </c>
      <c r="E766" s="36" t="s">
        <v>1389</v>
      </c>
      <c r="F766" s="18" t="s">
        <v>1326</v>
      </c>
      <c r="G766" s="18" t="s">
        <v>3051</v>
      </c>
    </row>
    <row r="767" spans="1:7" ht="18" hidden="1" customHeight="1" outlineLevel="2" x14ac:dyDescent="0.2">
      <c r="A767" s="18"/>
      <c r="B767" s="18"/>
      <c r="C767" s="18"/>
      <c r="D767" s="18"/>
      <c r="E767" s="36"/>
      <c r="F767" s="18"/>
      <c r="G767" s="18"/>
    </row>
    <row r="768" spans="1:7" ht="18" hidden="1" customHeight="1" outlineLevel="2" x14ac:dyDescent="0.2">
      <c r="A768" s="18"/>
      <c r="B768" s="33" t="s">
        <v>352</v>
      </c>
      <c r="C768" s="18" t="s">
        <v>1306</v>
      </c>
      <c r="D768" s="18" t="s">
        <v>1307</v>
      </c>
      <c r="E768" s="36"/>
      <c r="F768" s="18"/>
      <c r="G768" s="18" t="s">
        <v>1308</v>
      </c>
    </row>
    <row r="769" spans="1:8" ht="18" hidden="1" customHeight="1" outlineLevel="2" x14ac:dyDescent="0.2">
      <c r="A769" s="18"/>
      <c r="B769" s="18" t="s">
        <v>352</v>
      </c>
      <c r="C769" s="18" t="s">
        <v>1475</v>
      </c>
      <c r="D769" s="18" t="s">
        <v>1476</v>
      </c>
      <c r="E769" s="36"/>
      <c r="F769" s="18"/>
      <c r="G769" s="18"/>
    </row>
    <row r="770" spans="1:8" ht="18" hidden="1" customHeight="1" outlineLevel="2" x14ac:dyDescent="0.2">
      <c r="A770" s="18"/>
      <c r="B770" s="18" t="s">
        <v>352</v>
      </c>
      <c r="C770" s="18" t="s">
        <v>1475</v>
      </c>
      <c r="D770" s="18" t="s">
        <v>1477</v>
      </c>
      <c r="E770" s="36"/>
      <c r="F770" s="18"/>
      <c r="G770" s="18"/>
    </row>
    <row r="771" spans="1:8" ht="18" hidden="1" customHeight="1" outlineLevel="2" x14ac:dyDescent="0.2">
      <c r="A771" s="18"/>
      <c r="B771" s="33" t="s">
        <v>352</v>
      </c>
      <c r="C771" s="18" t="s">
        <v>1475</v>
      </c>
      <c r="D771" s="18" t="s">
        <v>1478</v>
      </c>
      <c r="E771" s="36"/>
      <c r="F771" s="18"/>
      <c r="G771" s="18"/>
    </row>
    <row r="772" spans="1:8" ht="18" hidden="1" customHeight="1" outlineLevel="2" x14ac:dyDescent="0.2">
      <c r="A772" s="18"/>
      <c r="B772" s="33" t="s">
        <v>352</v>
      </c>
      <c r="C772" s="18" t="s">
        <v>1475</v>
      </c>
      <c r="D772" s="18" t="s">
        <v>1479</v>
      </c>
      <c r="E772" s="36"/>
      <c r="F772" s="18"/>
      <c r="G772" s="18"/>
    </row>
    <row r="773" spans="1:8" ht="18" hidden="1" customHeight="1" outlineLevel="2" x14ac:dyDescent="0.2">
      <c r="A773" s="18"/>
      <c r="B773" s="18" t="s">
        <v>3277</v>
      </c>
      <c r="C773" s="18" t="s">
        <v>1475</v>
      </c>
      <c r="D773" s="18" t="s">
        <v>1480</v>
      </c>
      <c r="E773" s="36"/>
      <c r="F773" s="18"/>
      <c r="G773" s="18"/>
    </row>
    <row r="774" spans="1:8" ht="18" hidden="1" customHeight="1" outlineLevel="2" x14ac:dyDescent="0.2">
      <c r="A774" s="18"/>
      <c r="B774" s="18" t="s">
        <v>3277</v>
      </c>
      <c r="C774" s="18" t="s">
        <v>1475</v>
      </c>
      <c r="D774" s="18" t="s">
        <v>1481</v>
      </c>
      <c r="E774" s="36"/>
      <c r="F774" s="18"/>
      <c r="G774" s="18"/>
    </row>
    <row r="775" spans="1:8" ht="18" hidden="1" customHeight="1" outlineLevel="2" x14ac:dyDescent="0.2">
      <c r="A775" s="18"/>
      <c r="B775" s="18"/>
      <c r="C775" s="18"/>
      <c r="D775" s="18"/>
      <c r="E775" s="36"/>
      <c r="F775" s="18"/>
      <c r="G775" s="18"/>
    </row>
    <row r="776" spans="1:8" ht="18" hidden="1" customHeight="1" outlineLevel="2" x14ac:dyDescent="0.2">
      <c r="A776" s="18"/>
      <c r="B776" s="33" t="s">
        <v>3052</v>
      </c>
      <c r="C776" s="18" t="s">
        <v>1390</v>
      </c>
      <c r="D776" s="18" t="s">
        <v>1391</v>
      </c>
      <c r="E776" s="36" t="s">
        <v>1392</v>
      </c>
      <c r="F776" s="18" t="s">
        <v>1326</v>
      </c>
      <c r="G776" s="18" t="s">
        <v>1393</v>
      </c>
    </row>
    <row r="777" spans="1:8" ht="18" hidden="1" customHeight="1" outlineLevel="2" x14ac:dyDescent="0.2">
      <c r="A777" s="18"/>
      <c r="B777" s="33" t="s">
        <v>3053</v>
      </c>
      <c r="C777" s="18" t="s">
        <v>1390</v>
      </c>
      <c r="D777" s="18" t="s">
        <v>1394</v>
      </c>
      <c r="E777" s="36" t="s">
        <v>1395</v>
      </c>
      <c r="F777" s="18" t="s">
        <v>1326</v>
      </c>
      <c r="G777" s="18" t="s">
        <v>1393</v>
      </c>
    </row>
    <row r="778" spans="1:8" ht="18" hidden="1" customHeight="1" outlineLevel="2" x14ac:dyDescent="0.2">
      <c r="A778" s="18"/>
      <c r="B778" s="33" t="s">
        <v>3262</v>
      </c>
      <c r="C778" s="18" t="s">
        <v>1390</v>
      </c>
      <c r="D778" s="18" t="s">
        <v>1396</v>
      </c>
      <c r="E778" s="36" t="s">
        <v>1397</v>
      </c>
      <c r="F778" s="18" t="s">
        <v>1326</v>
      </c>
      <c r="G778" s="18" t="s">
        <v>3740</v>
      </c>
    </row>
    <row r="779" spans="1:8" ht="18" hidden="1" customHeight="1" outlineLevel="2" x14ac:dyDescent="0.2">
      <c r="A779" s="18"/>
      <c r="B779" s="33" t="s">
        <v>352</v>
      </c>
      <c r="C779" s="18" t="s">
        <v>1390</v>
      </c>
      <c r="D779" s="18" t="s">
        <v>1398</v>
      </c>
      <c r="E779" s="36" t="s">
        <v>1399</v>
      </c>
      <c r="F779" s="18" t="s">
        <v>1326</v>
      </c>
      <c r="G779" s="18" t="s">
        <v>3741</v>
      </c>
    </row>
    <row r="780" spans="1:8" ht="18" hidden="1" customHeight="1" outlineLevel="2" x14ac:dyDescent="0.2">
      <c r="A780" s="18"/>
      <c r="B780" s="18" t="s">
        <v>3262</v>
      </c>
      <c r="C780" s="18" t="s">
        <v>1390</v>
      </c>
      <c r="D780" s="18" t="s">
        <v>1400</v>
      </c>
      <c r="E780" s="36" t="s">
        <v>1401</v>
      </c>
      <c r="F780" s="18" t="s">
        <v>1326</v>
      </c>
      <c r="G780" s="18" t="s">
        <v>3742</v>
      </c>
    </row>
    <row r="781" spans="1:8" ht="18" hidden="1" customHeight="1" outlineLevel="2" x14ac:dyDescent="0.2">
      <c r="A781" s="18"/>
      <c r="B781" s="18" t="s">
        <v>3052</v>
      </c>
      <c r="C781" s="18" t="s">
        <v>1390</v>
      </c>
      <c r="D781" s="18" t="s">
        <v>1391</v>
      </c>
      <c r="E781" s="36" t="s">
        <v>1392</v>
      </c>
      <c r="F781" s="18" t="s">
        <v>1326</v>
      </c>
      <c r="G781" s="18" t="s">
        <v>1393</v>
      </c>
    </row>
    <row r="782" spans="1:8" ht="18" hidden="1" customHeight="1" outlineLevel="2" x14ac:dyDescent="0.2">
      <c r="A782" s="18"/>
      <c r="B782" s="18"/>
      <c r="C782" s="18"/>
      <c r="D782" s="18"/>
      <c r="E782" s="36"/>
      <c r="F782" s="18"/>
      <c r="G782" s="18"/>
    </row>
    <row r="783" spans="1:8" ht="18" hidden="1" customHeight="1" outlineLevel="1" x14ac:dyDescent="0.2">
      <c r="A783" s="119" t="s">
        <v>3722</v>
      </c>
      <c r="B783" s="120"/>
      <c r="C783" s="120"/>
      <c r="D783" s="120"/>
      <c r="E783" s="120"/>
      <c r="F783" s="120"/>
      <c r="G783" s="120"/>
      <c r="H783" s="120"/>
    </row>
    <row r="784" spans="1:8" ht="18" hidden="1" customHeight="1" outlineLevel="2" x14ac:dyDescent="0.2">
      <c r="A784" s="18"/>
      <c r="B784" s="18" t="s">
        <v>352</v>
      </c>
      <c r="C784" s="18" t="s">
        <v>1438</v>
      </c>
      <c r="D784" s="18" t="s">
        <v>1439</v>
      </c>
      <c r="E784" s="36" t="s">
        <v>1440</v>
      </c>
      <c r="F784" s="18" t="s">
        <v>1441</v>
      </c>
      <c r="G784" s="18"/>
      <c r="H784" s="25" t="s">
        <v>674</v>
      </c>
    </row>
    <row r="785" spans="1:8" ht="18" hidden="1" customHeight="1" outlineLevel="2" x14ac:dyDescent="0.2">
      <c r="A785" s="18"/>
      <c r="B785" s="18" t="s">
        <v>352</v>
      </c>
      <c r="C785" s="18" t="s">
        <v>1438</v>
      </c>
      <c r="D785" s="18" t="s">
        <v>1442</v>
      </c>
      <c r="E785" s="36" t="s">
        <v>1443</v>
      </c>
      <c r="F785" s="18" t="s">
        <v>1441</v>
      </c>
      <c r="G785" s="18"/>
      <c r="H785" s="25" t="s">
        <v>674</v>
      </c>
    </row>
    <row r="786" spans="1:8" ht="18" hidden="1" customHeight="1" outlineLevel="2" x14ac:dyDescent="0.2">
      <c r="A786" s="18"/>
      <c r="B786" s="33" t="s">
        <v>3270</v>
      </c>
      <c r="C786" s="18" t="s">
        <v>1438</v>
      </c>
      <c r="D786" s="18" t="s">
        <v>1444</v>
      </c>
      <c r="E786" s="36" t="s">
        <v>1445</v>
      </c>
      <c r="F786" s="18" t="s">
        <v>1441</v>
      </c>
      <c r="G786" s="18"/>
      <c r="H786" s="25" t="s">
        <v>674</v>
      </c>
    </row>
    <row r="787" spans="1:8" ht="18" hidden="1" customHeight="1" outlineLevel="2" x14ac:dyDescent="0.2">
      <c r="A787" s="18"/>
      <c r="B787" s="18" t="s">
        <v>352</v>
      </c>
      <c r="C787" s="18" t="s">
        <v>1438</v>
      </c>
      <c r="D787" s="18" t="s">
        <v>1446</v>
      </c>
      <c r="E787" s="36" t="s">
        <v>1447</v>
      </c>
      <c r="F787" s="18" t="s">
        <v>1441</v>
      </c>
      <c r="G787" s="18"/>
      <c r="H787" s="25" t="s">
        <v>674</v>
      </c>
    </row>
    <row r="788" spans="1:8" ht="18" hidden="1" customHeight="1" outlineLevel="2" x14ac:dyDescent="0.2">
      <c r="A788" s="18"/>
      <c r="B788" s="18" t="s">
        <v>352</v>
      </c>
      <c r="C788" s="18" t="s">
        <v>1438</v>
      </c>
      <c r="D788" s="18" t="s">
        <v>1448</v>
      </c>
      <c r="E788" s="36" t="s">
        <v>1449</v>
      </c>
      <c r="F788" s="18" t="s">
        <v>1441</v>
      </c>
      <c r="G788" s="18"/>
      <c r="H788" s="25" t="s">
        <v>674</v>
      </c>
    </row>
    <row r="789" spans="1:8" ht="18" hidden="1" customHeight="1" outlineLevel="2" x14ac:dyDescent="0.2">
      <c r="A789" s="18"/>
      <c r="B789" s="33" t="s">
        <v>3271</v>
      </c>
      <c r="C789" s="18" t="s">
        <v>1450</v>
      </c>
      <c r="D789" s="18"/>
      <c r="E789" s="36" t="s">
        <v>1451</v>
      </c>
      <c r="F789" s="18" t="s">
        <v>1441</v>
      </c>
      <c r="G789" s="18"/>
      <c r="H789" s="25" t="s">
        <v>674</v>
      </c>
    </row>
    <row r="790" spans="1:8" ht="18" hidden="1" customHeight="1" outlineLevel="2" x14ac:dyDescent="0.2">
      <c r="A790" s="18"/>
      <c r="B790" s="18"/>
      <c r="C790" s="18"/>
      <c r="D790" s="18"/>
      <c r="E790" s="36"/>
      <c r="F790" s="18"/>
      <c r="G790" s="18"/>
    </row>
    <row r="791" spans="1:8" ht="18" hidden="1" customHeight="1" outlineLevel="2" x14ac:dyDescent="0.2">
      <c r="A791" s="18"/>
      <c r="B791" s="18" t="s">
        <v>352</v>
      </c>
      <c r="C791" s="18" t="s">
        <v>3723</v>
      </c>
      <c r="D791" s="18" t="s">
        <v>1328</v>
      </c>
      <c r="E791" s="36" t="s">
        <v>1329</v>
      </c>
      <c r="F791" s="18" t="s">
        <v>1326</v>
      </c>
      <c r="G791" s="18"/>
    </row>
    <row r="792" spans="1:8" ht="18" hidden="1" customHeight="1" outlineLevel="2" x14ac:dyDescent="0.2">
      <c r="A792" s="18"/>
      <c r="B792" s="18" t="s">
        <v>352</v>
      </c>
      <c r="C792" s="18" t="s">
        <v>3723</v>
      </c>
      <c r="D792" s="18" t="s">
        <v>1330</v>
      </c>
      <c r="E792" s="36" t="s">
        <v>1331</v>
      </c>
      <c r="F792" s="18" t="s">
        <v>1326</v>
      </c>
      <c r="G792" s="18"/>
    </row>
    <row r="793" spans="1:8" ht="18" hidden="1" customHeight="1" outlineLevel="2" x14ac:dyDescent="0.2">
      <c r="A793" s="18"/>
      <c r="B793" s="18" t="s">
        <v>3054</v>
      </c>
      <c r="C793" s="18" t="s">
        <v>1402</v>
      </c>
      <c r="D793" s="18"/>
      <c r="E793" s="36" t="s">
        <v>1403</v>
      </c>
      <c r="F793" s="18" t="s">
        <v>1326</v>
      </c>
      <c r="G793" s="18"/>
    </row>
    <row r="794" spans="1:8" ht="18" hidden="1" customHeight="1" outlineLevel="2" x14ac:dyDescent="0.2">
      <c r="A794" s="18"/>
      <c r="B794" s="18" t="s">
        <v>3263</v>
      </c>
      <c r="C794" s="18" t="s">
        <v>71</v>
      </c>
      <c r="D794" s="18" t="s">
        <v>1413</v>
      </c>
      <c r="E794" s="36" t="s">
        <v>1414</v>
      </c>
      <c r="F794" s="18" t="s">
        <v>1326</v>
      </c>
      <c r="G794" s="18" t="s">
        <v>1415</v>
      </c>
      <c r="H794" s="25" t="s">
        <v>674</v>
      </c>
    </row>
    <row r="795" spans="1:8" ht="18" hidden="1" customHeight="1" outlineLevel="2" x14ac:dyDescent="0.2">
      <c r="A795" s="18"/>
      <c r="B795" s="18" t="s">
        <v>3264</v>
      </c>
      <c r="C795" s="18" t="s">
        <v>71</v>
      </c>
      <c r="D795" s="18" t="s">
        <v>1416</v>
      </c>
      <c r="E795" s="36" t="s">
        <v>1417</v>
      </c>
      <c r="F795" s="18" t="s">
        <v>1326</v>
      </c>
      <c r="G795" s="18" t="s">
        <v>1415</v>
      </c>
      <c r="H795" s="25" t="s">
        <v>674</v>
      </c>
    </row>
    <row r="796" spans="1:8" ht="18" hidden="1" customHeight="1" outlineLevel="2" x14ac:dyDescent="0.2">
      <c r="A796" s="18"/>
      <c r="B796" s="18" t="s">
        <v>352</v>
      </c>
      <c r="C796" s="18" t="s">
        <v>71</v>
      </c>
      <c r="D796" s="18" t="s">
        <v>1429</v>
      </c>
      <c r="E796" s="36" t="s">
        <v>1430</v>
      </c>
      <c r="F796" s="18" t="s">
        <v>1326</v>
      </c>
      <c r="G796" s="18" t="s">
        <v>1415</v>
      </c>
      <c r="H796" s="25" t="s">
        <v>674</v>
      </c>
    </row>
    <row r="797" spans="1:8" ht="18" hidden="1" customHeight="1" outlineLevel="2" x14ac:dyDescent="0.2">
      <c r="A797" s="18"/>
      <c r="B797" s="18" t="s">
        <v>352</v>
      </c>
      <c r="C797" s="18" t="s">
        <v>71</v>
      </c>
      <c r="D797" s="18" t="s">
        <v>1431</v>
      </c>
      <c r="E797" s="36" t="s">
        <v>1432</v>
      </c>
      <c r="F797" s="18" t="s">
        <v>1326</v>
      </c>
      <c r="G797" s="18" t="s">
        <v>1415</v>
      </c>
      <c r="H797" s="25" t="s">
        <v>674</v>
      </c>
    </row>
    <row r="798" spans="1:8" ht="18" hidden="1" customHeight="1" outlineLevel="2" x14ac:dyDescent="0.2">
      <c r="A798" s="18"/>
      <c r="B798" s="18" t="s">
        <v>352</v>
      </c>
      <c r="C798" s="18" t="s">
        <v>71</v>
      </c>
      <c r="D798" s="18" t="s">
        <v>1433</v>
      </c>
      <c r="E798" s="36" t="s">
        <v>1434</v>
      </c>
      <c r="F798" s="18" t="s">
        <v>1326</v>
      </c>
      <c r="G798" s="18" t="s">
        <v>1415</v>
      </c>
      <c r="H798" s="25" t="s">
        <v>674</v>
      </c>
    </row>
    <row r="799" spans="1:8" ht="18" hidden="1" customHeight="1" outlineLevel="2" x14ac:dyDescent="0.2">
      <c r="A799" s="18"/>
      <c r="B799" s="18" t="s">
        <v>352</v>
      </c>
      <c r="C799" s="18" t="s">
        <v>1435</v>
      </c>
      <c r="D799" s="18" t="s">
        <v>1436</v>
      </c>
      <c r="E799" s="36" t="s">
        <v>1437</v>
      </c>
      <c r="F799" s="18" t="s">
        <v>1326</v>
      </c>
      <c r="G799" s="18" t="s">
        <v>1415</v>
      </c>
      <c r="H799" s="25" t="s">
        <v>674</v>
      </c>
    </row>
    <row r="800" spans="1:8" ht="18" hidden="1" customHeight="1" outlineLevel="2" x14ac:dyDescent="0.2">
      <c r="A800" s="18"/>
      <c r="B800" s="18" t="s">
        <v>352</v>
      </c>
      <c r="C800" s="18" t="s">
        <v>1343</v>
      </c>
      <c r="D800" s="18" t="s">
        <v>1353</v>
      </c>
      <c r="E800" s="36" t="s">
        <v>1354</v>
      </c>
      <c r="F800" s="18" t="s">
        <v>1326</v>
      </c>
      <c r="G800" s="18"/>
      <c r="H800" s="25" t="s">
        <v>674</v>
      </c>
    </row>
    <row r="801" spans="1:8" ht="18" hidden="1" customHeight="1" outlineLevel="2" x14ac:dyDescent="0.2">
      <c r="A801" s="18"/>
      <c r="B801" s="18" t="s">
        <v>352</v>
      </c>
      <c r="C801" s="18" t="s">
        <v>1343</v>
      </c>
      <c r="D801" s="18" t="s">
        <v>1359</v>
      </c>
      <c r="E801" s="36" t="s">
        <v>1360</v>
      </c>
      <c r="F801" s="18" t="s">
        <v>1326</v>
      </c>
      <c r="G801" s="18"/>
      <c r="H801" s="25" t="s">
        <v>674</v>
      </c>
    </row>
    <row r="802" spans="1:8" ht="18" hidden="1" customHeight="1" outlineLevel="2" x14ac:dyDescent="0.2">
      <c r="B802" s="37" t="s">
        <v>3252</v>
      </c>
      <c r="C802" s="10" t="s">
        <v>1343</v>
      </c>
      <c r="E802" s="34" t="s">
        <v>1344</v>
      </c>
      <c r="F802" s="10" t="s">
        <v>1340</v>
      </c>
      <c r="H802" s="25" t="s">
        <v>674</v>
      </c>
    </row>
    <row r="803" spans="1:8" ht="18" hidden="1" customHeight="1" outlineLevel="2" x14ac:dyDescent="0.2">
      <c r="B803" s="10" t="s">
        <v>3265</v>
      </c>
      <c r="C803" s="10" t="s">
        <v>1418</v>
      </c>
      <c r="D803" s="10" t="s">
        <v>1419</v>
      </c>
      <c r="E803" s="34" t="s">
        <v>1420</v>
      </c>
      <c r="F803" s="10" t="s">
        <v>1326</v>
      </c>
      <c r="H803" s="25" t="s">
        <v>674</v>
      </c>
    </row>
    <row r="804" spans="1:8" ht="18" hidden="1" customHeight="1" outlineLevel="2" x14ac:dyDescent="0.2">
      <c r="B804" s="10" t="s">
        <v>3266</v>
      </c>
      <c r="C804" s="10" t="s">
        <v>1418</v>
      </c>
      <c r="D804" s="10" t="s">
        <v>1421</v>
      </c>
      <c r="E804" s="34" t="s">
        <v>1422</v>
      </c>
      <c r="F804" s="10" t="s">
        <v>1326</v>
      </c>
      <c r="H804" s="25" t="s">
        <v>674</v>
      </c>
    </row>
    <row r="805" spans="1:8" ht="18" hidden="1" customHeight="1" outlineLevel="2" x14ac:dyDescent="0.2">
      <c r="B805" s="10" t="s">
        <v>3267</v>
      </c>
      <c r="C805" s="10" t="s">
        <v>1418</v>
      </c>
      <c r="D805" s="10" t="s">
        <v>1423</v>
      </c>
      <c r="E805" s="34" t="s">
        <v>1424</v>
      </c>
      <c r="F805" s="10" t="s">
        <v>1326</v>
      </c>
      <c r="H805" s="25" t="s">
        <v>674</v>
      </c>
    </row>
    <row r="806" spans="1:8" ht="18" hidden="1" customHeight="1" outlineLevel="2" x14ac:dyDescent="0.2">
      <c r="A806" s="18"/>
      <c r="B806" s="18"/>
      <c r="C806" s="18"/>
      <c r="D806" s="18"/>
      <c r="E806" s="36"/>
      <c r="F806" s="18"/>
      <c r="G806" s="18"/>
    </row>
    <row r="807" spans="1:8" ht="18" hidden="1" customHeight="1" outlineLevel="1" x14ac:dyDescent="0.2">
      <c r="A807" s="119" t="s">
        <v>3730</v>
      </c>
      <c r="B807" s="120"/>
      <c r="C807" s="120"/>
      <c r="D807" s="120"/>
      <c r="E807" s="120"/>
      <c r="F807" s="120"/>
      <c r="G807" s="120"/>
      <c r="H807" s="120"/>
    </row>
    <row r="808" spans="1:8" ht="18" hidden="1" customHeight="1" outlineLevel="2" x14ac:dyDescent="0.2">
      <c r="A808" s="18"/>
      <c r="B808" s="33" t="s">
        <v>3250</v>
      </c>
      <c r="C808" s="18" t="s">
        <v>1337</v>
      </c>
      <c r="D808" s="18" t="s">
        <v>1338</v>
      </c>
      <c r="E808" s="36" t="s">
        <v>1339</v>
      </c>
      <c r="F808" s="18" t="s">
        <v>1340</v>
      </c>
      <c r="G808" s="18"/>
      <c r="H808" s="25" t="s">
        <v>674</v>
      </c>
    </row>
    <row r="809" spans="1:8" ht="18" hidden="1" customHeight="1" outlineLevel="2" x14ac:dyDescent="0.2">
      <c r="A809" s="18"/>
      <c r="B809" s="33" t="s">
        <v>3251</v>
      </c>
      <c r="C809" s="18" t="s">
        <v>1337</v>
      </c>
      <c r="D809" s="18" t="s">
        <v>1341</v>
      </c>
      <c r="E809" s="36" t="s">
        <v>1342</v>
      </c>
      <c r="F809" s="18" t="s">
        <v>1340</v>
      </c>
      <c r="G809" s="18"/>
      <c r="H809" s="25" t="s">
        <v>674</v>
      </c>
    </row>
    <row r="810" spans="1:8" ht="18" hidden="1" customHeight="1" outlineLevel="2" x14ac:dyDescent="0.2">
      <c r="A810" s="18"/>
      <c r="B810" s="33" t="s">
        <v>3253</v>
      </c>
      <c r="C810" s="18" t="s">
        <v>1337</v>
      </c>
      <c r="D810" s="18" t="s">
        <v>1345</v>
      </c>
      <c r="E810" s="36" t="s">
        <v>1346</v>
      </c>
      <c r="F810" s="18" t="s">
        <v>1347</v>
      </c>
      <c r="G810" s="18"/>
    </row>
    <row r="811" spans="1:8" ht="18" hidden="1" customHeight="1" outlineLevel="2" x14ac:dyDescent="0.2">
      <c r="A811" s="18"/>
      <c r="B811" s="33" t="s">
        <v>3253</v>
      </c>
      <c r="C811" s="18" t="s">
        <v>1337</v>
      </c>
      <c r="D811" s="18" t="s">
        <v>1349</v>
      </c>
      <c r="E811" s="36" t="s">
        <v>1350</v>
      </c>
      <c r="F811" s="18" t="s">
        <v>1347</v>
      </c>
      <c r="G811" s="18"/>
      <c r="H811" s="25" t="s">
        <v>674</v>
      </c>
    </row>
    <row r="812" spans="1:8" ht="18" hidden="1" customHeight="1" outlineLevel="2" x14ac:dyDescent="0.2">
      <c r="A812" s="18"/>
      <c r="B812" s="18" t="s">
        <v>352</v>
      </c>
      <c r="C812" s="18" t="s">
        <v>1337</v>
      </c>
      <c r="D812" s="18" t="s">
        <v>1338</v>
      </c>
      <c r="E812" s="36" t="s">
        <v>1351</v>
      </c>
      <c r="F812" s="18" t="s">
        <v>1326</v>
      </c>
      <c r="G812" s="18"/>
      <c r="H812" s="25" t="s">
        <v>674</v>
      </c>
    </row>
    <row r="813" spans="1:8" ht="18" hidden="1" customHeight="1" outlineLevel="2" x14ac:dyDescent="0.2">
      <c r="A813" s="18"/>
      <c r="B813" s="18" t="s">
        <v>352</v>
      </c>
      <c r="C813" s="18" t="s">
        <v>1337</v>
      </c>
      <c r="D813" s="18" t="s">
        <v>1341</v>
      </c>
      <c r="E813" s="36" t="s">
        <v>1352</v>
      </c>
      <c r="F813" s="18" t="s">
        <v>1326</v>
      </c>
      <c r="G813" s="18"/>
      <c r="H813" s="25" t="s">
        <v>674</v>
      </c>
    </row>
    <row r="814" spans="1:8" ht="18" hidden="1" customHeight="1" outlineLevel="2" x14ac:dyDescent="0.2">
      <c r="A814" s="18"/>
      <c r="B814" s="33" t="s">
        <v>352</v>
      </c>
      <c r="C814" s="18" t="s">
        <v>1337</v>
      </c>
      <c r="D814" s="18" t="s">
        <v>1355</v>
      </c>
      <c r="E814" s="36" t="s">
        <v>1356</v>
      </c>
      <c r="F814" s="18" t="s">
        <v>1326</v>
      </c>
      <c r="G814" s="18"/>
      <c r="H814" s="25" t="s">
        <v>674</v>
      </c>
    </row>
    <row r="815" spans="1:8" ht="18" hidden="1" customHeight="1" outlineLevel="2" x14ac:dyDescent="0.2">
      <c r="A815" s="18"/>
      <c r="B815" s="33" t="s">
        <v>352</v>
      </c>
      <c r="C815" s="18" t="s">
        <v>1337</v>
      </c>
      <c r="D815" s="18" t="s">
        <v>1357</v>
      </c>
      <c r="E815" s="36" t="s">
        <v>1358</v>
      </c>
      <c r="F815" s="18" t="s">
        <v>1326</v>
      </c>
      <c r="G815" s="18"/>
      <c r="H815" s="25" t="s">
        <v>674</v>
      </c>
    </row>
    <row r="816" spans="1:8" ht="18" hidden="1" customHeight="1" outlineLevel="2" x14ac:dyDescent="0.2">
      <c r="A816" s="18"/>
      <c r="B816" s="33" t="s">
        <v>352</v>
      </c>
      <c r="C816" s="18" t="s">
        <v>1404</v>
      </c>
      <c r="D816" s="18" t="s">
        <v>1405</v>
      </c>
      <c r="E816" s="36" t="s">
        <v>1406</v>
      </c>
      <c r="F816" s="18" t="s">
        <v>1326</v>
      </c>
      <c r="G816" s="18" t="s">
        <v>3055</v>
      </c>
    </row>
    <row r="817" spans="1:8" ht="18" hidden="1" customHeight="1" outlineLevel="2" x14ac:dyDescent="0.2">
      <c r="A817" s="18"/>
      <c r="B817" s="33" t="s">
        <v>352</v>
      </c>
      <c r="C817" s="18" t="s">
        <v>1404</v>
      </c>
      <c r="D817" s="18" t="s">
        <v>1407</v>
      </c>
      <c r="E817" s="36" t="s">
        <v>1408</v>
      </c>
      <c r="F817" s="18" t="s">
        <v>1326</v>
      </c>
      <c r="G817" s="18" t="s">
        <v>3056</v>
      </c>
    </row>
    <row r="818" spans="1:8" ht="18" hidden="1" customHeight="1" outlineLevel="2" x14ac:dyDescent="0.2">
      <c r="A818" s="18"/>
      <c r="B818" s="18" t="s">
        <v>352</v>
      </c>
      <c r="C818" s="18" t="s">
        <v>1404</v>
      </c>
      <c r="D818" s="18" t="s">
        <v>1409</v>
      </c>
      <c r="E818" s="36" t="s">
        <v>1410</v>
      </c>
      <c r="F818" s="18" t="s">
        <v>1326</v>
      </c>
      <c r="G818" s="18" t="s">
        <v>3057</v>
      </c>
    </row>
    <row r="819" spans="1:8" ht="18" hidden="1" customHeight="1" outlineLevel="2" x14ac:dyDescent="0.2">
      <c r="A819" s="18"/>
      <c r="B819" s="33" t="s">
        <v>352</v>
      </c>
      <c r="C819" s="18" t="s">
        <v>1404</v>
      </c>
      <c r="D819" s="18" t="s">
        <v>1411</v>
      </c>
      <c r="E819" s="36" t="s">
        <v>1412</v>
      </c>
      <c r="F819" s="18" t="s">
        <v>1326</v>
      </c>
      <c r="G819" s="18" t="s">
        <v>3058</v>
      </c>
    </row>
    <row r="820" spans="1:8" ht="18" hidden="1" customHeight="1" outlineLevel="2" x14ac:dyDescent="0.2">
      <c r="A820" s="18"/>
      <c r="B820" s="18"/>
      <c r="C820" s="18"/>
      <c r="D820" s="18"/>
      <c r="E820" s="36"/>
      <c r="F820" s="18"/>
      <c r="G820" s="18"/>
    </row>
    <row r="821" spans="1:8" ht="18" hidden="1" customHeight="1" outlineLevel="1" x14ac:dyDescent="0.2">
      <c r="A821" s="119" t="s">
        <v>3724</v>
      </c>
      <c r="B821" s="120"/>
      <c r="C821" s="120"/>
      <c r="D821" s="120"/>
      <c r="E821" s="120"/>
      <c r="F821" s="120"/>
      <c r="G821" s="120"/>
      <c r="H821" s="120"/>
    </row>
    <row r="822" spans="1:8" ht="18" hidden="1" customHeight="1" outlineLevel="2" x14ac:dyDescent="0.2">
      <c r="A822" s="25"/>
      <c r="B822" s="25" t="s">
        <v>3272</v>
      </c>
      <c r="C822" s="25" t="s">
        <v>70</v>
      </c>
      <c r="D822" s="25" t="s">
        <v>3726</v>
      </c>
      <c r="E822" s="25" t="s">
        <v>1452</v>
      </c>
      <c r="F822" s="25" t="s">
        <v>1326</v>
      </c>
      <c r="G822" s="25" t="s">
        <v>3736</v>
      </c>
      <c r="H822" s="25" t="s">
        <v>674</v>
      </c>
    </row>
    <row r="823" spans="1:8" ht="18" hidden="1" customHeight="1" outlineLevel="2" x14ac:dyDescent="0.2">
      <c r="A823" s="25"/>
      <c r="B823" s="25" t="s">
        <v>3273</v>
      </c>
      <c r="C823" s="25" t="s">
        <v>70</v>
      </c>
      <c r="D823" s="25" t="s">
        <v>1453</v>
      </c>
      <c r="E823" s="25" t="s">
        <v>1454</v>
      </c>
      <c r="F823" s="25" t="s">
        <v>1326</v>
      </c>
      <c r="G823" s="25" t="s">
        <v>3737</v>
      </c>
      <c r="H823" s="25" t="s">
        <v>674</v>
      </c>
    </row>
    <row r="824" spans="1:8" ht="18" hidden="1" customHeight="1" outlineLevel="2" x14ac:dyDescent="0.2">
      <c r="A824" s="25"/>
      <c r="B824" s="25" t="s">
        <v>3274</v>
      </c>
      <c r="C824" s="25" t="s">
        <v>70</v>
      </c>
      <c r="D824" s="25" t="s">
        <v>1455</v>
      </c>
      <c r="E824" s="25" t="s">
        <v>1456</v>
      </c>
      <c r="F824" s="25" t="s">
        <v>1326</v>
      </c>
      <c r="G824" s="25" t="s">
        <v>3738</v>
      </c>
      <c r="H824" s="25" t="s">
        <v>674</v>
      </c>
    </row>
    <row r="825" spans="1:8" ht="18" hidden="1" customHeight="1" outlineLevel="2" x14ac:dyDescent="0.2">
      <c r="A825" s="25"/>
      <c r="B825" s="25" t="s">
        <v>3275</v>
      </c>
      <c r="C825" s="25" t="s">
        <v>70</v>
      </c>
      <c r="D825" s="25" t="s">
        <v>3725</v>
      </c>
      <c r="E825" s="25" t="s">
        <v>1457</v>
      </c>
      <c r="F825" s="25" t="s">
        <v>1326</v>
      </c>
      <c r="G825" s="25" t="s">
        <v>3739</v>
      </c>
      <c r="H825" s="25" t="s">
        <v>674</v>
      </c>
    </row>
    <row r="826" spans="1:8" ht="18" hidden="1" customHeight="1" outlineLevel="2" x14ac:dyDescent="0.2">
      <c r="A826" s="25"/>
      <c r="B826" s="25" t="s">
        <v>3276</v>
      </c>
      <c r="C826" s="25" t="s">
        <v>70</v>
      </c>
      <c r="D826" s="25" t="s">
        <v>1458</v>
      </c>
      <c r="E826" s="25"/>
      <c r="F826" s="25" t="s">
        <v>1459</v>
      </c>
      <c r="G826" s="25" t="s">
        <v>1460</v>
      </c>
      <c r="H826" s="25" t="s">
        <v>674</v>
      </c>
    </row>
    <row r="827" spans="1:8" ht="18" hidden="1" customHeight="1" outlineLevel="2" x14ac:dyDescent="0.2">
      <c r="A827" s="25"/>
      <c r="B827" s="25" t="s">
        <v>3268</v>
      </c>
      <c r="C827" s="25" t="s">
        <v>3729</v>
      </c>
      <c r="D827" s="25" t="s">
        <v>1419</v>
      </c>
      <c r="E827" s="25" t="s">
        <v>1425</v>
      </c>
      <c r="F827" s="25" t="s">
        <v>1326</v>
      </c>
      <c r="G827" s="25" t="s">
        <v>1426</v>
      </c>
      <c r="H827" s="25" t="s">
        <v>674</v>
      </c>
    </row>
    <row r="828" spans="1:8" ht="18" hidden="1" customHeight="1" outlineLevel="2" x14ac:dyDescent="0.2">
      <c r="A828" s="25"/>
      <c r="B828" s="25" t="s">
        <v>3269</v>
      </c>
      <c r="C828" s="25" t="s">
        <v>3729</v>
      </c>
      <c r="D828" s="25" t="s">
        <v>1419</v>
      </c>
      <c r="E828" s="25" t="s">
        <v>1427</v>
      </c>
      <c r="F828" s="25" t="s">
        <v>1326</v>
      </c>
      <c r="G828" s="25" t="s">
        <v>1428</v>
      </c>
      <c r="H828" s="25" t="s">
        <v>674</v>
      </c>
    </row>
    <row r="829" spans="1:8" ht="18" hidden="1" customHeight="1" outlineLevel="2" x14ac:dyDescent="0.2">
      <c r="A829" s="25"/>
      <c r="B829" s="25"/>
      <c r="C829" s="25"/>
      <c r="D829" s="25"/>
      <c r="E829" s="25"/>
      <c r="F829" s="25"/>
      <c r="G829" s="25"/>
    </row>
    <row r="830" spans="1:8" ht="18" hidden="1" customHeight="1" outlineLevel="1" x14ac:dyDescent="0.2">
      <c r="A830" s="119" t="s">
        <v>3727</v>
      </c>
      <c r="B830" s="120"/>
      <c r="C830" s="120"/>
      <c r="D830" s="120"/>
      <c r="E830" s="120"/>
      <c r="F830" s="120"/>
      <c r="G830" s="120"/>
      <c r="H830" s="120"/>
    </row>
    <row r="831" spans="1:8" ht="18" hidden="1" customHeight="1" outlineLevel="2" x14ac:dyDescent="0.2">
      <c r="A831" s="18"/>
      <c r="B831" s="18" t="s">
        <v>352</v>
      </c>
      <c r="C831" s="18" t="s">
        <v>1309</v>
      </c>
      <c r="D831" s="18" t="s">
        <v>1310</v>
      </c>
      <c r="E831" s="36" t="s">
        <v>1311</v>
      </c>
      <c r="F831" s="18" t="s">
        <v>1312</v>
      </c>
      <c r="G831" s="18" t="s">
        <v>1313</v>
      </c>
    </row>
    <row r="832" spans="1:8" ht="18" hidden="1" customHeight="1" outlineLevel="2" x14ac:dyDescent="0.2">
      <c r="A832" s="18"/>
      <c r="B832" s="18" t="s">
        <v>352</v>
      </c>
      <c r="C832" s="18" t="s">
        <v>1314</v>
      </c>
      <c r="D832" s="18" t="s">
        <v>1315</v>
      </c>
      <c r="E832" s="36" t="s">
        <v>1316</v>
      </c>
      <c r="F832" s="18" t="s">
        <v>1317</v>
      </c>
      <c r="G832" s="18" t="s">
        <v>1318</v>
      </c>
    </row>
    <row r="833" spans="1:12" ht="18" hidden="1" customHeight="1" outlineLevel="2" x14ac:dyDescent="0.2">
      <c r="A833" s="18"/>
      <c r="B833" s="18" t="s">
        <v>352</v>
      </c>
      <c r="C833" s="18" t="s">
        <v>1319</v>
      </c>
      <c r="D833" s="18" t="s">
        <v>1320</v>
      </c>
      <c r="E833" s="36" t="s">
        <v>1321</v>
      </c>
      <c r="F833" s="18" t="s">
        <v>711</v>
      </c>
      <c r="G833" s="18" t="s">
        <v>1322</v>
      </c>
    </row>
    <row r="834" spans="1:12" ht="18" hidden="1" customHeight="1" outlineLevel="2" x14ac:dyDescent="0.2">
      <c r="A834" s="18"/>
      <c r="B834" s="18" t="s">
        <v>352</v>
      </c>
      <c r="C834" s="18" t="s">
        <v>1323</v>
      </c>
      <c r="D834" s="18" t="s">
        <v>1324</v>
      </c>
      <c r="E834" s="36" t="s">
        <v>1325</v>
      </c>
      <c r="F834" s="18" t="s">
        <v>1326</v>
      </c>
      <c r="G834" s="18" t="s">
        <v>1327</v>
      </c>
    </row>
    <row r="835" spans="1:12" ht="18" hidden="1" customHeight="1" outlineLevel="2" x14ac:dyDescent="0.2">
      <c r="A835" s="18"/>
      <c r="B835" s="18" t="s">
        <v>352</v>
      </c>
      <c r="C835" s="18" t="s">
        <v>1332</v>
      </c>
      <c r="D835" s="18" t="s">
        <v>1333</v>
      </c>
      <c r="E835" s="36" t="s">
        <v>1334</v>
      </c>
      <c r="F835" s="18" t="s">
        <v>1317</v>
      </c>
      <c r="G835" s="18" t="s">
        <v>3734</v>
      </c>
      <c r="H835" s="25" t="s">
        <v>674</v>
      </c>
    </row>
    <row r="836" spans="1:12" ht="18" hidden="1" customHeight="1" outlineLevel="2" x14ac:dyDescent="0.2">
      <c r="A836" s="18"/>
      <c r="B836" s="18" t="s">
        <v>352</v>
      </c>
      <c r="C836" s="18" t="s">
        <v>1332</v>
      </c>
      <c r="D836" s="18" t="s">
        <v>1335</v>
      </c>
      <c r="E836" s="36" t="s">
        <v>1336</v>
      </c>
      <c r="F836" s="18" t="s">
        <v>1317</v>
      </c>
      <c r="G836" s="18" t="s">
        <v>3735</v>
      </c>
      <c r="H836" s="25" t="s">
        <v>674</v>
      </c>
    </row>
    <row r="837" spans="1:12" ht="18" hidden="1" customHeight="1" outlineLevel="2" x14ac:dyDescent="0.25">
      <c r="A837" s="18"/>
      <c r="B837" s="18"/>
      <c r="C837" s="18"/>
      <c r="D837" s="18"/>
      <c r="E837" s="36"/>
      <c r="F837" s="18"/>
      <c r="G837" s="18"/>
      <c r="L837"/>
    </row>
    <row r="838" spans="1:12" ht="18" hidden="1" customHeight="1" outlineLevel="1" x14ac:dyDescent="0.2">
      <c r="A838" s="119" t="s">
        <v>3744</v>
      </c>
      <c r="B838" s="120" t="s">
        <v>547</v>
      </c>
      <c r="C838" s="120" t="s">
        <v>547</v>
      </c>
      <c r="D838" s="120"/>
      <c r="E838" s="120"/>
      <c r="F838" s="120"/>
      <c r="G838" s="120"/>
      <c r="H838" s="120"/>
    </row>
    <row r="839" spans="1:12" ht="18" hidden="1" customHeight="1" outlineLevel="2" x14ac:dyDescent="0.2">
      <c r="A839" s="18"/>
      <c r="B839" s="18" t="s">
        <v>352</v>
      </c>
      <c r="C839" s="18" t="s">
        <v>1461</v>
      </c>
      <c r="D839" s="18" t="s">
        <v>1462</v>
      </c>
      <c r="E839" s="36" t="s">
        <v>1463</v>
      </c>
      <c r="F839" s="18" t="s">
        <v>1326</v>
      </c>
      <c r="G839" s="18" t="s">
        <v>1464</v>
      </c>
    </row>
    <row r="840" spans="1:12" ht="18" hidden="1" customHeight="1" outlineLevel="2" x14ac:dyDescent="0.2">
      <c r="A840" s="18"/>
      <c r="B840" s="18" t="s">
        <v>352</v>
      </c>
      <c r="C840" s="18" t="s">
        <v>1461</v>
      </c>
      <c r="D840" s="18" t="s">
        <v>1465</v>
      </c>
      <c r="E840" s="36" t="s">
        <v>1466</v>
      </c>
      <c r="F840" s="18" t="s">
        <v>1326</v>
      </c>
      <c r="G840" s="18" t="s">
        <v>1467</v>
      </c>
    </row>
    <row r="841" spans="1:12" ht="18" hidden="1" customHeight="1" outlineLevel="2" x14ac:dyDescent="0.2">
      <c r="A841" s="18"/>
      <c r="B841" s="18" t="s">
        <v>352</v>
      </c>
      <c r="C841" s="18" t="s">
        <v>1461</v>
      </c>
      <c r="D841" s="18" t="s">
        <v>1468</v>
      </c>
      <c r="E841" s="36" t="s">
        <v>1469</v>
      </c>
      <c r="F841" s="18" t="s">
        <v>1326</v>
      </c>
      <c r="G841" s="18" t="s">
        <v>1470</v>
      </c>
    </row>
    <row r="842" spans="1:12" ht="18" hidden="1" customHeight="1" outlineLevel="2" x14ac:dyDescent="0.2">
      <c r="A842" s="18"/>
      <c r="B842" s="18" t="s">
        <v>352</v>
      </c>
      <c r="C842" s="18" t="s">
        <v>1461</v>
      </c>
      <c r="D842" s="18" t="s">
        <v>1462</v>
      </c>
      <c r="E842" s="36" t="s">
        <v>1471</v>
      </c>
      <c r="F842" s="18" t="s">
        <v>1326</v>
      </c>
      <c r="G842" s="18" t="s">
        <v>1470</v>
      </c>
    </row>
    <row r="843" spans="1:12" ht="18" hidden="1" customHeight="1" outlineLevel="2" x14ac:dyDescent="0.2">
      <c r="A843" s="18"/>
      <c r="B843" s="18" t="s">
        <v>352</v>
      </c>
      <c r="C843" s="18" t="s">
        <v>1461</v>
      </c>
      <c r="D843" s="18" t="s">
        <v>1472</v>
      </c>
      <c r="E843" s="36" t="s">
        <v>1473</v>
      </c>
      <c r="F843" s="18" t="s">
        <v>1326</v>
      </c>
      <c r="G843" s="18" t="s">
        <v>1474</v>
      </c>
    </row>
    <row r="844" spans="1:12" ht="18" hidden="1" customHeight="1" outlineLevel="2" x14ac:dyDescent="0.2">
      <c r="A844" s="18"/>
      <c r="B844" s="18"/>
      <c r="C844" s="38" t="s">
        <v>3733</v>
      </c>
      <c r="D844" s="18"/>
      <c r="E844" s="36"/>
      <c r="F844" s="18"/>
      <c r="G844" s="18"/>
    </row>
    <row r="845" spans="1:12" ht="18" hidden="1" customHeight="1" outlineLevel="2" x14ac:dyDescent="0.2">
      <c r="A845" s="18"/>
      <c r="B845" s="18" t="s">
        <v>352</v>
      </c>
      <c r="C845" s="18" t="s">
        <v>1482</v>
      </c>
      <c r="D845" s="18"/>
      <c r="E845" s="36" t="s">
        <v>1483</v>
      </c>
      <c r="F845" s="18" t="s">
        <v>1326</v>
      </c>
      <c r="G845" s="18"/>
    </row>
    <row r="846" spans="1:12" ht="18" hidden="1" customHeight="1" outlineLevel="2" x14ac:dyDescent="0.2">
      <c r="A846" s="18"/>
      <c r="B846" s="18" t="s">
        <v>352</v>
      </c>
      <c r="C846" s="18" t="s">
        <v>1484</v>
      </c>
      <c r="D846" s="18"/>
      <c r="E846" s="36" t="s">
        <v>1485</v>
      </c>
      <c r="F846" s="18" t="s">
        <v>1326</v>
      </c>
      <c r="G846" s="18"/>
    </row>
    <row r="847" spans="1:12" ht="18" hidden="1" customHeight="1" outlineLevel="2" x14ac:dyDescent="0.2">
      <c r="A847" s="18"/>
      <c r="B847" s="18" t="s">
        <v>352</v>
      </c>
      <c r="C847" s="18" t="s">
        <v>1486</v>
      </c>
      <c r="D847" s="18" t="s">
        <v>1487</v>
      </c>
      <c r="E847" s="36" t="s">
        <v>1488</v>
      </c>
      <c r="F847" s="18" t="s">
        <v>1326</v>
      </c>
      <c r="G847" s="18" t="s">
        <v>1489</v>
      </c>
    </row>
    <row r="848" spans="1:12" ht="18" hidden="1" customHeight="1" outlineLevel="2" x14ac:dyDescent="0.2">
      <c r="A848" s="18"/>
      <c r="B848" s="18" t="s">
        <v>352</v>
      </c>
      <c r="C848" s="18" t="s">
        <v>1490</v>
      </c>
      <c r="D848" s="18" t="s">
        <v>1491</v>
      </c>
      <c r="E848" s="36" t="s">
        <v>1492</v>
      </c>
      <c r="F848" s="18" t="s">
        <v>1326</v>
      </c>
      <c r="G848" s="18"/>
    </row>
    <row r="849" spans="1:8" ht="18" hidden="1" customHeight="1" outlineLevel="2" x14ac:dyDescent="0.2">
      <c r="A849" s="18"/>
      <c r="B849" s="18" t="s">
        <v>352</v>
      </c>
      <c r="C849" s="18" t="s">
        <v>1323</v>
      </c>
      <c r="D849" s="18" t="s">
        <v>1493</v>
      </c>
      <c r="E849" s="36" t="s">
        <v>1494</v>
      </c>
      <c r="F849" s="18" t="s">
        <v>1326</v>
      </c>
      <c r="G849" s="18"/>
    </row>
    <row r="850" spans="1:8" ht="18" hidden="1" customHeight="1" outlineLevel="2" x14ac:dyDescent="0.2">
      <c r="A850" s="18"/>
      <c r="B850" s="18" t="s">
        <v>352</v>
      </c>
      <c r="C850" s="18" t="s">
        <v>1495</v>
      </c>
      <c r="D850" s="18"/>
      <c r="E850" s="36" t="s">
        <v>1496</v>
      </c>
      <c r="F850" s="18" t="s">
        <v>1326</v>
      </c>
      <c r="G850" s="18"/>
    </row>
    <row r="851" spans="1:8" ht="18" hidden="1" customHeight="1" outlineLevel="2" x14ac:dyDescent="0.2">
      <c r="A851" s="18"/>
      <c r="B851" s="18" t="s">
        <v>352</v>
      </c>
      <c r="C851" s="18" t="s">
        <v>1497</v>
      </c>
      <c r="D851" s="18"/>
      <c r="E851" s="36" t="s">
        <v>1498</v>
      </c>
      <c r="F851" s="18" t="s">
        <v>1326</v>
      </c>
      <c r="G851" s="18"/>
    </row>
    <row r="852" spans="1:8" ht="18" hidden="1" customHeight="1" outlineLevel="2" x14ac:dyDescent="0.2">
      <c r="A852" s="18"/>
      <c r="B852" s="18"/>
      <c r="C852" s="38" t="s">
        <v>3732</v>
      </c>
      <c r="D852" s="18"/>
      <c r="E852" s="36"/>
      <c r="F852" s="18"/>
      <c r="G852" s="18"/>
    </row>
    <row r="853" spans="1:8" ht="18" hidden="1" customHeight="1" outlineLevel="2" x14ac:dyDescent="0.2">
      <c r="A853" s="18"/>
      <c r="B853" s="18" t="s">
        <v>3040</v>
      </c>
      <c r="C853" s="18" t="s">
        <v>1361</v>
      </c>
      <c r="D853" s="18" t="s">
        <v>1364</v>
      </c>
      <c r="E853" s="36" t="s">
        <v>1365</v>
      </c>
      <c r="F853" s="18" t="s">
        <v>1326</v>
      </c>
      <c r="G853" s="18"/>
    </row>
    <row r="854" spans="1:8" ht="18" hidden="1" customHeight="1" outlineLevel="2" x14ac:dyDescent="0.2">
      <c r="A854" s="18"/>
      <c r="B854" s="33" t="s">
        <v>3052</v>
      </c>
      <c r="C854" s="18" t="s">
        <v>1390</v>
      </c>
      <c r="D854" s="18" t="s">
        <v>1391</v>
      </c>
      <c r="E854" s="36" t="s">
        <v>1392</v>
      </c>
      <c r="F854" s="18" t="s">
        <v>1326</v>
      </c>
      <c r="G854" s="18" t="s">
        <v>1393</v>
      </c>
    </row>
    <row r="855" spans="1:8" ht="18" hidden="1" customHeight="1" outlineLevel="2" x14ac:dyDescent="0.2">
      <c r="A855" s="18"/>
      <c r="B855" s="18" t="s">
        <v>352</v>
      </c>
      <c r="C855" s="18" t="s">
        <v>1499</v>
      </c>
      <c r="D855" s="18" t="s">
        <v>1500</v>
      </c>
      <c r="E855" s="36" t="s">
        <v>1501</v>
      </c>
      <c r="F855" s="18" t="s">
        <v>1312</v>
      </c>
      <c r="G855" s="18" t="s">
        <v>1502</v>
      </c>
    </row>
    <row r="856" spans="1:8" ht="18" hidden="1" customHeight="1" outlineLevel="2" x14ac:dyDescent="0.2">
      <c r="A856" s="18"/>
      <c r="B856" s="18"/>
      <c r="C856" s="38" t="s">
        <v>3731</v>
      </c>
      <c r="D856" s="18"/>
      <c r="E856" s="36"/>
      <c r="F856" s="18"/>
      <c r="G856" s="18"/>
    </row>
    <row r="857" spans="1:8" ht="18" hidden="1" customHeight="1" outlineLevel="2" x14ac:dyDescent="0.2">
      <c r="A857" s="18"/>
      <c r="B857" s="18" t="s">
        <v>352</v>
      </c>
      <c r="C857" s="18" t="s">
        <v>1503</v>
      </c>
      <c r="D857" s="18" t="s">
        <v>1500</v>
      </c>
      <c r="E857" s="36">
        <v>13958</v>
      </c>
      <c r="F857" s="18" t="s">
        <v>1312</v>
      </c>
      <c r="G857" s="18" t="s">
        <v>1504</v>
      </c>
    </row>
    <row r="858" spans="1:8" ht="18" hidden="1" customHeight="1" outlineLevel="2" x14ac:dyDescent="0.2">
      <c r="A858" s="18"/>
      <c r="B858" s="18" t="s">
        <v>352</v>
      </c>
      <c r="C858" s="18" t="s">
        <v>1505</v>
      </c>
      <c r="D858" s="18" t="s">
        <v>1506</v>
      </c>
      <c r="E858" s="36" t="s">
        <v>1507</v>
      </c>
      <c r="F858" s="18" t="s">
        <v>1326</v>
      </c>
      <c r="G858" s="18"/>
    </row>
    <row r="859" spans="1:8" ht="18" hidden="1" customHeight="1" outlineLevel="2" x14ac:dyDescent="0.2">
      <c r="A859" s="18"/>
      <c r="B859" s="18" t="s">
        <v>1982</v>
      </c>
      <c r="C859" s="18" t="s">
        <v>1508</v>
      </c>
      <c r="D859" s="18" t="s">
        <v>1509</v>
      </c>
      <c r="E859" s="36">
        <v>13372</v>
      </c>
      <c r="F859" s="18" t="s">
        <v>1510</v>
      </c>
      <c r="G859" s="18"/>
    </row>
    <row r="860" spans="1:8" ht="18" hidden="1" customHeight="1" outlineLevel="2" x14ac:dyDescent="0.2">
      <c r="A860" s="18"/>
      <c r="B860" s="18" t="s">
        <v>3040</v>
      </c>
      <c r="C860" s="18" t="s">
        <v>1361</v>
      </c>
      <c r="D860" s="18" t="s">
        <v>1364</v>
      </c>
      <c r="E860" s="36" t="s">
        <v>1365</v>
      </c>
      <c r="F860" s="18" t="s">
        <v>1326</v>
      </c>
      <c r="G860" s="18"/>
    </row>
    <row r="861" spans="1:8" ht="18" hidden="1" customHeight="1" outlineLevel="2" x14ac:dyDescent="0.2">
      <c r="A861" s="18"/>
      <c r="B861" s="18"/>
      <c r="C861" s="18"/>
      <c r="D861" s="18"/>
      <c r="E861" s="36"/>
      <c r="F861" s="18"/>
      <c r="G861" s="18"/>
    </row>
    <row r="862" spans="1:8" ht="18" customHeight="1" collapsed="1" x14ac:dyDescent="0.2">
      <c r="A862" s="131" t="s">
        <v>3743</v>
      </c>
      <c r="B862" s="132"/>
      <c r="C862" s="132"/>
      <c r="D862" s="132"/>
      <c r="E862" s="132"/>
      <c r="F862" s="132"/>
      <c r="G862" s="132"/>
      <c r="H862" s="132"/>
    </row>
    <row r="863" spans="1:8" ht="18" hidden="1" customHeight="1" outlineLevel="1" x14ac:dyDescent="0.2">
      <c r="A863" s="119" t="s">
        <v>3747</v>
      </c>
      <c r="B863" s="120"/>
      <c r="C863" s="120"/>
      <c r="D863" s="120"/>
      <c r="E863" s="120"/>
      <c r="F863" s="120"/>
      <c r="G863" s="120"/>
      <c r="H863" s="120"/>
    </row>
    <row r="864" spans="1:8" ht="18" hidden="1" customHeight="1" outlineLevel="2" x14ac:dyDescent="0.2">
      <c r="A864" s="18"/>
      <c r="B864" s="18" t="s">
        <v>3278</v>
      </c>
      <c r="C864" s="18" t="s">
        <v>1511</v>
      </c>
      <c r="D864" s="18" t="s">
        <v>1512</v>
      </c>
      <c r="E864" s="36">
        <v>401015</v>
      </c>
      <c r="F864" s="18" t="s">
        <v>1513</v>
      </c>
      <c r="G864" s="18" t="s">
        <v>3796</v>
      </c>
    </row>
    <row r="865" spans="1:7" ht="18" hidden="1" customHeight="1" outlineLevel="2" x14ac:dyDescent="0.2">
      <c r="A865" s="18"/>
      <c r="B865" s="18" t="s">
        <v>352</v>
      </c>
      <c r="C865" s="18" t="s">
        <v>1514</v>
      </c>
      <c r="D865" s="18" t="s">
        <v>1515</v>
      </c>
      <c r="E865" s="36">
        <v>415001</v>
      </c>
      <c r="F865" s="18" t="s">
        <v>1513</v>
      </c>
      <c r="G865" s="18" t="s">
        <v>3778</v>
      </c>
    </row>
    <row r="866" spans="1:7" ht="18" hidden="1" customHeight="1" outlineLevel="2" x14ac:dyDescent="0.2">
      <c r="A866" s="18"/>
      <c r="B866" s="18" t="s">
        <v>3279</v>
      </c>
      <c r="C866" s="18" t="s">
        <v>1511</v>
      </c>
      <c r="D866" s="18" t="s">
        <v>1516</v>
      </c>
      <c r="E866" s="36">
        <v>401016</v>
      </c>
      <c r="F866" s="18" t="s">
        <v>1513</v>
      </c>
      <c r="G866" s="18" t="s">
        <v>3797</v>
      </c>
    </row>
    <row r="867" spans="1:7" ht="18" hidden="1" customHeight="1" outlineLevel="2" x14ac:dyDescent="0.2">
      <c r="A867" s="18"/>
      <c r="B867" s="18" t="s">
        <v>352</v>
      </c>
      <c r="C867" s="18" t="s">
        <v>1514</v>
      </c>
      <c r="D867" s="18" t="s">
        <v>1517</v>
      </c>
      <c r="E867" s="36">
        <v>415002</v>
      </c>
      <c r="F867" s="18" t="s">
        <v>1513</v>
      </c>
      <c r="G867" s="18" t="s">
        <v>3779</v>
      </c>
    </row>
    <row r="868" spans="1:7" ht="18" hidden="1" customHeight="1" outlineLevel="2" x14ac:dyDescent="0.2">
      <c r="A868" s="18"/>
      <c r="B868" s="18" t="s">
        <v>3280</v>
      </c>
      <c r="C868" s="18" t="s">
        <v>1511</v>
      </c>
      <c r="D868" s="18" t="s">
        <v>1518</v>
      </c>
      <c r="E868" s="36">
        <v>401017</v>
      </c>
      <c r="F868" s="18" t="s">
        <v>1513</v>
      </c>
      <c r="G868" s="18" t="s">
        <v>3798</v>
      </c>
    </row>
    <row r="869" spans="1:7" ht="18" hidden="1" customHeight="1" outlineLevel="2" x14ac:dyDescent="0.2">
      <c r="A869" s="18"/>
      <c r="B869" s="18" t="s">
        <v>352</v>
      </c>
      <c r="C869" s="18" t="s">
        <v>1514</v>
      </c>
      <c r="D869" s="18" t="s">
        <v>1519</v>
      </c>
      <c r="E869" s="36">
        <v>415003</v>
      </c>
      <c r="F869" s="18" t="s">
        <v>1513</v>
      </c>
      <c r="G869" s="18" t="s">
        <v>3780</v>
      </c>
    </row>
    <row r="870" spans="1:7" ht="18" hidden="1" customHeight="1" outlineLevel="2" x14ac:dyDescent="0.2">
      <c r="A870" s="18"/>
      <c r="B870" s="18" t="s">
        <v>3281</v>
      </c>
      <c r="C870" s="18" t="s">
        <v>1511</v>
      </c>
      <c r="D870" s="18" t="s">
        <v>1520</v>
      </c>
      <c r="E870" s="36">
        <v>401019</v>
      </c>
      <c r="F870" s="18" t="s">
        <v>1513</v>
      </c>
      <c r="G870" s="18" t="s">
        <v>3799</v>
      </c>
    </row>
    <row r="871" spans="1:7" ht="18" hidden="1" customHeight="1" outlineLevel="2" x14ac:dyDescent="0.2">
      <c r="A871" s="18"/>
      <c r="B871" s="18" t="s">
        <v>352</v>
      </c>
      <c r="C871" s="18" t="s">
        <v>1514</v>
      </c>
      <c r="D871" s="18" t="s">
        <v>1521</v>
      </c>
      <c r="E871" s="36">
        <v>415005</v>
      </c>
      <c r="F871" s="18" t="s">
        <v>1513</v>
      </c>
      <c r="G871" s="18" t="s">
        <v>3781</v>
      </c>
    </row>
    <row r="872" spans="1:7" ht="18" hidden="1" customHeight="1" outlineLevel="2" x14ac:dyDescent="0.2">
      <c r="A872" s="18"/>
      <c r="B872" s="18" t="s">
        <v>3282</v>
      </c>
      <c r="C872" s="18" t="s">
        <v>1511</v>
      </c>
      <c r="D872" s="18" t="s">
        <v>1522</v>
      </c>
      <c r="E872" s="36">
        <v>401021</v>
      </c>
      <c r="F872" s="18" t="s">
        <v>1513</v>
      </c>
      <c r="G872" s="18" t="s">
        <v>3800</v>
      </c>
    </row>
    <row r="873" spans="1:7" ht="18" hidden="1" customHeight="1" outlineLevel="2" x14ac:dyDescent="0.2">
      <c r="A873" s="18"/>
      <c r="B873" s="18" t="s">
        <v>352</v>
      </c>
      <c r="C873" s="18" t="s">
        <v>1514</v>
      </c>
      <c r="D873" s="18" t="s">
        <v>1523</v>
      </c>
      <c r="E873" s="36">
        <v>415007</v>
      </c>
      <c r="F873" s="18" t="s">
        <v>1513</v>
      </c>
      <c r="G873" s="18" t="s">
        <v>3782</v>
      </c>
    </row>
    <row r="874" spans="1:7" ht="18" hidden="1" customHeight="1" outlineLevel="2" x14ac:dyDescent="0.2">
      <c r="A874" s="18"/>
      <c r="B874" s="18" t="s">
        <v>352</v>
      </c>
      <c r="C874" s="18" t="s">
        <v>1511</v>
      </c>
      <c r="D874" s="18" t="s">
        <v>1524</v>
      </c>
      <c r="E874" s="36">
        <v>401024</v>
      </c>
      <c r="F874" s="18" t="s">
        <v>1513</v>
      </c>
      <c r="G874" s="18" t="s">
        <v>3801</v>
      </c>
    </row>
    <row r="875" spans="1:7" ht="18" hidden="1" customHeight="1" outlineLevel="2" x14ac:dyDescent="0.2">
      <c r="A875" s="18"/>
      <c r="B875" s="18" t="s">
        <v>352</v>
      </c>
      <c r="C875" s="18" t="s">
        <v>1514</v>
      </c>
      <c r="D875" s="18" t="s">
        <v>1525</v>
      </c>
      <c r="E875" s="36">
        <v>415010</v>
      </c>
      <c r="F875" s="18" t="s">
        <v>1513</v>
      </c>
      <c r="G875" s="18" t="s">
        <v>3783</v>
      </c>
    </row>
    <row r="876" spans="1:7" ht="18" hidden="1" customHeight="1" outlineLevel="2" x14ac:dyDescent="0.2">
      <c r="A876" s="18"/>
      <c r="B876" s="18" t="s">
        <v>352</v>
      </c>
      <c r="C876" s="18" t="s">
        <v>1511</v>
      </c>
      <c r="D876" s="18" t="s">
        <v>1526</v>
      </c>
      <c r="E876" s="36">
        <v>401026</v>
      </c>
      <c r="F876" s="18" t="s">
        <v>1513</v>
      </c>
      <c r="G876" s="18" t="s">
        <v>3802</v>
      </c>
    </row>
    <row r="877" spans="1:7" ht="18" hidden="1" customHeight="1" outlineLevel="2" x14ac:dyDescent="0.2">
      <c r="A877" s="18"/>
      <c r="B877" s="18" t="s">
        <v>352</v>
      </c>
      <c r="C877" s="18" t="s">
        <v>1514</v>
      </c>
      <c r="D877" s="18" t="s">
        <v>1527</v>
      </c>
      <c r="E877" s="36">
        <v>415012</v>
      </c>
      <c r="F877" s="18" t="s">
        <v>1513</v>
      </c>
      <c r="G877" s="18" t="s">
        <v>3784</v>
      </c>
    </row>
    <row r="878" spans="1:7" ht="18" hidden="1" customHeight="1" outlineLevel="2" x14ac:dyDescent="0.2">
      <c r="A878" s="18"/>
      <c r="B878" s="18" t="s">
        <v>352</v>
      </c>
      <c r="C878" s="18" t="s">
        <v>1511</v>
      </c>
      <c r="D878" s="18" t="s">
        <v>1528</v>
      </c>
      <c r="E878" s="36">
        <v>401028</v>
      </c>
      <c r="F878" s="18" t="s">
        <v>1513</v>
      </c>
      <c r="G878" s="18" t="s">
        <v>3803</v>
      </c>
    </row>
    <row r="879" spans="1:7" ht="18" hidden="1" customHeight="1" outlineLevel="2" x14ac:dyDescent="0.2">
      <c r="A879" s="18"/>
      <c r="B879" s="18" t="s">
        <v>352</v>
      </c>
      <c r="C879" s="18" t="s">
        <v>1514</v>
      </c>
      <c r="D879" s="18" t="s">
        <v>1529</v>
      </c>
      <c r="E879" s="36">
        <v>415016</v>
      </c>
      <c r="F879" s="18" t="s">
        <v>1513</v>
      </c>
      <c r="G879" s="18" t="s">
        <v>3785</v>
      </c>
    </row>
    <row r="880" spans="1:7" ht="18" hidden="1" customHeight="1" outlineLevel="2" x14ac:dyDescent="0.2">
      <c r="A880" s="18"/>
      <c r="B880" s="18" t="s">
        <v>352</v>
      </c>
      <c r="C880" s="18" t="s">
        <v>1511</v>
      </c>
      <c r="D880" s="18" t="s">
        <v>1530</v>
      </c>
      <c r="E880" s="36">
        <v>401057</v>
      </c>
      <c r="F880" s="18" t="s">
        <v>1513</v>
      </c>
      <c r="G880" s="18" t="s">
        <v>3804</v>
      </c>
    </row>
    <row r="881" spans="1:8" ht="18" hidden="1" customHeight="1" outlineLevel="2" x14ac:dyDescent="0.2">
      <c r="A881" s="18"/>
      <c r="B881" s="18" t="s">
        <v>352</v>
      </c>
      <c r="C881" s="18" t="s">
        <v>1514</v>
      </c>
      <c r="D881" s="18" t="s">
        <v>1531</v>
      </c>
      <c r="E881" s="36">
        <v>415018</v>
      </c>
      <c r="F881" s="18" t="s">
        <v>1513</v>
      </c>
      <c r="G881" s="18" t="s">
        <v>3786</v>
      </c>
    </row>
    <row r="882" spans="1:8" ht="18" hidden="1" customHeight="1" outlineLevel="2" x14ac:dyDescent="0.2">
      <c r="A882" s="18"/>
      <c r="B882" s="18" t="s">
        <v>352</v>
      </c>
      <c r="C882" s="18" t="s">
        <v>1532</v>
      </c>
      <c r="D882" s="18" t="s">
        <v>1533</v>
      </c>
      <c r="E882" s="36">
        <v>644024</v>
      </c>
      <c r="F882" s="18" t="s">
        <v>1513</v>
      </c>
      <c r="G882" s="18" t="s">
        <v>3787</v>
      </c>
    </row>
    <row r="883" spans="1:8" ht="18" hidden="1" customHeight="1" outlineLevel="2" x14ac:dyDescent="0.2">
      <c r="A883" s="18"/>
      <c r="B883" s="18" t="s">
        <v>352</v>
      </c>
      <c r="C883" s="18" t="s">
        <v>1534</v>
      </c>
      <c r="D883" s="18"/>
      <c r="E883" s="36" t="s">
        <v>1535</v>
      </c>
      <c r="F883" s="18" t="s">
        <v>1513</v>
      </c>
      <c r="G883" s="18"/>
      <c r="H883" s="25" t="s">
        <v>57</v>
      </c>
    </row>
    <row r="884" spans="1:8" ht="18" hidden="1" customHeight="1" outlineLevel="2" x14ac:dyDescent="0.2">
      <c r="A884" s="18"/>
      <c r="B884" s="18" t="s">
        <v>3283</v>
      </c>
      <c r="C884" s="18" t="s">
        <v>3746</v>
      </c>
      <c r="D884" s="18" t="s">
        <v>1536</v>
      </c>
      <c r="E884" s="36">
        <v>402010</v>
      </c>
      <c r="F884" s="18" t="s">
        <v>1513</v>
      </c>
      <c r="G884" s="18" t="s">
        <v>3788</v>
      </c>
    </row>
    <row r="885" spans="1:8" ht="18" hidden="1" customHeight="1" outlineLevel="2" x14ac:dyDescent="0.2">
      <c r="A885" s="18"/>
      <c r="B885" s="18" t="s">
        <v>352</v>
      </c>
      <c r="C885" s="18" t="s">
        <v>1537</v>
      </c>
      <c r="D885" s="18" t="s">
        <v>1538</v>
      </c>
      <c r="E885" s="36">
        <v>402002</v>
      </c>
      <c r="F885" s="18" t="s">
        <v>1513</v>
      </c>
      <c r="G885" s="18" t="s">
        <v>1539</v>
      </c>
    </row>
    <row r="886" spans="1:8" ht="18" hidden="1" customHeight="1" outlineLevel="2" x14ac:dyDescent="0.2">
      <c r="A886" s="18"/>
      <c r="B886" s="18" t="s">
        <v>352</v>
      </c>
      <c r="C886" s="18" t="s">
        <v>1540</v>
      </c>
      <c r="D886" s="18" t="s">
        <v>1541</v>
      </c>
      <c r="E886" s="36" t="s">
        <v>1542</v>
      </c>
      <c r="F886" s="18" t="s">
        <v>1513</v>
      </c>
      <c r="G886" s="18" t="s">
        <v>1543</v>
      </c>
    </row>
    <row r="887" spans="1:8" ht="18" hidden="1" customHeight="1" outlineLevel="2" x14ac:dyDescent="0.2">
      <c r="A887" s="18"/>
      <c r="B887" s="18" t="s">
        <v>352</v>
      </c>
      <c r="C887" s="18" t="s">
        <v>1544</v>
      </c>
      <c r="D887" s="18" t="s">
        <v>1545</v>
      </c>
      <c r="E887" s="36">
        <v>401</v>
      </c>
      <c r="F887" s="18" t="s">
        <v>1544</v>
      </c>
      <c r="G887" s="18" t="s">
        <v>1546</v>
      </c>
    </row>
    <row r="888" spans="1:8" ht="18" hidden="1" customHeight="1" outlineLevel="2" x14ac:dyDescent="0.2">
      <c r="A888" s="18"/>
      <c r="B888" s="18" t="s">
        <v>352</v>
      </c>
      <c r="C888" s="18" t="s">
        <v>1544</v>
      </c>
      <c r="D888" s="18" t="s">
        <v>1547</v>
      </c>
      <c r="E888" s="36" t="s">
        <v>1548</v>
      </c>
      <c r="F888" s="18" t="s">
        <v>1544</v>
      </c>
      <c r="G888" s="18" t="s">
        <v>3789</v>
      </c>
    </row>
    <row r="889" spans="1:8" ht="18" hidden="1" customHeight="1" outlineLevel="2" x14ac:dyDescent="0.2">
      <c r="A889" s="18"/>
      <c r="B889" s="18" t="s">
        <v>352</v>
      </c>
      <c r="C889" s="18" t="s">
        <v>1544</v>
      </c>
      <c r="D889" s="18" t="s">
        <v>1549</v>
      </c>
      <c r="E889" s="36" t="s">
        <v>1550</v>
      </c>
      <c r="F889" s="18" t="s">
        <v>1544</v>
      </c>
      <c r="G889" s="18" t="s">
        <v>3790</v>
      </c>
    </row>
    <row r="890" spans="1:8" ht="18" hidden="1" customHeight="1" outlineLevel="2" x14ac:dyDescent="0.2">
      <c r="A890" s="18"/>
      <c r="B890" s="18" t="s">
        <v>3284</v>
      </c>
      <c r="C890" s="18" t="s">
        <v>1544</v>
      </c>
      <c r="D890" s="18" t="s">
        <v>1551</v>
      </c>
      <c r="E890" s="36" t="s">
        <v>1552</v>
      </c>
      <c r="F890" s="18" t="s">
        <v>1544</v>
      </c>
      <c r="G890" s="18" t="s">
        <v>3791</v>
      </c>
    </row>
    <row r="891" spans="1:8" ht="18" hidden="1" customHeight="1" outlineLevel="2" x14ac:dyDescent="0.2">
      <c r="A891" s="18"/>
      <c r="B891" s="18" t="s">
        <v>3285</v>
      </c>
      <c r="C891" s="18" t="s">
        <v>1544</v>
      </c>
      <c r="D891" s="18" t="s">
        <v>1553</v>
      </c>
      <c r="E891" s="36" t="s">
        <v>1554</v>
      </c>
      <c r="F891" s="18" t="s">
        <v>1544</v>
      </c>
      <c r="G891" s="18" t="s">
        <v>3792</v>
      </c>
    </row>
    <row r="892" spans="1:8" ht="18" hidden="1" customHeight="1" outlineLevel="2" x14ac:dyDescent="0.2">
      <c r="A892" s="18"/>
      <c r="B892" s="18" t="s">
        <v>3286</v>
      </c>
      <c r="C892" s="18" t="s">
        <v>1544</v>
      </c>
      <c r="D892" s="18" t="s">
        <v>1555</v>
      </c>
      <c r="E892" s="36" t="s">
        <v>1556</v>
      </c>
      <c r="F892" s="18" t="s">
        <v>1544</v>
      </c>
      <c r="G892" s="18" t="s">
        <v>3793</v>
      </c>
    </row>
    <row r="893" spans="1:8" ht="18" hidden="1" customHeight="1" outlineLevel="2" x14ac:dyDescent="0.2">
      <c r="A893" s="18"/>
      <c r="B893" s="18" t="s">
        <v>3287</v>
      </c>
      <c r="C893" s="18" t="s">
        <v>1544</v>
      </c>
      <c r="D893" s="18" t="s">
        <v>1557</v>
      </c>
      <c r="E893" s="36" t="s">
        <v>1558</v>
      </c>
      <c r="F893" s="18" t="s">
        <v>1544</v>
      </c>
      <c r="G893" s="18" t="s">
        <v>3794</v>
      </c>
    </row>
    <row r="894" spans="1:8" ht="18" hidden="1" customHeight="1" outlineLevel="2" x14ac:dyDescent="0.2">
      <c r="A894" s="18"/>
      <c r="B894" s="18" t="s">
        <v>3288</v>
      </c>
      <c r="C894" s="18" t="s">
        <v>1544</v>
      </c>
      <c r="D894" s="18" t="s">
        <v>1559</v>
      </c>
      <c r="E894" s="36" t="s">
        <v>1560</v>
      </c>
      <c r="F894" s="18" t="s">
        <v>1544</v>
      </c>
      <c r="G894" s="18" t="s">
        <v>3795</v>
      </c>
    </row>
    <row r="895" spans="1:8" ht="18" hidden="1" customHeight="1" outlineLevel="2" x14ac:dyDescent="0.2">
      <c r="A895" s="18"/>
      <c r="B895" s="18" t="s">
        <v>352</v>
      </c>
      <c r="C895" s="18" t="s">
        <v>1561</v>
      </c>
      <c r="D895" s="18" t="s">
        <v>1562</v>
      </c>
      <c r="E895" s="36"/>
      <c r="F895" s="18" t="s">
        <v>1544</v>
      </c>
      <c r="G895" s="18"/>
    </row>
    <row r="896" spans="1:8" ht="18" hidden="1" customHeight="1" outlineLevel="2" x14ac:dyDescent="0.2">
      <c r="A896" s="18"/>
      <c r="B896" s="18" t="s">
        <v>352</v>
      </c>
      <c r="C896" s="18" t="s">
        <v>1563</v>
      </c>
      <c r="D896" s="18" t="s">
        <v>1564</v>
      </c>
      <c r="E896" s="36" t="s">
        <v>1565</v>
      </c>
      <c r="F896" s="18" t="s">
        <v>1544</v>
      </c>
      <c r="G896" s="18"/>
    </row>
    <row r="897" spans="1:7" ht="18" hidden="1" customHeight="1" outlineLevel="2" x14ac:dyDescent="0.2">
      <c r="A897" s="18"/>
      <c r="B897" s="18" t="s">
        <v>352</v>
      </c>
      <c r="C897" s="18" t="s">
        <v>1563</v>
      </c>
      <c r="D897" s="18" t="s">
        <v>1566</v>
      </c>
      <c r="E897" s="36" t="s">
        <v>1567</v>
      </c>
      <c r="F897" s="18" t="s">
        <v>1544</v>
      </c>
      <c r="G897" s="18"/>
    </row>
    <row r="898" spans="1:7" ht="18" hidden="1" customHeight="1" outlineLevel="2" x14ac:dyDescent="0.2">
      <c r="A898" s="18"/>
      <c r="B898" s="18" t="s">
        <v>352</v>
      </c>
      <c r="C898" s="18" t="s">
        <v>1568</v>
      </c>
      <c r="D898" s="18" t="s">
        <v>1569</v>
      </c>
      <c r="E898" s="36" t="s">
        <v>1570</v>
      </c>
      <c r="F898" s="18" t="s">
        <v>1544</v>
      </c>
      <c r="G898" s="18"/>
    </row>
    <row r="899" spans="1:7" ht="18" hidden="1" customHeight="1" outlineLevel="2" x14ac:dyDescent="0.2">
      <c r="A899" s="18"/>
      <c r="B899" s="18" t="s">
        <v>352</v>
      </c>
      <c r="C899" s="18" t="s">
        <v>1571</v>
      </c>
      <c r="D899" s="18" t="s">
        <v>1572</v>
      </c>
      <c r="E899" s="36" t="s">
        <v>1573</v>
      </c>
      <c r="F899" s="18" t="s">
        <v>1544</v>
      </c>
      <c r="G899" s="18"/>
    </row>
    <row r="900" spans="1:7" ht="18" hidden="1" customHeight="1" outlineLevel="2" x14ac:dyDescent="0.2">
      <c r="A900" s="18"/>
      <c r="B900" s="18" t="s">
        <v>352</v>
      </c>
      <c r="C900" s="18" t="s">
        <v>1574</v>
      </c>
      <c r="D900" s="18" t="s">
        <v>1575</v>
      </c>
      <c r="E900" s="36" t="s">
        <v>1576</v>
      </c>
      <c r="F900" s="18" t="s">
        <v>1544</v>
      </c>
      <c r="G900" s="18" t="s">
        <v>1577</v>
      </c>
    </row>
    <row r="901" spans="1:7" ht="18" hidden="1" customHeight="1" outlineLevel="2" x14ac:dyDescent="0.2">
      <c r="A901" s="18"/>
      <c r="B901" s="18" t="s">
        <v>352</v>
      </c>
      <c r="C901" s="18" t="s">
        <v>1574</v>
      </c>
      <c r="D901" s="18" t="s">
        <v>1578</v>
      </c>
      <c r="E901" s="36" t="s">
        <v>1579</v>
      </c>
      <c r="F901" s="18" t="s">
        <v>1544</v>
      </c>
      <c r="G901" s="18" t="s">
        <v>1580</v>
      </c>
    </row>
    <row r="902" spans="1:7" ht="18" hidden="1" customHeight="1" outlineLevel="2" x14ac:dyDescent="0.2">
      <c r="A902" s="18"/>
      <c r="B902" s="18" t="s">
        <v>352</v>
      </c>
      <c r="C902" s="18" t="s">
        <v>1581</v>
      </c>
      <c r="D902" s="18" t="s">
        <v>1582</v>
      </c>
      <c r="E902" s="36" t="s">
        <v>1583</v>
      </c>
      <c r="F902" s="18" t="s">
        <v>1544</v>
      </c>
      <c r="G902" s="18"/>
    </row>
    <row r="903" spans="1:7" ht="18" hidden="1" customHeight="1" outlineLevel="2" x14ac:dyDescent="0.2">
      <c r="A903" s="18"/>
      <c r="B903" s="18" t="s">
        <v>352</v>
      </c>
      <c r="C903" s="18" t="s">
        <v>1584</v>
      </c>
      <c r="D903" s="18" t="s">
        <v>1585</v>
      </c>
      <c r="E903" s="36" t="s">
        <v>1586</v>
      </c>
      <c r="F903" s="18" t="s">
        <v>1513</v>
      </c>
      <c r="G903" s="18" t="s">
        <v>1587</v>
      </c>
    </row>
    <row r="904" spans="1:7" ht="18" hidden="1" customHeight="1" outlineLevel="2" x14ac:dyDescent="0.2">
      <c r="A904" s="18"/>
      <c r="B904" s="18" t="s">
        <v>352</v>
      </c>
      <c r="C904" s="18" t="s">
        <v>1584</v>
      </c>
      <c r="D904" s="18" t="s">
        <v>1588</v>
      </c>
      <c r="E904" s="36" t="s">
        <v>1589</v>
      </c>
      <c r="F904" s="18" t="s">
        <v>1513</v>
      </c>
      <c r="G904" s="18"/>
    </row>
    <row r="905" spans="1:7" ht="18" hidden="1" customHeight="1" outlineLevel="2" x14ac:dyDescent="0.2">
      <c r="A905" s="18"/>
      <c r="B905" s="18" t="s">
        <v>352</v>
      </c>
      <c r="C905" s="18" t="s">
        <v>1584</v>
      </c>
      <c r="D905" s="18" t="s">
        <v>1590</v>
      </c>
      <c r="E905" s="36" t="s">
        <v>1591</v>
      </c>
      <c r="F905" s="18" t="s">
        <v>1513</v>
      </c>
      <c r="G905" s="18"/>
    </row>
    <row r="906" spans="1:7" ht="18" hidden="1" customHeight="1" outlineLevel="2" x14ac:dyDescent="0.2">
      <c r="A906" s="18"/>
      <c r="B906" s="18" t="s">
        <v>352</v>
      </c>
      <c r="C906" s="18" t="s">
        <v>1584</v>
      </c>
      <c r="D906" s="18" t="s">
        <v>1592</v>
      </c>
      <c r="E906" s="36" t="s">
        <v>1593</v>
      </c>
      <c r="F906" s="18" t="s">
        <v>1513</v>
      </c>
      <c r="G906" s="18"/>
    </row>
    <row r="907" spans="1:7" ht="18" hidden="1" customHeight="1" outlineLevel="2" x14ac:dyDescent="0.2">
      <c r="A907" s="18"/>
      <c r="B907" s="18" t="s">
        <v>352</v>
      </c>
      <c r="C907" s="18" t="s">
        <v>1584</v>
      </c>
      <c r="D907" s="18" t="s">
        <v>1594</v>
      </c>
      <c r="E907" s="36">
        <v>613009</v>
      </c>
      <c r="F907" s="18" t="s">
        <v>1513</v>
      </c>
      <c r="G907" s="18"/>
    </row>
    <row r="908" spans="1:7" ht="18" hidden="1" customHeight="1" outlineLevel="2" x14ac:dyDescent="0.2">
      <c r="A908" s="18"/>
      <c r="B908" s="18" t="s">
        <v>352</v>
      </c>
      <c r="C908" s="18" t="s">
        <v>1584</v>
      </c>
      <c r="D908" s="18" t="s">
        <v>1595</v>
      </c>
      <c r="E908" s="36" t="s">
        <v>1596</v>
      </c>
      <c r="F908" s="18" t="s">
        <v>1513</v>
      </c>
      <c r="G908" s="18"/>
    </row>
    <row r="909" spans="1:7" ht="18" hidden="1" customHeight="1" outlineLevel="2" x14ac:dyDescent="0.2">
      <c r="A909" s="18"/>
      <c r="B909" s="18" t="s">
        <v>352</v>
      </c>
      <c r="C909" s="18" t="s">
        <v>1597</v>
      </c>
      <c r="D909" s="18"/>
      <c r="E909" s="36" t="s">
        <v>1598</v>
      </c>
      <c r="F909" s="18" t="s">
        <v>1513</v>
      </c>
      <c r="G909" s="18" t="s">
        <v>1599</v>
      </c>
    </row>
    <row r="910" spans="1:7" ht="18" hidden="1" customHeight="1" outlineLevel="2" x14ac:dyDescent="0.2">
      <c r="A910" s="18"/>
      <c r="B910" s="18" t="s">
        <v>352</v>
      </c>
      <c r="C910" s="18" t="s">
        <v>1600</v>
      </c>
      <c r="D910" s="18"/>
      <c r="E910" s="36"/>
      <c r="F910" s="18"/>
      <c r="G910" s="18"/>
    </row>
    <row r="911" spans="1:7" ht="18" hidden="1" customHeight="1" outlineLevel="2" x14ac:dyDescent="0.2">
      <c r="A911" s="18"/>
      <c r="B911" s="18" t="s">
        <v>352</v>
      </c>
      <c r="C911" s="18" t="s">
        <v>1601</v>
      </c>
      <c r="D911" s="18"/>
      <c r="E911" s="36"/>
      <c r="F911" s="18"/>
      <c r="G911" s="18"/>
    </row>
    <row r="912" spans="1:7" ht="18" hidden="1" customHeight="1" outlineLevel="2" x14ac:dyDescent="0.2">
      <c r="A912" s="18"/>
      <c r="B912" s="18" t="s">
        <v>3289</v>
      </c>
      <c r="C912" s="18" t="s">
        <v>1602</v>
      </c>
      <c r="D912" s="18" t="s">
        <v>1603</v>
      </c>
      <c r="E912" s="36" t="s">
        <v>1604</v>
      </c>
      <c r="F912" s="18" t="s">
        <v>1513</v>
      </c>
      <c r="G912" s="18" t="s">
        <v>1605</v>
      </c>
    </row>
    <row r="913" spans="1:8" ht="18" hidden="1" customHeight="1" outlineLevel="2" x14ac:dyDescent="0.2">
      <c r="A913" s="18"/>
      <c r="B913" s="18" t="s">
        <v>352</v>
      </c>
      <c r="C913" s="18" t="s">
        <v>1601</v>
      </c>
      <c r="D913" s="18" t="s">
        <v>1606</v>
      </c>
      <c r="E913" s="36" t="s">
        <v>1607</v>
      </c>
      <c r="F913" s="18" t="s">
        <v>1513</v>
      </c>
      <c r="G913" s="18" t="s">
        <v>1608</v>
      </c>
    </row>
    <row r="914" spans="1:8" ht="18" hidden="1" customHeight="1" outlineLevel="2" x14ac:dyDescent="0.2">
      <c r="A914" s="18"/>
      <c r="B914" s="18" t="s">
        <v>3290</v>
      </c>
      <c r="C914" s="18" t="s">
        <v>1609</v>
      </c>
      <c r="D914" s="18" t="s">
        <v>1610</v>
      </c>
      <c r="E914" s="36" t="s">
        <v>1611</v>
      </c>
      <c r="F914" s="18" t="s">
        <v>1513</v>
      </c>
      <c r="G914" s="18"/>
      <c r="H914" s="25" t="s">
        <v>211</v>
      </c>
    </row>
    <row r="915" spans="1:8" ht="18" hidden="1" customHeight="1" outlineLevel="2" x14ac:dyDescent="0.2">
      <c r="A915" s="18"/>
      <c r="B915" s="18" t="s">
        <v>352</v>
      </c>
      <c r="C915" s="18" t="s">
        <v>1612</v>
      </c>
      <c r="D915" s="18" t="s">
        <v>1613</v>
      </c>
      <c r="E915" s="36" t="s">
        <v>1614</v>
      </c>
      <c r="F915" s="18" t="s">
        <v>1513</v>
      </c>
      <c r="G915" s="18"/>
      <c r="H915" s="25" t="s">
        <v>211</v>
      </c>
    </row>
    <row r="916" spans="1:8" ht="18" hidden="1" customHeight="1" outlineLevel="2" x14ac:dyDescent="0.2">
      <c r="A916" s="18"/>
      <c r="B916" s="18"/>
      <c r="C916" s="18"/>
      <c r="D916" s="18"/>
      <c r="E916" s="36"/>
      <c r="F916" s="18"/>
      <c r="G916" s="18"/>
    </row>
    <row r="917" spans="1:8" customFormat="1" ht="18" hidden="1" customHeight="1" outlineLevel="1" x14ac:dyDescent="0.25">
      <c r="A917" s="119" t="s">
        <v>3821</v>
      </c>
      <c r="B917" s="120"/>
      <c r="C917" s="120"/>
      <c r="D917" s="120"/>
      <c r="E917" s="120"/>
      <c r="F917" s="120"/>
      <c r="G917" s="120"/>
      <c r="H917" s="120"/>
    </row>
    <row r="918" spans="1:8" ht="18" hidden="1" customHeight="1" outlineLevel="2" x14ac:dyDescent="0.2">
      <c r="A918" s="18"/>
      <c r="B918" s="18" t="s">
        <v>352</v>
      </c>
      <c r="C918" s="18" t="s">
        <v>1675</v>
      </c>
      <c r="D918" s="18" t="s">
        <v>1676</v>
      </c>
      <c r="E918" s="36" t="s">
        <v>1677</v>
      </c>
      <c r="F918" s="18" t="s">
        <v>202</v>
      </c>
      <c r="G918" s="18" t="s">
        <v>1678</v>
      </c>
      <c r="H918" s="25" t="s">
        <v>211</v>
      </c>
    </row>
    <row r="919" spans="1:8" ht="18" hidden="1" customHeight="1" outlineLevel="2" x14ac:dyDescent="0.2">
      <c r="A919" s="18"/>
      <c r="B919" s="18" t="s">
        <v>352</v>
      </c>
      <c r="C919" s="33" t="s">
        <v>1675</v>
      </c>
      <c r="D919" s="18" t="s">
        <v>1679</v>
      </c>
      <c r="E919" s="36" t="s">
        <v>1680</v>
      </c>
      <c r="F919" s="18" t="s">
        <v>202</v>
      </c>
      <c r="G919" s="18" t="s">
        <v>1678</v>
      </c>
      <c r="H919" s="25" t="s">
        <v>211</v>
      </c>
    </row>
    <row r="920" spans="1:8" ht="18" hidden="1" customHeight="1" outlineLevel="2" x14ac:dyDescent="0.2">
      <c r="A920" s="18"/>
      <c r="B920" s="18" t="s">
        <v>3304</v>
      </c>
      <c r="C920" s="33" t="s">
        <v>1675</v>
      </c>
      <c r="D920" s="18" t="s">
        <v>1681</v>
      </c>
      <c r="E920" s="36" t="s">
        <v>1682</v>
      </c>
      <c r="F920" s="18" t="s">
        <v>1638</v>
      </c>
      <c r="G920" s="18" t="s">
        <v>3805</v>
      </c>
      <c r="H920" s="25" t="s">
        <v>211</v>
      </c>
    </row>
    <row r="921" spans="1:8" ht="18" hidden="1" customHeight="1" outlineLevel="2" x14ac:dyDescent="0.2">
      <c r="A921" s="18"/>
      <c r="B921" s="18" t="s">
        <v>3305</v>
      </c>
      <c r="C921" s="33" t="s">
        <v>1675</v>
      </c>
      <c r="D921" s="18" t="s">
        <v>1683</v>
      </c>
      <c r="E921" s="36" t="s">
        <v>1684</v>
      </c>
      <c r="F921" s="18" t="s">
        <v>1638</v>
      </c>
      <c r="G921" s="18" t="s">
        <v>3807</v>
      </c>
      <c r="H921" s="25" t="s">
        <v>211</v>
      </c>
    </row>
    <row r="922" spans="1:8" ht="18" hidden="1" customHeight="1" outlineLevel="2" x14ac:dyDescent="0.2">
      <c r="A922" s="18"/>
      <c r="B922" s="18" t="s">
        <v>3306</v>
      </c>
      <c r="C922" s="33" t="s">
        <v>1675</v>
      </c>
      <c r="D922" s="18" t="s">
        <v>1685</v>
      </c>
      <c r="E922" s="36" t="s">
        <v>1686</v>
      </c>
      <c r="F922" s="18" t="s">
        <v>1638</v>
      </c>
      <c r="G922" s="18" t="s">
        <v>3806</v>
      </c>
      <c r="H922" s="25" t="s">
        <v>211</v>
      </c>
    </row>
    <row r="923" spans="1:8" ht="18" hidden="1" customHeight="1" outlineLevel="2" x14ac:dyDescent="0.2">
      <c r="A923" s="18"/>
      <c r="B923" s="18" t="s">
        <v>3307</v>
      </c>
      <c r="C923" s="33" t="s">
        <v>1687</v>
      </c>
      <c r="D923" s="18"/>
      <c r="E923" s="36" t="s">
        <v>1688</v>
      </c>
      <c r="F923" s="18" t="s">
        <v>1638</v>
      </c>
      <c r="G923" s="18" t="s">
        <v>3808</v>
      </c>
      <c r="H923" s="25" t="s">
        <v>211</v>
      </c>
    </row>
    <row r="924" spans="1:8" ht="18" hidden="1" customHeight="1" outlineLevel="2" x14ac:dyDescent="0.2">
      <c r="A924" s="18"/>
      <c r="B924" s="18" t="s">
        <v>3308</v>
      </c>
      <c r="C924" s="33" t="s">
        <v>1689</v>
      </c>
      <c r="D924" s="18"/>
      <c r="E924" s="36" t="s">
        <v>1690</v>
      </c>
      <c r="F924" s="18" t="s">
        <v>1638</v>
      </c>
      <c r="G924" s="18" t="s">
        <v>3809</v>
      </c>
      <c r="H924" s="25" t="s">
        <v>211</v>
      </c>
    </row>
    <row r="925" spans="1:8" ht="18" hidden="1" customHeight="1" outlineLevel="2" x14ac:dyDescent="0.2">
      <c r="A925" s="18"/>
      <c r="B925" s="18" t="s">
        <v>3308</v>
      </c>
      <c r="C925" s="18" t="s">
        <v>1691</v>
      </c>
      <c r="D925" s="18"/>
      <c r="E925" s="36" t="s">
        <v>1692</v>
      </c>
      <c r="F925" s="18" t="s">
        <v>711</v>
      </c>
      <c r="G925" s="18" t="s">
        <v>1678</v>
      </c>
      <c r="H925" s="25" t="s">
        <v>211</v>
      </c>
    </row>
    <row r="926" spans="1:8" ht="18" hidden="1" customHeight="1" outlineLevel="2" x14ac:dyDescent="0.2">
      <c r="A926" s="18"/>
      <c r="B926" s="18" t="s">
        <v>352</v>
      </c>
      <c r="C926" s="18" t="s">
        <v>1693</v>
      </c>
      <c r="D926" s="18" t="s">
        <v>1694</v>
      </c>
      <c r="E926" s="36" t="s">
        <v>1695</v>
      </c>
      <c r="F926" s="18" t="s">
        <v>202</v>
      </c>
      <c r="G926" s="18" t="s">
        <v>1696</v>
      </c>
      <c r="H926" s="25" t="s">
        <v>405</v>
      </c>
    </row>
    <row r="927" spans="1:8" ht="18" hidden="1" customHeight="1" outlineLevel="2" x14ac:dyDescent="0.2">
      <c r="A927" s="18"/>
      <c r="B927" s="18" t="s">
        <v>352</v>
      </c>
      <c r="C927" s="18" t="s">
        <v>1693</v>
      </c>
      <c r="D927" s="18" t="s">
        <v>1697</v>
      </c>
      <c r="E927" s="36" t="s">
        <v>1698</v>
      </c>
      <c r="F927" s="18" t="s">
        <v>202</v>
      </c>
      <c r="G927" s="18" t="s">
        <v>1696</v>
      </c>
      <c r="H927" s="25" t="s">
        <v>405</v>
      </c>
    </row>
    <row r="928" spans="1:8" ht="18" hidden="1" customHeight="1" outlineLevel="2" x14ac:dyDescent="0.2">
      <c r="A928" s="18"/>
      <c r="B928" s="18" t="s">
        <v>352</v>
      </c>
      <c r="C928" s="18" t="s">
        <v>1693</v>
      </c>
      <c r="D928" s="18" t="s">
        <v>1699</v>
      </c>
      <c r="E928" s="36" t="s">
        <v>1700</v>
      </c>
      <c r="F928" s="18" t="s">
        <v>202</v>
      </c>
      <c r="G928" s="18" t="s">
        <v>1696</v>
      </c>
      <c r="H928" s="25" t="s">
        <v>405</v>
      </c>
    </row>
    <row r="929" spans="1:10" ht="18" hidden="1" customHeight="1" outlineLevel="2" x14ac:dyDescent="0.2">
      <c r="A929" s="18"/>
      <c r="B929" s="18" t="s">
        <v>352</v>
      </c>
      <c r="C929" s="18" t="s">
        <v>1701</v>
      </c>
      <c r="D929" s="18" t="s">
        <v>1702</v>
      </c>
      <c r="E929" s="36" t="s">
        <v>1703</v>
      </c>
      <c r="F929" s="18" t="s">
        <v>711</v>
      </c>
      <c r="G929" s="18" t="s">
        <v>1678</v>
      </c>
      <c r="H929" s="25" t="s">
        <v>211</v>
      </c>
    </row>
    <row r="930" spans="1:10" ht="18" hidden="1" customHeight="1" outlineLevel="2" x14ac:dyDescent="0.2">
      <c r="A930" s="18"/>
      <c r="B930" s="18" t="s">
        <v>3309</v>
      </c>
      <c r="C930" s="33" t="s">
        <v>1701</v>
      </c>
      <c r="D930" s="18" t="s">
        <v>1704</v>
      </c>
      <c r="E930" s="36" t="s">
        <v>1705</v>
      </c>
      <c r="F930" s="18" t="s">
        <v>711</v>
      </c>
      <c r="G930" s="18" t="s">
        <v>1678</v>
      </c>
      <c r="H930" s="25" t="s">
        <v>211</v>
      </c>
    </row>
    <row r="931" spans="1:10" ht="18" hidden="1" customHeight="1" outlineLevel="2" x14ac:dyDescent="0.2">
      <c r="A931" s="18"/>
      <c r="B931" s="18" t="s">
        <v>3310</v>
      </c>
      <c r="C931" s="33" t="s">
        <v>1701</v>
      </c>
      <c r="D931" s="18" t="s">
        <v>1706</v>
      </c>
      <c r="E931" s="36" t="s">
        <v>1707</v>
      </c>
      <c r="F931" s="18" t="s">
        <v>711</v>
      </c>
      <c r="G931" s="18" t="s">
        <v>1678</v>
      </c>
      <c r="H931" s="25" t="s">
        <v>211</v>
      </c>
    </row>
    <row r="932" spans="1:10" ht="18" hidden="1" customHeight="1" outlineLevel="2" x14ac:dyDescent="0.2">
      <c r="A932" s="18"/>
      <c r="B932" s="18" t="s">
        <v>3311</v>
      </c>
      <c r="C932" s="33" t="s">
        <v>1708</v>
      </c>
      <c r="D932" s="18" t="s">
        <v>1702</v>
      </c>
      <c r="E932" s="36" t="s">
        <v>1709</v>
      </c>
      <c r="F932" s="18" t="s">
        <v>711</v>
      </c>
      <c r="G932" s="18" t="s">
        <v>1710</v>
      </c>
      <c r="H932" s="25" t="s">
        <v>211</v>
      </c>
    </row>
    <row r="933" spans="1:10" ht="18" hidden="1" customHeight="1" outlineLevel="2" x14ac:dyDescent="0.2">
      <c r="A933" s="18"/>
      <c r="B933" s="18" t="s">
        <v>3312</v>
      </c>
      <c r="C933" s="18" t="s">
        <v>3813</v>
      </c>
      <c r="D933" s="18"/>
      <c r="E933" s="36" t="s">
        <v>1711</v>
      </c>
      <c r="F933" s="18" t="s">
        <v>711</v>
      </c>
      <c r="G933" s="18"/>
      <c r="H933" s="25" t="s">
        <v>211</v>
      </c>
    </row>
    <row r="934" spans="1:10" ht="18" hidden="1" customHeight="1" outlineLevel="2" x14ac:dyDescent="0.2">
      <c r="A934" s="18"/>
      <c r="B934" s="18"/>
      <c r="C934" s="18"/>
      <c r="D934" s="18"/>
      <c r="E934" s="36"/>
      <c r="F934" s="18"/>
      <c r="G934" s="18"/>
    </row>
    <row r="935" spans="1:10" customFormat="1" ht="18" hidden="1" customHeight="1" outlineLevel="1" x14ac:dyDescent="0.25">
      <c r="A935" s="119" t="s">
        <v>82</v>
      </c>
      <c r="B935" s="120"/>
      <c r="C935" s="120"/>
      <c r="D935" s="120"/>
      <c r="E935" s="120"/>
      <c r="F935" s="120"/>
      <c r="G935" s="120"/>
      <c r="H935" s="120"/>
    </row>
    <row r="936" spans="1:10" ht="18" hidden="1" customHeight="1" outlineLevel="2" x14ac:dyDescent="0.2">
      <c r="A936" s="18"/>
      <c r="B936" s="18" t="s">
        <v>352</v>
      </c>
      <c r="C936" s="18" t="s">
        <v>1615</v>
      </c>
      <c r="D936" s="18" t="s">
        <v>887</v>
      </c>
      <c r="E936" s="36"/>
      <c r="F936" s="18"/>
      <c r="G936" s="18" t="s">
        <v>3810</v>
      </c>
      <c r="H936" s="25" t="s">
        <v>3089</v>
      </c>
    </row>
    <row r="937" spans="1:10" ht="18" hidden="1" customHeight="1" outlineLevel="2" x14ac:dyDescent="0.2">
      <c r="A937" s="18"/>
      <c r="B937" s="18" t="s">
        <v>352</v>
      </c>
      <c r="C937" s="18" t="s">
        <v>1615</v>
      </c>
      <c r="D937" s="18" t="s">
        <v>891</v>
      </c>
      <c r="E937" s="36"/>
      <c r="F937" s="18"/>
      <c r="G937" s="18" t="s">
        <v>3810</v>
      </c>
      <c r="H937" s="25" t="s">
        <v>3089</v>
      </c>
    </row>
    <row r="938" spans="1:10" ht="18" hidden="1" customHeight="1" outlineLevel="2" x14ac:dyDescent="0.2">
      <c r="A938" s="18"/>
      <c r="B938" s="18" t="s">
        <v>352</v>
      </c>
      <c r="C938" s="18" t="s">
        <v>1615</v>
      </c>
      <c r="D938" s="18" t="s">
        <v>1616</v>
      </c>
      <c r="E938" s="36"/>
      <c r="F938" s="18"/>
      <c r="G938" s="18" t="s">
        <v>3810</v>
      </c>
      <c r="H938" s="25" t="s">
        <v>3089</v>
      </c>
    </row>
    <row r="939" spans="1:10" ht="18" hidden="1" customHeight="1" outlineLevel="2" x14ac:dyDescent="0.2">
      <c r="A939" s="18"/>
      <c r="B939" s="18" t="s">
        <v>352</v>
      </c>
      <c r="C939" s="18" t="s">
        <v>1617</v>
      </c>
      <c r="D939" s="18" t="s">
        <v>875</v>
      </c>
      <c r="E939" s="36"/>
      <c r="F939" s="18"/>
      <c r="G939" s="18" t="s">
        <v>3811</v>
      </c>
      <c r="H939" s="25" t="s">
        <v>3090</v>
      </c>
    </row>
    <row r="940" spans="1:10" ht="18" hidden="1" customHeight="1" outlineLevel="2" x14ac:dyDescent="0.2">
      <c r="A940" s="18"/>
      <c r="B940" s="18" t="s">
        <v>352</v>
      </c>
      <c r="C940" s="18" t="s">
        <v>1617</v>
      </c>
      <c r="D940" s="18" t="s">
        <v>878</v>
      </c>
      <c r="E940" s="36"/>
      <c r="F940" s="18"/>
      <c r="G940" s="18" t="s">
        <v>3811</v>
      </c>
      <c r="H940" s="25" t="s">
        <v>3090</v>
      </c>
    </row>
    <row r="941" spans="1:10" ht="18" hidden="1" customHeight="1" outlineLevel="2" x14ac:dyDescent="0.2">
      <c r="A941" s="18"/>
      <c r="B941" s="18" t="s">
        <v>352</v>
      </c>
      <c r="C941" s="33" t="s">
        <v>1617</v>
      </c>
      <c r="D941" s="18" t="s">
        <v>880</v>
      </c>
      <c r="E941" s="36"/>
      <c r="F941" s="18"/>
      <c r="G941" s="18" t="s">
        <v>3811</v>
      </c>
      <c r="H941" s="25" t="s">
        <v>3090</v>
      </c>
    </row>
    <row r="942" spans="1:10" ht="18" hidden="1" customHeight="1" outlineLevel="2" x14ac:dyDescent="0.2">
      <c r="A942" s="18"/>
      <c r="B942" s="18" t="s">
        <v>352</v>
      </c>
      <c r="C942" s="33" t="s">
        <v>1618</v>
      </c>
      <c r="D942" s="18" t="s">
        <v>875</v>
      </c>
      <c r="E942" s="36" t="s">
        <v>1619</v>
      </c>
      <c r="F942" s="18" t="s">
        <v>1620</v>
      </c>
      <c r="G942" s="18" t="s">
        <v>3811</v>
      </c>
      <c r="H942" s="25" t="s">
        <v>3090</v>
      </c>
    </row>
    <row r="943" spans="1:10" ht="18" hidden="1" customHeight="1" outlineLevel="2" x14ac:dyDescent="0.2">
      <c r="A943" s="18"/>
      <c r="B943" s="18"/>
      <c r="C943" s="18"/>
      <c r="D943" s="18"/>
      <c r="E943" s="36"/>
      <c r="F943" s="18"/>
      <c r="G943" s="18"/>
    </row>
    <row r="944" spans="1:10" customFormat="1" ht="18" hidden="1" customHeight="1" outlineLevel="1" x14ac:dyDescent="0.25">
      <c r="A944" s="119" t="s">
        <v>80</v>
      </c>
      <c r="B944" s="120"/>
      <c r="C944" s="120"/>
      <c r="D944" s="120"/>
      <c r="E944" s="120"/>
      <c r="F944" s="120"/>
      <c r="G944" s="120"/>
      <c r="H944" s="120"/>
      <c r="J944" s="9"/>
    </row>
    <row r="945" spans="1:8" ht="18" hidden="1" customHeight="1" outlineLevel="2" x14ac:dyDescent="0.2">
      <c r="A945" s="18"/>
      <c r="B945" s="18" t="s">
        <v>3291</v>
      </c>
      <c r="C945" s="18" t="s">
        <v>1621</v>
      </c>
      <c r="D945" s="18" t="s">
        <v>1622</v>
      </c>
      <c r="E945" s="36"/>
      <c r="F945" s="18"/>
      <c r="G945" s="18" t="s">
        <v>398</v>
      </c>
      <c r="H945" s="25" t="s">
        <v>3091</v>
      </c>
    </row>
    <row r="946" spans="1:8" ht="18" hidden="1" customHeight="1" outlineLevel="2" x14ac:dyDescent="0.2">
      <c r="A946" s="18"/>
      <c r="B946" s="18" t="s">
        <v>352</v>
      </c>
      <c r="C946" s="18" t="s">
        <v>1623</v>
      </c>
      <c r="D946" s="18" t="s">
        <v>1624</v>
      </c>
      <c r="E946" s="36">
        <v>187590</v>
      </c>
      <c r="F946" s="18" t="s">
        <v>1625</v>
      </c>
      <c r="G946" s="18" t="s">
        <v>1626</v>
      </c>
      <c r="H946" s="25" t="s">
        <v>211</v>
      </c>
    </row>
    <row r="947" spans="1:8" ht="18" hidden="1" customHeight="1" outlineLevel="2" x14ac:dyDescent="0.2">
      <c r="A947" s="18"/>
      <c r="B947" s="18" t="s">
        <v>352</v>
      </c>
      <c r="C947" s="18" t="s">
        <v>1623</v>
      </c>
      <c r="D947" s="18" t="s">
        <v>1627</v>
      </c>
      <c r="E947" s="36" t="s">
        <v>1628</v>
      </c>
      <c r="F947" s="18" t="s">
        <v>1625</v>
      </c>
      <c r="G947" s="18" t="s">
        <v>1626</v>
      </c>
      <c r="H947" s="25" t="s">
        <v>211</v>
      </c>
    </row>
    <row r="948" spans="1:8" ht="18" hidden="1" customHeight="1" outlineLevel="2" x14ac:dyDescent="0.2">
      <c r="A948" s="18"/>
      <c r="B948" s="33" t="s">
        <v>3292</v>
      </c>
      <c r="C948" s="18" t="s">
        <v>1621</v>
      </c>
      <c r="D948" s="18" t="s">
        <v>1629</v>
      </c>
      <c r="E948" s="36"/>
      <c r="F948" s="18"/>
      <c r="G948" s="18" t="s">
        <v>398</v>
      </c>
      <c r="H948" s="25" t="s">
        <v>3092</v>
      </c>
    </row>
    <row r="949" spans="1:8" ht="18" hidden="1" customHeight="1" outlineLevel="2" x14ac:dyDescent="0.2">
      <c r="A949" s="18"/>
      <c r="B949" s="18" t="s">
        <v>352</v>
      </c>
      <c r="C949" s="18" t="s">
        <v>1623</v>
      </c>
      <c r="D949" s="18" t="s">
        <v>1624</v>
      </c>
      <c r="E949" s="36" t="s">
        <v>1630</v>
      </c>
      <c r="F949" s="18" t="s">
        <v>1625</v>
      </c>
      <c r="G949" s="18" t="s">
        <v>1631</v>
      </c>
      <c r="H949" s="25" t="s">
        <v>211</v>
      </c>
    </row>
    <row r="950" spans="1:8" ht="18" hidden="1" customHeight="1" outlineLevel="2" x14ac:dyDescent="0.2">
      <c r="A950" s="18"/>
      <c r="B950" s="18" t="s">
        <v>352</v>
      </c>
      <c r="C950" s="18" t="s">
        <v>1623</v>
      </c>
      <c r="D950" s="18" t="s">
        <v>1627</v>
      </c>
      <c r="E950" s="36" t="s">
        <v>1632</v>
      </c>
      <c r="F950" s="18" t="s">
        <v>1625</v>
      </c>
      <c r="G950" s="18" t="s">
        <v>1631</v>
      </c>
      <c r="H950" s="25" t="s">
        <v>211</v>
      </c>
    </row>
    <row r="951" spans="1:8" ht="18" hidden="1" customHeight="1" outlineLevel="2" x14ac:dyDescent="0.2">
      <c r="A951" s="18"/>
      <c r="B951" s="33" t="s">
        <v>3293</v>
      </c>
      <c r="C951" s="18" t="s">
        <v>1621</v>
      </c>
      <c r="D951" s="18" t="s">
        <v>1633</v>
      </c>
      <c r="E951" s="36"/>
      <c r="F951" s="18"/>
      <c r="G951" s="18" t="s">
        <v>398</v>
      </c>
      <c r="H951" s="25" t="s">
        <v>3092</v>
      </c>
    </row>
    <row r="952" spans="1:8" ht="18" hidden="1" customHeight="1" outlineLevel="2" x14ac:dyDescent="0.2">
      <c r="A952" s="18"/>
      <c r="B952" s="33" t="s">
        <v>3294</v>
      </c>
      <c r="C952" s="18" t="s">
        <v>1621</v>
      </c>
      <c r="D952" s="18" t="s">
        <v>1634</v>
      </c>
      <c r="E952" s="36"/>
      <c r="F952" s="18"/>
      <c r="G952" s="18" t="s">
        <v>1635</v>
      </c>
    </row>
    <row r="953" spans="1:8" ht="18" hidden="1" customHeight="1" outlineLevel="2" x14ac:dyDescent="0.2">
      <c r="A953" s="18"/>
      <c r="B953" s="33" t="s">
        <v>3295</v>
      </c>
      <c r="C953" s="18" t="s">
        <v>1636</v>
      </c>
      <c r="D953" s="18"/>
      <c r="E953" s="36" t="s">
        <v>1637</v>
      </c>
      <c r="F953" s="18" t="s">
        <v>1638</v>
      </c>
      <c r="G953" s="18" t="s">
        <v>3812</v>
      </c>
      <c r="H953" s="25" t="s">
        <v>211</v>
      </c>
    </row>
    <row r="954" spans="1:8" ht="18" hidden="1" customHeight="1" outlineLevel="2" x14ac:dyDescent="0.2">
      <c r="A954" s="18"/>
      <c r="B954" s="18"/>
      <c r="C954" s="18"/>
      <c r="D954" s="18"/>
      <c r="E954" s="36"/>
      <c r="F954" s="18"/>
      <c r="G954" s="18"/>
    </row>
    <row r="955" spans="1:8" customFormat="1" ht="18" hidden="1" customHeight="1" outlineLevel="1" x14ac:dyDescent="0.25">
      <c r="A955" s="119" t="s">
        <v>81</v>
      </c>
      <c r="B955" s="120"/>
      <c r="C955" s="120"/>
      <c r="D955" s="120"/>
      <c r="E955" s="120"/>
      <c r="F955" s="120"/>
      <c r="G955" s="120"/>
      <c r="H955" s="120"/>
    </row>
    <row r="956" spans="1:8" ht="18" hidden="1" customHeight="1" outlineLevel="2" x14ac:dyDescent="0.2">
      <c r="A956" s="25"/>
      <c r="B956" s="25"/>
      <c r="C956" s="38" t="s">
        <v>3364</v>
      </c>
      <c r="D956" s="25"/>
      <c r="E956" s="25"/>
      <c r="F956" s="25"/>
      <c r="G956" s="25"/>
    </row>
    <row r="957" spans="1:8" ht="18" hidden="1" customHeight="1" outlineLevel="2" x14ac:dyDescent="0.2">
      <c r="A957" s="25"/>
      <c r="B957" s="25"/>
      <c r="C957" s="59" t="s">
        <v>1639</v>
      </c>
      <c r="D957" s="25" t="s">
        <v>1664</v>
      </c>
      <c r="E957" s="25" t="s">
        <v>2131</v>
      </c>
      <c r="F957" s="25" t="s">
        <v>1664</v>
      </c>
      <c r="G957" s="25" t="s">
        <v>2132</v>
      </c>
    </row>
    <row r="958" spans="1:8" ht="18" hidden="1" customHeight="1" outlineLevel="2" x14ac:dyDescent="0.2">
      <c r="A958" s="25"/>
      <c r="B958" s="25"/>
      <c r="C958" s="59" t="s">
        <v>2133</v>
      </c>
      <c r="D958" s="25" t="s">
        <v>1664</v>
      </c>
      <c r="E958" s="25" t="s">
        <v>2134</v>
      </c>
      <c r="F958" s="25" t="s">
        <v>1664</v>
      </c>
      <c r="G958" s="25"/>
    </row>
    <row r="959" spans="1:8" ht="18" hidden="1" customHeight="1" outlineLevel="2" x14ac:dyDescent="0.2">
      <c r="A959" s="25"/>
      <c r="B959" s="25"/>
      <c r="C959" s="59" t="s">
        <v>2135</v>
      </c>
      <c r="D959" s="25" t="s">
        <v>1664</v>
      </c>
      <c r="E959" s="25" t="s">
        <v>2136</v>
      </c>
      <c r="F959" s="25" t="s">
        <v>1664</v>
      </c>
      <c r="G959" s="25" t="s">
        <v>2137</v>
      </c>
    </row>
    <row r="960" spans="1:8" ht="18" hidden="1" customHeight="1" outlineLevel="2" x14ac:dyDescent="0.2">
      <c r="A960" s="25"/>
      <c r="B960" s="25"/>
      <c r="C960" s="59" t="s">
        <v>2133</v>
      </c>
      <c r="D960" s="25" t="s">
        <v>1664</v>
      </c>
      <c r="E960" s="25" t="s">
        <v>2138</v>
      </c>
      <c r="F960" s="25" t="s">
        <v>1664</v>
      </c>
      <c r="G960" s="25"/>
    </row>
    <row r="961" spans="1:7" ht="18" hidden="1" customHeight="1" outlineLevel="2" x14ac:dyDescent="0.2">
      <c r="A961" s="25"/>
      <c r="B961" s="25"/>
      <c r="C961" s="25"/>
      <c r="D961" s="25"/>
      <c r="E961" s="25"/>
      <c r="F961" s="25"/>
      <c r="G961" s="25"/>
    </row>
    <row r="962" spans="1:7" ht="18" hidden="1" customHeight="1" outlineLevel="2" x14ac:dyDescent="0.2">
      <c r="A962" s="18"/>
      <c r="B962" s="18" t="s">
        <v>3296</v>
      </c>
      <c r="C962" s="33" t="s">
        <v>1639</v>
      </c>
      <c r="D962" s="18" t="s">
        <v>1640</v>
      </c>
      <c r="E962" s="36" t="s">
        <v>1641</v>
      </c>
      <c r="F962" s="18" t="s">
        <v>1642</v>
      </c>
      <c r="G962" s="18" t="s">
        <v>1643</v>
      </c>
    </row>
    <row r="963" spans="1:7" ht="18" hidden="1" customHeight="1" outlineLevel="2" x14ac:dyDescent="0.2">
      <c r="A963" s="18"/>
      <c r="B963" s="18" t="s">
        <v>352</v>
      </c>
      <c r="C963" s="33" t="s">
        <v>1644</v>
      </c>
      <c r="D963" s="18" t="s">
        <v>1640</v>
      </c>
      <c r="E963" s="36" t="s">
        <v>1645</v>
      </c>
      <c r="F963" s="18" t="s">
        <v>1642</v>
      </c>
      <c r="G963" s="18" t="s">
        <v>1643</v>
      </c>
    </row>
    <row r="964" spans="1:7" ht="18" hidden="1" customHeight="1" outlineLevel="2" x14ac:dyDescent="0.2">
      <c r="A964" s="18"/>
      <c r="B964" s="18" t="s">
        <v>3297</v>
      </c>
      <c r="C964" s="18" t="s">
        <v>1639</v>
      </c>
      <c r="D964" s="18" t="s">
        <v>1646</v>
      </c>
      <c r="E964" s="36" t="s">
        <v>1647</v>
      </c>
      <c r="F964" s="18" t="s">
        <v>1642</v>
      </c>
      <c r="G964" s="18" t="s">
        <v>1648</v>
      </c>
    </row>
    <row r="965" spans="1:7" ht="18" hidden="1" customHeight="1" outlineLevel="2" x14ac:dyDescent="0.2">
      <c r="A965" s="18"/>
      <c r="B965" s="18" t="s">
        <v>3298</v>
      </c>
      <c r="C965" s="18" t="s">
        <v>1644</v>
      </c>
      <c r="D965" s="18" t="s">
        <v>1646</v>
      </c>
      <c r="E965" s="36" t="s">
        <v>1649</v>
      </c>
      <c r="F965" s="18" t="s">
        <v>1642</v>
      </c>
      <c r="G965" s="18" t="s">
        <v>1648</v>
      </c>
    </row>
    <row r="966" spans="1:7" ht="18" hidden="1" customHeight="1" outlineLevel="2" x14ac:dyDescent="0.2">
      <c r="A966" s="18"/>
      <c r="B966" s="18" t="s">
        <v>3299</v>
      </c>
      <c r="C966" s="33" t="s">
        <v>1639</v>
      </c>
      <c r="D966" s="18" t="s">
        <v>1650</v>
      </c>
      <c r="E966" s="36" t="s">
        <v>1651</v>
      </c>
      <c r="F966" s="18" t="s">
        <v>1642</v>
      </c>
      <c r="G966" s="18" t="s">
        <v>1648</v>
      </c>
    </row>
    <row r="967" spans="1:7" ht="18" hidden="1" customHeight="1" outlineLevel="2" x14ac:dyDescent="0.2">
      <c r="A967" s="18"/>
      <c r="B967" s="18" t="s">
        <v>3300</v>
      </c>
      <c r="C967" s="33" t="s">
        <v>1644</v>
      </c>
      <c r="D967" s="18" t="s">
        <v>1650</v>
      </c>
      <c r="E967" s="36" t="s">
        <v>1652</v>
      </c>
      <c r="F967" s="18" t="s">
        <v>1642</v>
      </c>
      <c r="G967" s="18" t="s">
        <v>1648</v>
      </c>
    </row>
    <row r="968" spans="1:7" ht="18" hidden="1" customHeight="1" outlineLevel="2" x14ac:dyDescent="0.2">
      <c r="A968" s="18"/>
      <c r="B968" s="18" t="s">
        <v>3301</v>
      </c>
      <c r="C968" s="18" t="s">
        <v>1639</v>
      </c>
      <c r="D968" s="18" t="s">
        <v>1653</v>
      </c>
      <c r="E968" s="36" t="s">
        <v>1654</v>
      </c>
      <c r="F968" s="18" t="s">
        <v>1642</v>
      </c>
      <c r="G968" s="18" t="s">
        <v>1648</v>
      </c>
    </row>
    <row r="969" spans="1:7" ht="18" hidden="1" customHeight="1" outlineLevel="2" x14ac:dyDescent="0.2">
      <c r="A969" s="18"/>
      <c r="B969" s="18" t="s">
        <v>3302</v>
      </c>
      <c r="C969" s="18" t="s">
        <v>1644</v>
      </c>
      <c r="D969" s="18" t="s">
        <v>1653</v>
      </c>
      <c r="E969" s="36" t="s">
        <v>1655</v>
      </c>
      <c r="F969" s="18" t="s">
        <v>1642</v>
      </c>
      <c r="G969" s="18" t="s">
        <v>1648</v>
      </c>
    </row>
    <row r="970" spans="1:7" ht="18" hidden="1" customHeight="1" outlineLevel="2" x14ac:dyDescent="0.2">
      <c r="A970" s="18"/>
      <c r="B970" s="18" t="s">
        <v>352</v>
      </c>
      <c r="C970" s="18" t="s">
        <v>1656</v>
      </c>
      <c r="D970" s="18" t="s">
        <v>1653</v>
      </c>
      <c r="E970" s="36" t="s">
        <v>1657</v>
      </c>
      <c r="F970" s="18" t="s">
        <v>1642</v>
      </c>
      <c r="G970" s="18" t="s">
        <v>1648</v>
      </c>
    </row>
    <row r="971" spans="1:7" ht="18" hidden="1" customHeight="1" outlineLevel="2" x14ac:dyDescent="0.2">
      <c r="A971" s="18"/>
      <c r="B971" s="18" t="s">
        <v>352</v>
      </c>
      <c r="C971" s="18" t="s">
        <v>1639</v>
      </c>
      <c r="D971" s="18" t="s">
        <v>1658</v>
      </c>
      <c r="E971" s="36" t="s">
        <v>1659</v>
      </c>
      <c r="F971" s="18" t="s">
        <v>1642</v>
      </c>
      <c r="G971" s="18" t="s">
        <v>1648</v>
      </c>
    </row>
    <row r="972" spans="1:7" ht="18" hidden="1" customHeight="1" outlineLevel="2" x14ac:dyDescent="0.2">
      <c r="A972" s="18"/>
      <c r="B972" s="18" t="s">
        <v>352</v>
      </c>
      <c r="C972" s="18" t="s">
        <v>1644</v>
      </c>
      <c r="D972" s="18" t="s">
        <v>1658</v>
      </c>
      <c r="E972" s="36" t="s">
        <v>1660</v>
      </c>
      <c r="F972" s="18" t="s">
        <v>1642</v>
      </c>
      <c r="G972" s="18" t="s">
        <v>1648</v>
      </c>
    </row>
    <row r="973" spans="1:7" ht="18" hidden="1" customHeight="1" outlineLevel="2" x14ac:dyDescent="0.2">
      <c r="A973" s="18"/>
      <c r="B973" s="18" t="s">
        <v>352</v>
      </c>
      <c r="C973" s="18" t="s">
        <v>1656</v>
      </c>
      <c r="D973" s="18" t="s">
        <v>1658</v>
      </c>
      <c r="E973" s="36" t="s">
        <v>1661</v>
      </c>
      <c r="F973" s="18" t="s">
        <v>1642</v>
      </c>
      <c r="G973" s="18" t="s">
        <v>1648</v>
      </c>
    </row>
    <row r="974" spans="1:7" ht="18" hidden="1" customHeight="1" outlineLevel="2" x14ac:dyDescent="0.2">
      <c r="A974" s="18"/>
      <c r="B974" s="18" t="s">
        <v>352</v>
      </c>
      <c r="C974" s="18" t="s">
        <v>1639</v>
      </c>
      <c r="D974" s="18" t="s">
        <v>1662</v>
      </c>
      <c r="E974" s="36" t="s">
        <v>1663</v>
      </c>
      <c r="F974" s="18" t="s">
        <v>1664</v>
      </c>
      <c r="G974" s="18" t="s">
        <v>1665</v>
      </c>
    </row>
    <row r="975" spans="1:7" ht="18" hidden="1" customHeight="1" outlineLevel="2" x14ac:dyDescent="0.2">
      <c r="A975" s="18"/>
      <c r="B975" s="18" t="s">
        <v>3303</v>
      </c>
      <c r="C975" s="18" t="s">
        <v>1644</v>
      </c>
      <c r="D975" s="18" t="s">
        <v>1666</v>
      </c>
      <c r="E975" s="36" t="s">
        <v>1667</v>
      </c>
      <c r="F975" s="19" t="s">
        <v>1668</v>
      </c>
      <c r="G975" s="18" t="s">
        <v>816</v>
      </c>
    </row>
    <row r="976" spans="1:7" ht="18" hidden="1" customHeight="1" outlineLevel="2" x14ac:dyDescent="0.2">
      <c r="A976" s="18"/>
      <c r="B976" s="18" t="s">
        <v>3303</v>
      </c>
      <c r="C976" s="18" t="s">
        <v>1656</v>
      </c>
      <c r="D976" s="18" t="s">
        <v>1666</v>
      </c>
      <c r="E976" s="36" t="s">
        <v>1669</v>
      </c>
      <c r="F976" s="19" t="s">
        <v>1668</v>
      </c>
      <c r="G976" s="18" t="s">
        <v>816</v>
      </c>
    </row>
    <row r="977" spans="1:8" ht="18" hidden="1" customHeight="1" outlineLevel="2" x14ac:dyDescent="0.2">
      <c r="A977" s="18"/>
      <c r="B977" s="18" t="s">
        <v>3303</v>
      </c>
      <c r="C977" s="18" t="s">
        <v>1670</v>
      </c>
      <c r="D977" s="18" t="s">
        <v>1666</v>
      </c>
      <c r="E977" s="36" t="s">
        <v>1671</v>
      </c>
      <c r="F977" s="19" t="s">
        <v>1668</v>
      </c>
      <c r="G977" s="18" t="s">
        <v>816</v>
      </c>
    </row>
    <row r="978" spans="1:8" ht="18" hidden="1" customHeight="1" outlineLevel="2" x14ac:dyDescent="0.2">
      <c r="A978" s="18"/>
      <c r="B978" s="18" t="s">
        <v>3303</v>
      </c>
      <c r="C978" s="18" t="s">
        <v>1639</v>
      </c>
      <c r="D978" s="18" t="s">
        <v>1672</v>
      </c>
      <c r="E978" s="36" t="s">
        <v>1673</v>
      </c>
      <c r="F978" s="19" t="s">
        <v>1668</v>
      </c>
      <c r="G978" s="18" t="s">
        <v>1665</v>
      </c>
    </row>
    <row r="979" spans="1:8" ht="18" hidden="1" customHeight="1" outlineLevel="2" x14ac:dyDescent="0.2">
      <c r="A979" s="18"/>
      <c r="B979" s="18" t="s">
        <v>3303</v>
      </c>
      <c r="C979" s="18" t="s">
        <v>1644</v>
      </c>
      <c r="D979" s="18" t="s">
        <v>1672</v>
      </c>
      <c r="E979" s="36" t="s">
        <v>1674</v>
      </c>
      <c r="F979" s="19" t="s">
        <v>1668</v>
      </c>
      <c r="G979" s="18" t="s">
        <v>816</v>
      </c>
    </row>
    <row r="980" spans="1:8" ht="18" hidden="1" customHeight="1" outlineLevel="2" x14ac:dyDescent="0.2">
      <c r="A980" s="18"/>
      <c r="B980" s="18"/>
      <c r="C980" s="18"/>
      <c r="D980" s="18"/>
      <c r="E980" s="36"/>
      <c r="F980" s="18"/>
      <c r="G980" s="18"/>
    </row>
    <row r="981" spans="1:8" customFormat="1" ht="18" hidden="1" customHeight="1" outlineLevel="1" x14ac:dyDescent="0.25">
      <c r="A981" s="119" t="s">
        <v>83</v>
      </c>
      <c r="B981" s="120"/>
      <c r="C981" s="120"/>
      <c r="D981" s="120"/>
      <c r="E981" s="120"/>
      <c r="F981" s="120"/>
      <c r="G981" s="120"/>
      <c r="H981" s="120"/>
    </row>
    <row r="982" spans="1:8" ht="18" hidden="1" customHeight="1" outlineLevel="2" x14ac:dyDescent="0.2">
      <c r="A982" s="18"/>
      <c r="B982" s="18" t="s">
        <v>3313</v>
      </c>
      <c r="C982" s="33" t="s">
        <v>1712</v>
      </c>
      <c r="D982" s="18" t="s">
        <v>1713</v>
      </c>
      <c r="E982" s="36" t="s">
        <v>1714</v>
      </c>
      <c r="F982" s="18" t="s">
        <v>1638</v>
      </c>
      <c r="G982" s="18" t="s">
        <v>3814</v>
      </c>
    </row>
    <row r="983" spans="1:8" ht="18" hidden="1" customHeight="1" outlineLevel="2" x14ac:dyDescent="0.2">
      <c r="A983" s="18"/>
      <c r="B983" s="18" t="s">
        <v>352</v>
      </c>
      <c r="C983" s="18" t="s">
        <v>1712</v>
      </c>
      <c r="D983" s="18" t="s">
        <v>1715</v>
      </c>
      <c r="E983" s="36" t="s">
        <v>1716</v>
      </c>
      <c r="F983" s="18" t="s">
        <v>1638</v>
      </c>
      <c r="G983" s="18" t="s">
        <v>3815</v>
      </c>
    </row>
    <row r="984" spans="1:8" ht="18" hidden="1" customHeight="1" outlineLevel="2" x14ac:dyDescent="0.2">
      <c r="A984" s="18"/>
      <c r="B984" s="18" t="s">
        <v>3314</v>
      </c>
      <c r="C984" s="33" t="s">
        <v>1712</v>
      </c>
      <c r="D984" s="18" t="s">
        <v>1717</v>
      </c>
      <c r="E984" s="36" t="s">
        <v>1718</v>
      </c>
      <c r="F984" s="18" t="s">
        <v>1638</v>
      </c>
      <c r="G984" s="18" t="s">
        <v>3816</v>
      </c>
    </row>
    <row r="985" spans="1:8" ht="18" hidden="1" customHeight="1" outlineLevel="2" x14ac:dyDescent="0.2">
      <c r="A985" s="18"/>
      <c r="B985" s="18" t="s">
        <v>3315</v>
      </c>
      <c r="C985" s="33" t="s">
        <v>1712</v>
      </c>
      <c r="D985" s="18" t="s">
        <v>1719</v>
      </c>
      <c r="E985" s="36" t="s">
        <v>1720</v>
      </c>
      <c r="F985" s="18" t="s">
        <v>1638</v>
      </c>
      <c r="G985" s="18" t="s">
        <v>3817</v>
      </c>
    </row>
    <row r="986" spans="1:8" ht="18" hidden="1" customHeight="1" outlineLevel="2" x14ac:dyDescent="0.2">
      <c r="A986" s="18"/>
      <c r="B986" s="18" t="s">
        <v>3316</v>
      </c>
      <c r="C986" s="33" t="s">
        <v>1712</v>
      </c>
      <c r="D986" s="18" t="s">
        <v>1721</v>
      </c>
      <c r="E986" s="36" t="s">
        <v>1722</v>
      </c>
      <c r="F986" s="18" t="s">
        <v>1638</v>
      </c>
      <c r="G986" s="18" t="s">
        <v>3818</v>
      </c>
    </row>
    <row r="987" spans="1:8" ht="18" hidden="1" customHeight="1" outlineLevel="2" x14ac:dyDescent="0.2">
      <c r="A987" s="18"/>
      <c r="B987" s="18" t="s">
        <v>352</v>
      </c>
      <c r="C987" s="18" t="s">
        <v>1712</v>
      </c>
      <c r="D987" s="18" t="s">
        <v>1723</v>
      </c>
      <c r="E987" s="36" t="s">
        <v>1724</v>
      </c>
      <c r="F987" s="18" t="s">
        <v>1638</v>
      </c>
      <c r="G987" s="18" t="s">
        <v>3819</v>
      </c>
    </row>
    <row r="988" spans="1:8" ht="18" hidden="1" customHeight="1" outlineLevel="2" x14ac:dyDescent="0.2">
      <c r="A988" s="18"/>
      <c r="B988" s="18" t="s">
        <v>3317</v>
      </c>
      <c r="C988" s="18" t="s">
        <v>1712</v>
      </c>
      <c r="D988" s="18" t="s">
        <v>1725</v>
      </c>
      <c r="E988" s="36" t="s">
        <v>1726</v>
      </c>
      <c r="F988" s="18" t="s">
        <v>1638</v>
      </c>
      <c r="G988" s="18" t="s">
        <v>3820</v>
      </c>
    </row>
    <row r="989" spans="1:8" ht="18" hidden="1" customHeight="1" outlineLevel="2" x14ac:dyDescent="0.2">
      <c r="A989" s="18"/>
      <c r="B989" s="18"/>
      <c r="C989" s="18"/>
      <c r="D989" s="18"/>
      <c r="E989" s="36"/>
      <c r="F989" s="18"/>
      <c r="G989" s="18"/>
    </row>
    <row r="990" spans="1:8" customFormat="1" ht="18" hidden="1" customHeight="1" outlineLevel="1" x14ac:dyDescent="0.25">
      <c r="A990" s="119" t="s">
        <v>73</v>
      </c>
      <c r="B990" s="120"/>
      <c r="C990" s="120"/>
      <c r="D990" s="120"/>
      <c r="E990" s="120"/>
      <c r="F990" s="120"/>
      <c r="G990" s="120"/>
      <c r="H990" s="120"/>
    </row>
    <row r="991" spans="1:8" ht="18" hidden="1" customHeight="1" outlineLevel="2" x14ac:dyDescent="0.2">
      <c r="A991" s="18"/>
      <c r="B991" s="18" t="s">
        <v>352</v>
      </c>
      <c r="C991" s="33" t="s">
        <v>1731</v>
      </c>
      <c r="D991" s="18" t="s">
        <v>1732</v>
      </c>
      <c r="E991" s="36" t="s">
        <v>1733</v>
      </c>
      <c r="F991" s="18" t="s">
        <v>1731</v>
      </c>
      <c r="G991" s="18" t="s">
        <v>1734</v>
      </c>
      <c r="H991" s="25" t="s">
        <v>211</v>
      </c>
    </row>
    <row r="992" spans="1:8" ht="18" hidden="1" customHeight="1" outlineLevel="2" x14ac:dyDescent="0.2">
      <c r="A992" s="18"/>
      <c r="B992" s="18" t="s">
        <v>352</v>
      </c>
      <c r="C992" s="33" t="s">
        <v>1731</v>
      </c>
      <c r="D992" s="18" t="s">
        <v>1735</v>
      </c>
      <c r="E992" s="36" t="s">
        <v>1736</v>
      </c>
      <c r="F992" s="18" t="s">
        <v>1731</v>
      </c>
      <c r="G992" s="18" t="s">
        <v>1734</v>
      </c>
      <c r="H992" s="25" t="s">
        <v>350</v>
      </c>
    </row>
    <row r="993" spans="1:8" ht="18" hidden="1" customHeight="1" outlineLevel="2" x14ac:dyDescent="0.2">
      <c r="A993" s="18"/>
      <c r="B993" s="18" t="s">
        <v>352</v>
      </c>
      <c r="C993" s="33" t="s">
        <v>1731</v>
      </c>
      <c r="D993" s="18" t="s">
        <v>1737</v>
      </c>
      <c r="E993" s="36" t="s">
        <v>1738</v>
      </c>
      <c r="F993" s="18" t="s">
        <v>1731</v>
      </c>
      <c r="G993" s="18" t="s">
        <v>1739</v>
      </c>
      <c r="H993" s="25" t="s">
        <v>350</v>
      </c>
    </row>
    <row r="994" spans="1:8" ht="18" hidden="1" customHeight="1" outlineLevel="2" x14ac:dyDescent="0.2">
      <c r="A994" s="18"/>
      <c r="B994" s="18" t="s">
        <v>352</v>
      </c>
      <c r="C994" s="33" t="s">
        <v>1731</v>
      </c>
      <c r="D994" s="18" t="s">
        <v>1740</v>
      </c>
      <c r="E994" s="36" t="s">
        <v>1741</v>
      </c>
      <c r="F994" s="18" t="s">
        <v>1731</v>
      </c>
      <c r="G994" s="18" t="s">
        <v>1739</v>
      </c>
      <c r="H994" s="25" t="s">
        <v>405</v>
      </c>
    </row>
    <row r="995" spans="1:8" ht="18" hidden="1" customHeight="1" outlineLevel="2" x14ac:dyDescent="0.2">
      <c r="A995" s="18"/>
      <c r="B995" s="18" t="s">
        <v>352</v>
      </c>
      <c r="C995" s="33" t="s">
        <v>1731</v>
      </c>
      <c r="D995" s="18" t="s">
        <v>1742</v>
      </c>
      <c r="E995" s="36" t="s">
        <v>1743</v>
      </c>
      <c r="F995" s="18" t="s">
        <v>1731</v>
      </c>
      <c r="G995" s="18" t="s">
        <v>1744</v>
      </c>
      <c r="H995" s="25" t="s">
        <v>211</v>
      </c>
    </row>
    <row r="996" spans="1:8" ht="18" hidden="1" customHeight="1" outlineLevel="2" x14ac:dyDescent="0.2">
      <c r="A996" s="18"/>
      <c r="B996" s="18" t="s">
        <v>352</v>
      </c>
      <c r="C996" s="18" t="s">
        <v>1745</v>
      </c>
      <c r="D996" s="18" t="s">
        <v>1746</v>
      </c>
      <c r="E996" s="36" t="s">
        <v>1747</v>
      </c>
      <c r="F996" s="18" t="s">
        <v>711</v>
      </c>
      <c r="G996" s="18" t="s">
        <v>1748</v>
      </c>
      <c r="H996" s="25" t="s">
        <v>376</v>
      </c>
    </row>
    <row r="997" spans="1:8" ht="18" hidden="1" customHeight="1" outlineLevel="2" x14ac:dyDescent="0.2">
      <c r="A997" s="18"/>
      <c r="B997" s="18" t="s">
        <v>3319</v>
      </c>
      <c r="C997" s="18" t="s">
        <v>1745</v>
      </c>
      <c r="D997" s="18" t="s">
        <v>1749</v>
      </c>
      <c r="E997" s="36" t="s">
        <v>1750</v>
      </c>
      <c r="F997" s="18" t="s">
        <v>711</v>
      </c>
      <c r="G997" s="18" t="s">
        <v>1748</v>
      </c>
      <c r="H997" s="25" t="s">
        <v>376</v>
      </c>
    </row>
    <row r="998" spans="1:8" ht="18" hidden="1" customHeight="1" outlineLevel="2" x14ac:dyDescent="0.2">
      <c r="A998" s="18"/>
      <c r="B998" s="18" t="s">
        <v>3320</v>
      </c>
      <c r="C998" s="33" t="s">
        <v>1745</v>
      </c>
      <c r="D998" s="18" t="s">
        <v>1751</v>
      </c>
      <c r="E998" s="36" t="s">
        <v>1752</v>
      </c>
      <c r="F998" s="18" t="s">
        <v>711</v>
      </c>
      <c r="G998" s="18" t="s">
        <v>1748</v>
      </c>
      <c r="H998" s="25" t="s">
        <v>376</v>
      </c>
    </row>
    <row r="999" spans="1:8" ht="18" hidden="1" customHeight="1" outlineLevel="2" x14ac:dyDescent="0.2">
      <c r="A999" s="18"/>
      <c r="B999" s="18" t="s">
        <v>3321</v>
      </c>
      <c r="C999" s="33" t="s">
        <v>1745</v>
      </c>
      <c r="D999" s="18" t="s">
        <v>1753</v>
      </c>
      <c r="E999" s="36" t="s">
        <v>1754</v>
      </c>
      <c r="F999" s="18" t="s">
        <v>711</v>
      </c>
      <c r="G999" s="18" t="s">
        <v>1748</v>
      </c>
      <c r="H999" s="25" t="s">
        <v>376</v>
      </c>
    </row>
    <row r="1000" spans="1:8" ht="18" hidden="1" customHeight="1" outlineLevel="2" x14ac:dyDescent="0.2">
      <c r="A1000" s="18"/>
      <c r="B1000" s="18" t="s">
        <v>3322</v>
      </c>
      <c r="C1000" s="33" t="s">
        <v>1745</v>
      </c>
      <c r="D1000" s="18" t="s">
        <v>1755</v>
      </c>
      <c r="E1000" s="36" t="s">
        <v>1756</v>
      </c>
      <c r="F1000" s="18" t="s">
        <v>711</v>
      </c>
      <c r="G1000" s="18" t="s">
        <v>1748</v>
      </c>
      <c r="H1000" s="25" t="s">
        <v>376</v>
      </c>
    </row>
    <row r="1001" spans="1:8" ht="18" hidden="1" customHeight="1" outlineLevel="2" x14ac:dyDescent="0.2">
      <c r="A1001" s="18"/>
      <c r="B1001" s="18" t="s">
        <v>352</v>
      </c>
      <c r="C1001" s="18" t="s">
        <v>1830</v>
      </c>
      <c r="D1001" s="18" t="s">
        <v>1831</v>
      </c>
      <c r="E1001" s="36"/>
      <c r="F1001" s="18" t="s">
        <v>1832</v>
      </c>
      <c r="G1001" s="18"/>
      <c r="H1001" s="25" t="s">
        <v>211</v>
      </c>
    </row>
    <row r="1002" spans="1:8" ht="18" hidden="1" customHeight="1" outlineLevel="2" x14ac:dyDescent="0.2">
      <c r="A1002" s="18"/>
      <c r="B1002" s="18"/>
      <c r="C1002" s="18"/>
      <c r="D1002" s="18"/>
      <c r="E1002" s="36"/>
      <c r="F1002" s="18"/>
      <c r="G1002" s="18"/>
    </row>
    <row r="1003" spans="1:8" customFormat="1" ht="18" hidden="1" customHeight="1" outlineLevel="1" x14ac:dyDescent="0.25">
      <c r="A1003" s="119" t="s">
        <v>84</v>
      </c>
      <c r="B1003" s="120"/>
      <c r="C1003" s="120"/>
      <c r="D1003" s="120"/>
      <c r="E1003" s="120"/>
      <c r="F1003" s="120"/>
      <c r="G1003" s="120"/>
      <c r="H1003" s="120"/>
    </row>
    <row r="1004" spans="1:8" ht="18" hidden="1" customHeight="1" outlineLevel="2" x14ac:dyDescent="0.2">
      <c r="A1004" s="18"/>
      <c r="B1004" s="18" t="s">
        <v>3323</v>
      </c>
      <c r="C1004" s="18" t="s">
        <v>1757</v>
      </c>
      <c r="D1004" s="18" t="s">
        <v>1758</v>
      </c>
      <c r="E1004" s="36" t="s">
        <v>1759</v>
      </c>
      <c r="F1004" s="18" t="s">
        <v>711</v>
      </c>
      <c r="G1004" s="18" t="s">
        <v>1760</v>
      </c>
      <c r="H1004" s="25" t="s">
        <v>3093</v>
      </c>
    </row>
    <row r="1005" spans="1:8" ht="18" hidden="1" customHeight="1" outlineLevel="2" x14ac:dyDescent="0.2">
      <c r="A1005" s="18"/>
      <c r="B1005" s="18" t="s">
        <v>3324</v>
      </c>
      <c r="C1005" s="18" t="s">
        <v>1757</v>
      </c>
      <c r="D1005" s="18" t="s">
        <v>1761</v>
      </c>
      <c r="E1005" s="36" t="s">
        <v>1762</v>
      </c>
      <c r="F1005" s="18" t="s">
        <v>711</v>
      </c>
      <c r="G1005" s="18" t="s">
        <v>1760</v>
      </c>
      <c r="H1005" s="25" t="s">
        <v>350</v>
      </c>
    </row>
    <row r="1006" spans="1:8" ht="18" hidden="1" customHeight="1" outlineLevel="2" x14ac:dyDescent="0.2">
      <c r="A1006" s="18"/>
      <c r="B1006" s="18" t="s">
        <v>3325</v>
      </c>
      <c r="C1006" s="18" t="s">
        <v>1757</v>
      </c>
      <c r="D1006" s="18" t="s">
        <v>1763</v>
      </c>
      <c r="E1006" s="36" t="s">
        <v>1764</v>
      </c>
      <c r="F1006" s="18" t="s">
        <v>711</v>
      </c>
      <c r="G1006" s="18" t="s">
        <v>1760</v>
      </c>
      <c r="H1006" s="25" t="s">
        <v>3094</v>
      </c>
    </row>
    <row r="1007" spans="1:8" ht="18" hidden="1" customHeight="1" outlineLevel="2" x14ac:dyDescent="0.2">
      <c r="A1007" s="18"/>
      <c r="B1007" s="18" t="s">
        <v>3326</v>
      </c>
      <c r="C1007" s="18" t="s">
        <v>1757</v>
      </c>
      <c r="D1007" s="18" t="s">
        <v>1765</v>
      </c>
      <c r="E1007" s="36" t="s">
        <v>1766</v>
      </c>
      <c r="F1007" s="18" t="s">
        <v>711</v>
      </c>
      <c r="G1007" s="18" t="s">
        <v>1760</v>
      </c>
      <c r="H1007" s="25" t="s">
        <v>3095</v>
      </c>
    </row>
    <row r="1008" spans="1:8" ht="18" hidden="1" customHeight="1" outlineLevel="2" x14ac:dyDescent="0.2">
      <c r="A1008" s="18"/>
      <c r="B1008" s="18" t="s">
        <v>3327</v>
      </c>
      <c r="C1008" s="18" t="s">
        <v>1757</v>
      </c>
      <c r="D1008" s="18" t="s">
        <v>1767</v>
      </c>
      <c r="E1008" s="36" t="s">
        <v>1768</v>
      </c>
      <c r="F1008" s="18" t="s">
        <v>711</v>
      </c>
      <c r="G1008" s="18" t="s">
        <v>1760</v>
      </c>
      <c r="H1008" s="25" t="s">
        <v>426</v>
      </c>
    </row>
    <row r="1009" spans="1:10" ht="18" hidden="1" customHeight="1" outlineLevel="2" x14ac:dyDescent="0.2">
      <c r="A1009" s="18"/>
      <c r="B1009" s="18" t="s">
        <v>352</v>
      </c>
      <c r="C1009" s="18" t="s">
        <v>1757</v>
      </c>
      <c r="D1009" s="18" t="s">
        <v>1769</v>
      </c>
      <c r="E1009" s="36" t="s">
        <v>1770</v>
      </c>
      <c r="F1009" s="18" t="s">
        <v>711</v>
      </c>
      <c r="G1009" s="18" t="s">
        <v>1760</v>
      </c>
      <c r="H1009" s="25" t="s">
        <v>426</v>
      </c>
    </row>
    <row r="1010" spans="1:10" ht="18" hidden="1" customHeight="1" outlineLevel="2" x14ac:dyDescent="0.2">
      <c r="A1010" s="18"/>
      <c r="B1010" s="18" t="s">
        <v>352</v>
      </c>
      <c r="C1010" s="18" t="s">
        <v>1771</v>
      </c>
      <c r="D1010" s="18" t="s">
        <v>1772</v>
      </c>
      <c r="E1010" s="36" t="s">
        <v>1773</v>
      </c>
      <c r="F1010" s="18" t="s">
        <v>711</v>
      </c>
      <c r="G1010" s="18" t="s">
        <v>1760</v>
      </c>
      <c r="H1010" s="25" t="s">
        <v>3093</v>
      </c>
    </row>
    <row r="1011" spans="1:10" ht="18" hidden="1" customHeight="1" outlineLevel="2" x14ac:dyDescent="0.2">
      <c r="A1011" s="18"/>
      <c r="B1011" s="18" t="s">
        <v>352</v>
      </c>
      <c r="C1011" s="18" t="s">
        <v>1771</v>
      </c>
      <c r="D1011" s="18" t="s">
        <v>1774</v>
      </c>
      <c r="E1011" s="36" t="s">
        <v>1775</v>
      </c>
      <c r="F1011" s="18" t="s">
        <v>711</v>
      </c>
      <c r="G1011" s="18" t="s">
        <v>1760</v>
      </c>
      <c r="H1011" s="25" t="s">
        <v>350</v>
      </c>
    </row>
    <row r="1012" spans="1:10" ht="18" hidden="1" customHeight="1" outlineLevel="2" x14ac:dyDescent="0.2">
      <c r="A1012" s="18"/>
      <c r="B1012" s="18" t="s">
        <v>352</v>
      </c>
      <c r="C1012" s="18" t="s">
        <v>1771</v>
      </c>
      <c r="D1012" s="18" t="s">
        <v>1776</v>
      </c>
      <c r="E1012" s="36" t="s">
        <v>1777</v>
      </c>
      <c r="F1012" s="18" t="s">
        <v>711</v>
      </c>
      <c r="G1012" s="18" t="s">
        <v>1760</v>
      </c>
      <c r="H1012" s="25" t="s">
        <v>3094</v>
      </c>
    </row>
    <row r="1013" spans="1:10" ht="18" hidden="1" customHeight="1" outlineLevel="2" x14ac:dyDescent="0.2">
      <c r="A1013" s="18"/>
      <c r="B1013" s="18" t="s">
        <v>352</v>
      </c>
      <c r="C1013" s="18" t="s">
        <v>1771</v>
      </c>
      <c r="D1013" s="18" t="s">
        <v>1778</v>
      </c>
      <c r="E1013" s="36" t="s">
        <v>1779</v>
      </c>
      <c r="F1013" s="18" t="s">
        <v>711</v>
      </c>
      <c r="G1013" s="18" t="s">
        <v>1760</v>
      </c>
      <c r="H1013" s="25" t="s">
        <v>3095</v>
      </c>
    </row>
    <row r="1014" spans="1:10" ht="18" hidden="1" customHeight="1" outlineLevel="2" x14ac:dyDescent="0.2">
      <c r="A1014" s="18"/>
      <c r="B1014" s="18" t="s">
        <v>3328</v>
      </c>
      <c r="C1014" s="18" t="s">
        <v>1780</v>
      </c>
      <c r="D1014" s="18" t="s">
        <v>1781</v>
      </c>
      <c r="E1014" s="36" t="s">
        <v>1782</v>
      </c>
      <c r="F1014" s="18" t="s">
        <v>711</v>
      </c>
      <c r="G1014" s="18" t="s">
        <v>1760</v>
      </c>
      <c r="H1014" s="25" t="s">
        <v>405</v>
      </c>
    </row>
    <row r="1015" spans="1:10" ht="18" hidden="1" customHeight="1" outlineLevel="2" x14ac:dyDescent="0.2">
      <c r="A1015" s="18"/>
      <c r="B1015" s="18" t="s">
        <v>3329</v>
      </c>
      <c r="C1015" s="18" t="s">
        <v>1780</v>
      </c>
      <c r="D1015" s="18" t="s">
        <v>1783</v>
      </c>
      <c r="E1015" s="36" t="s">
        <v>1784</v>
      </c>
      <c r="F1015" s="18" t="s">
        <v>711</v>
      </c>
      <c r="G1015" s="18" t="s">
        <v>1760</v>
      </c>
      <c r="H1015" s="25" t="s">
        <v>426</v>
      </c>
    </row>
    <row r="1016" spans="1:10" ht="18" hidden="1" customHeight="1" outlineLevel="2" x14ac:dyDescent="0.2">
      <c r="A1016" s="18"/>
      <c r="B1016" s="18" t="s">
        <v>3330</v>
      </c>
      <c r="C1016" s="18" t="s">
        <v>1780</v>
      </c>
      <c r="D1016" s="18" t="s">
        <v>1785</v>
      </c>
      <c r="E1016" s="36" t="s">
        <v>1786</v>
      </c>
      <c r="F1016" s="18" t="s">
        <v>711</v>
      </c>
      <c r="G1016" s="18" t="s">
        <v>1760</v>
      </c>
      <c r="H1016" s="25" t="s">
        <v>426</v>
      </c>
    </row>
    <row r="1017" spans="1:10" ht="18" hidden="1" customHeight="1" outlineLevel="2" x14ac:dyDescent="0.2">
      <c r="A1017" s="18"/>
      <c r="B1017" s="18" t="s">
        <v>352</v>
      </c>
      <c r="C1017" s="18" t="s">
        <v>1787</v>
      </c>
      <c r="D1017" s="18"/>
      <c r="E1017" s="36" t="s">
        <v>1788</v>
      </c>
      <c r="F1017" s="18" t="s">
        <v>711</v>
      </c>
      <c r="G1017" s="18" t="s">
        <v>1760</v>
      </c>
      <c r="H1017" s="25" t="s">
        <v>426</v>
      </c>
    </row>
    <row r="1018" spans="1:10" ht="18" hidden="1" customHeight="1" outlineLevel="2" x14ac:dyDescent="0.2">
      <c r="A1018" s="18"/>
      <c r="B1018" s="18" t="s">
        <v>352</v>
      </c>
      <c r="C1018" s="18" t="s">
        <v>1789</v>
      </c>
      <c r="D1018" s="18" t="s">
        <v>1790</v>
      </c>
      <c r="E1018" s="36"/>
      <c r="F1018" s="18"/>
      <c r="G1018" s="18" t="s">
        <v>1791</v>
      </c>
      <c r="H1018" s="25" t="s">
        <v>2063</v>
      </c>
    </row>
    <row r="1019" spans="1:10" ht="18" hidden="1" customHeight="1" outlineLevel="2" x14ac:dyDescent="0.2">
      <c r="A1019" s="18"/>
      <c r="B1019" s="18" t="s">
        <v>352</v>
      </c>
      <c r="C1019" s="18" t="s">
        <v>1824</v>
      </c>
      <c r="D1019" s="18" t="s">
        <v>1825</v>
      </c>
      <c r="E1019" s="36" t="s">
        <v>1826</v>
      </c>
      <c r="F1019" s="18" t="s">
        <v>1625</v>
      </c>
      <c r="G1019" s="18" t="s">
        <v>3757</v>
      </c>
      <c r="H1019" s="25" t="s">
        <v>2642</v>
      </c>
    </row>
    <row r="1020" spans="1:10" ht="18" hidden="1" customHeight="1" outlineLevel="2" x14ac:dyDescent="0.2">
      <c r="A1020" s="18"/>
      <c r="B1020" s="18" t="s">
        <v>352</v>
      </c>
      <c r="C1020" s="18" t="s">
        <v>1824</v>
      </c>
      <c r="D1020" s="18" t="s">
        <v>1827</v>
      </c>
      <c r="E1020" s="36" t="s">
        <v>1828</v>
      </c>
      <c r="F1020" s="18" t="s">
        <v>1625</v>
      </c>
      <c r="G1020" s="18" t="s">
        <v>3758</v>
      </c>
      <c r="H1020" s="25" t="s">
        <v>2642</v>
      </c>
    </row>
    <row r="1021" spans="1:10" ht="18" hidden="1" customHeight="1" outlineLevel="2" x14ac:dyDescent="0.2">
      <c r="A1021" s="18"/>
      <c r="B1021" s="18" t="s">
        <v>352</v>
      </c>
      <c r="C1021" s="18" t="s">
        <v>1824</v>
      </c>
      <c r="D1021" s="18" t="s">
        <v>1829</v>
      </c>
      <c r="E1021" s="36" t="s">
        <v>1828</v>
      </c>
      <c r="F1021" s="18" t="s">
        <v>1625</v>
      </c>
      <c r="G1021" s="18" t="s">
        <v>3759</v>
      </c>
      <c r="H1021" s="25" t="s">
        <v>2642</v>
      </c>
    </row>
    <row r="1022" spans="1:10" ht="18" hidden="1" customHeight="1" outlineLevel="2" x14ac:dyDescent="0.2">
      <c r="A1022" s="18"/>
      <c r="B1022" s="18"/>
      <c r="C1022" s="18"/>
      <c r="D1022" s="18"/>
      <c r="E1022" s="36"/>
      <c r="F1022" s="18"/>
      <c r="G1022" s="18"/>
    </row>
    <row r="1023" spans="1:10" customFormat="1" ht="18" hidden="1" customHeight="1" outlineLevel="1" x14ac:dyDescent="0.25">
      <c r="A1023" s="119" t="s">
        <v>85</v>
      </c>
      <c r="B1023" s="120"/>
      <c r="C1023" s="120"/>
      <c r="D1023" s="120"/>
      <c r="E1023" s="120"/>
      <c r="F1023" s="120"/>
      <c r="G1023" s="120"/>
      <c r="H1023" s="120"/>
      <c r="J1023" s="9"/>
    </row>
    <row r="1024" spans="1:10" ht="18" hidden="1" customHeight="1" outlineLevel="2" x14ac:dyDescent="0.2">
      <c r="A1024" s="18"/>
      <c r="B1024" s="18" t="s">
        <v>352</v>
      </c>
      <c r="C1024" s="18" t="s">
        <v>1792</v>
      </c>
      <c r="D1024" s="18" t="s">
        <v>1793</v>
      </c>
      <c r="E1024" s="36" t="s">
        <v>1794</v>
      </c>
      <c r="F1024" s="18" t="s">
        <v>1795</v>
      </c>
      <c r="G1024" s="18" t="s">
        <v>1796</v>
      </c>
    </row>
    <row r="1025" spans="1:8" ht="18" hidden="1" customHeight="1" outlineLevel="2" x14ac:dyDescent="0.2">
      <c r="A1025" s="18"/>
      <c r="B1025" s="18" t="s">
        <v>352</v>
      </c>
      <c r="C1025" s="18" t="s">
        <v>1792</v>
      </c>
      <c r="D1025" s="18" t="s">
        <v>1797</v>
      </c>
      <c r="E1025" s="36" t="s">
        <v>1798</v>
      </c>
      <c r="F1025" s="18" t="s">
        <v>1795</v>
      </c>
      <c r="G1025" s="18" t="s">
        <v>1799</v>
      </c>
    </row>
    <row r="1026" spans="1:8" ht="18" hidden="1" customHeight="1" outlineLevel="2" x14ac:dyDescent="0.2">
      <c r="A1026" s="18"/>
      <c r="B1026" s="18" t="s">
        <v>352</v>
      </c>
      <c r="C1026" s="18" t="s">
        <v>1792</v>
      </c>
      <c r="D1026" s="18" t="s">
        <v>1800</v>
      </c>
      <c r="E1026" s="36" t="s">
        <v>1801</v>
      </c>
      <c r="F1026" s="18" t="s">
        <v>1795</v>
      </c>
      <c r="G1026" s="18" t="s">
        <v>1802</v>
      </c>
    </row>
    <row r="1027" spans="1:8" ht="18" hidden="1" customHeight="1" outlineLevel="2" x14ac:dyDescent="0.2">
      <c r="A1027" s="18"/>
      <c r="B1027" s="18" t="s">
        <v>352</v>
      </c>
      <c r="C1027" s="18" t="s">
        <v>1803</v>
      </c>
      <c r="D1027" s="18" t="s">
        <v>1804</v>
      </c>
      <c r="E1027" s="36" t="s">
        <v>1805</v>
      </c>
      <c r="F1027" s="18" t="s">
        <v>1795</v>
      </c>
      <c r="G1027" s="18" t="s">
        <v>1806</v>
      </c>
      <c r="H1027" s="25" t="s">
        <v>674</v>
      </c>
    </row>
    <row r="1028" spans="1:8" ht="18" hidden="1" customHeight="1" outlineLevel="2" x14ac:dyDescent="0.2">
      <c r="A1028" s="18"/>
      <c r="B1028" s="18" t="s">
        <v>352</v>
      </c>
      <c r="C1028" s="18" t="s">
        <v>1803</v>
      </c>
      <c r="D1028" s="18" t="s">
        <v>1807</v>
      </c>
      <c r="E1028" s="36" t="s">
        <v>1808</v>
      </c>
      <c r="F1028" s="18" t="s">
        <v>1795</v>
      </c>
      <c r="G1028" s="18" t="s">
        <v>1806</v>
      </c>
      <c r="H1028" s="25" t="s">
        <v>674</v>
      </c>
    </row>
    <row r="1029" spans="1:8" ht="18" hidden="1" customHeight="1" outlineLevel="2" x14ac:dyDescent="0.2">
      <c r="A1029" s="18"/>
      <c r="B1029" s="18" t="s">
        <v>352</v>
      </c>
      <c r="C1029" s="33" t="s">
        <v>1803</v>
      </c>
      <c r="D1029" s="18" t="s">
        <v>1809</v>
      </c>
      <c r="E1029" s="36" t="s">
        <v>1810</v>
      </c>
      <c r="F1029" s="18" t="s">
        <v>1795</v>
      </c>
      <c r="G1029" s="18" t="s">
        <v>1806</v>
      </c>
      <c r="H1029" s="25" t="s">
        <v>674</v>
      </c>
    </row>
    <row r="1030" spans="1:8" ht="18" hidden="1" customHeight="1" outlineLevel="2" x14ac:dyDescent="0.2">
      <c r="A1030" s="18"/>
      <c r="B1030" s="18" t="s">
        <v>352</v>
      </c>
      <c r="C1030" s="18" t="s">
        <v>1803</v>
      </c>
      <c r="D1030" s="18" t="s">
        <v>1811</v>
      </c>
      <c r="E1030" s="36" t="s">
        <v>1812</v>
      </c>
      <c r="F1030" s="18" t="s">
        <v>1795</v>
      </c>
      <c r="G1030" s="18" t="s">
        <v>1806</v>
      </c>
      <c r="H1030" s="25" t="s">
        <v>674</v>
      </c>
    </row>
    <row r="1031" spans="1:8" ht="18" hidden="1" customHeight="1" outlineLevel="2" x14ac:dyDescent="0.2">
      <c r="A1031" s="18"/>
      <c r="B1031" s="18" t="s">
        <v>352</v>
      </c>
      <c r="C1031" s="18" t="s">
        <v>1803</v>
      </c>
      <c r="D1031" s="18" t="s">
        <v>1813</v>
      </c>
      <c r="E1031" s="36" t="s">
        <v>1814</v>
      </c>
      <c r="F1031" s="18" t="s">
        <v>1795</v>
      </c>
      <c r="G1031" s="18" t="s">
        <v>1806</v>
      </c>
      <c r="H1031" s="25" t="s">
        <v>674</v>
      </c>
    </row>
    <row r="1032" spans="1:8" ht="18" hidden="1" customHeight="1" outlineLevel="2" x14ac:dyDescent="0.2">
      <c r="A1032" s="18"/>
      <c r="B1032" s="18" t="s">
        <v>352</v>
      </c>
      <c r="C1032" s="18" t="s">
        <v>1803</v>
      </c>
      <c r="D1032" s="18" t="s">
        <v>1815</v>
      </c>
      <c r="E1032" s="36" t="s">
        <v>1816</v>
      </c>
      <c r="F1032" s="18" t="s">
        <v>1795</v>
      </c>
      <c r="G1032" s="18" t="s">
        <v>1806</v>
      </c>
      <c r="H1032" s="25" t="s">
        <v>674</v>
      </c>
    </row>
    <row r="1033" spans="1:8" ht="18" hidden="1" customHeight="1" outlineLevel="2" x14ac:dyDescent="0.2">
      <c r="A1033" s="18"/>
      <c r="B1033" s="18" t="s">
        <v>352</v>
      </c>
      <c r="C1033" s="18" t="s">
        <v>1803</v>
      </c>
      <c r="D1033" s="18" t="s">
        <v>1817</v>
      </c>
      <c r="E1033" s="36" t="s">
        <v>1818</v>
      </c>
      <c r="F1033" s="18" t="s">
        <v>1795</v>
      </c>
      <c r="G1033" s="18" t="s">
        <v>1806</v>
      </c>
      <c r="H1033" s="25" t="s">
        <v>674</v>
      </c>
    </row>
    <row r="1034" spans="1:8" ht="18" hidden="1" customHeight="1" outlineLevel="2" x14ac:dyDescent="0.2">
      <c r="A1034" s="18"/>
      <c r="B1034" s="18" t="s">
        <v>352</v>
      </c>
      <c r="C1034" s="18" t="s">
        <v>1819</v>
      </c>
      <c r="D1034" s="18"/>
      <c r="E1034" s="36" t="s">
        <v>1820</v>
      </c>
      <c r="F1034" s="18" t="s">
        <v>1795</v>
      </c>
      <c r="G1034" s="18" t="s">
        <v>1821</v>
      </c>
      <c r="H1034" s="25" t="s">
        <v>674</v>
      </c>
    </row>
    <row r="1035" spans="1:8" ht="18" hidden="1" customHeight="1" outlineLevel="2" x14ac:dyDescent="0.2">
      <c r="A1035" s="18"/>
      <c r="B1035" s="18" t="s">
        <v>352</v>
      </c>
      <c r="C1035" s="18" t="s">
        <v>1819</v>
      </c>
      <c r="D1035" s="18"/>
      <c r="E1035" s="36" t="s">
        <v>1822</v>
      </c>
      <c r="F1035" s="18" t="s">
        <v>1795</v>
      </c>
      <c r="G1035" s="18" t="s">
        <v>1823</v>
      </c>
      <c r="H1035" s="25" t="s">
        <v>674</v>
      </c>
    </row>
    <row r="1036" spans="1:8" ht="18" hidden="1" customHeight="1" outlineLevel="2" x14ac:dyDescent="0.2">
      <c r="A1036" s="18"/>
      <c r="B1036" s="18"/>
      <c r="C1036" s="18"/>
      <c r="D1036" s="18"/>
      <c r="E1036" s="36"/>
      <c r="F1036" s="18"/>
      <c r="G1036" s="18"/>
    </row>
    <row r="1037" spans="1:8" ht="18" hidden="1" customHeight="1" outlineLevel="1" x14ac:dyDescent="0.2">
      <c r="A1037" s="119" t="s">
        <v>87</v>
      </c>
      <c r="B1037" s="120"/>
      <c r="C1037" s="120"/>
      <c r="D1037" s="120"/>
      <c r="E1037" s="120"/>
      <c r="F1037" s="120"/>
      <c r="G1037" s="120"/>
      <c r="H1037" s="120"/>
    </row>
    <row r="1038" spans="1:8" ht="18" hidden="1" customHeight="1" outlineLevel="2" x14ac:dyDescent="0.2">
      <c r="A1038" s="18"/>
      <c r="B1038" s="18" t="s">
        <v>352</v>
      </c>
      <c r="C1038" s="18" t="s">
        <v>1833</v>
      </c>
      <c r="D1038" s="18" t="s">
        <v>1834</v>
      </c>
      <c r="E1038" s="36" t="s">
        <v>1835</v>
      </c>
      <c r="F1038" s="18" t="s">
        <v>711</v>
      </c>
      <c r="G1038" s="18"/>
      <c r="H1038" s="25" t="s">
        <v>3096</v>
      </c>
    </row>
    <row r="1039" spans="1:8" ht="18" hidden="1" customHeight="1" outlineLevel="2" x14ac:dyDescent="0.2">
      <c r="A1039" s="18"/>
      <c r="B1039" s="18" t="s">
        <v>352</v>
      </c>
      <c r="C1039" s="18" t="s">
        <v>1833</v>
      </c>
      <c r="D1039" s="18" t="s">
        <v>1836</v>
      </c>
      <c r="E1039" s="36" t="s">
        <v>1837</v>
      </c>
      <c r="F1039" s="18" t="s">
        <v>711</v>
      </c>
      <c r="G1039" s="18"/>
      <c r="H1039" s="25" t="s">
        <v>3096</v>
      </c>
    </row>
    <row r="1040" spans="1:8" ht="18" hidden="1" customHeight="1" outlineLevel="2" x14ac:dyDescent="0.2">
      <c r="A1040" s="18"/>
      <c r="B1040" s="18" t="s">
        <v>352</v>
      </c>
      <c r="C1040" s="18" t="s">
        <v>1838</v>
      </c>
      <c r="D1040" s="18" t="s">
        <v>1836</v>
      </c>
      <c r="E1040" s="36" t="s">
        <v>1839</v>
      </c>
      <c r="F1040" s="18" t="s">
        <v>711</v>
      </c>
      <c r="G1040" s="18"/>
      <c r="H1040" s="25" t="s">
        <v>211</v>
      </c>
    </row>
    <row r="1041" spans="1:8" ht="18" hidden="1" customHeight="1" outlineLevel="2" x14ac:dyDescent="0.2">
      <c r="A1041" s="18"/>
      <c r="B1041" s="18" t="s">
        <v>352</v>
      </c>
      <c r="C1041" s="18" t="s">
        <v>1833</v>
      </c>
      <c r="D1041" s="18" t="s">
        <v>1840</v>
      </c>
      <c r="E1041" s="36" t="s">
        <v>1841</v>
      </c>
      <c r="F1041" s="18" t="s">
        <v>711</v>
      </c>
      <c r="G1041" s="18"/>
      <c r="H1041" s="25" t="s">
        <v>212</v>
      </c>
    </row>
    <row r="1042" spans="1:8" ht="18" hidden="1" customHeight="1" outlineLevel="2" x14ac:dyDescent="0.2">
      <c r="A1042" s="18"/>
      <c r="B1042" s="18" t="s">
        <v>352</v>
      </c>
      <c r="C1042" s="18" t="s">
        <v>1838</v>
      </c>
      <c r="D1042" s="18" t="s">
        <v>1840</v>
      </c>
      <c r="E1042" s="36" t="s">
        <v>1842</v>
      </c>
      <c r="F1042" s="18" t="s">
        <v>711</v>
      </c>
      <c r="G1042" s="18"/>
      <c r="H1042" s="25" t="s">
        <v>211</v>
      </c>
    </row>
    <row r="1043" spans="1:8" ht="18" hidden="1" customHeight="1" outlineLevel="2" x14ac:dyDescent="0.2">
      <c r="A1043" s="18"/>
      <c r="B1043" s="18" t="s">
        <v>352</v>
      </c>
      <c r="C1043" s="18" t="s">
        <v>1833</v>
      </c>
      <c r="D1043" s="18" t="s">
        <v>1843</v>
      </c>
      <c r="E1043" s="36" t="s">
        <v>1844</v>
      </c>
      <c r="F1043" s="18" t="s">
        <v>711</v>
      </c>
      <c r="G1043" s="18"/>
      <c r="H1043" s="25" t="s">
        <v>212</v>
      </c>
    </row>
    <row r="1044" spans="1:8" ht="18" hidden="1" customHeight="1" outlineLevel="2" x14ac:dyDescent="0.2">
      <c r="A1044" s="18"/>
      <c r="B1044" s="18" t="s">
        <v>352</v>
      </c>
      <c r="C1044" s="18" t="s">
        <v>1838</v>
      </c>
      <c r="D1044" s="18" t="s">
        <v>1843</v>
      </c>
      <c r="E1044" s="36" t="s">
        <v>1845</v>
      </c>
      <c r="F1044" s="18" t="s">
        <v>711</v>
      </c>
      <c r="G1044" s="18"/>
      <c r="H1044" s="25" t="s">
        <v>211</v>
      </c>
    </row>
    <row r="1045" spans="1:8" ht="18" hidden="1" customHeight="1" outlineLevel="2" x14ac:dyDescent="0.2">
      <c r="A1045" s="18"/>
      <c r="B1045" s="18" t="s">
        <v>352</v>
      </c>
      <c r="C1045" s="18" t="s">
        <v>1833</v>
      </c>
      <c r="D1045" s="18" t="s">
        <v>1846</v>
      </c>
      <c r="E1045" s="36" t="s">
        <v>1847</v>
      </c>
      <c r="F1045" s="18" t="s">
        <v>711</v>
      </c>
      <c r="G1045" s="18"/>
      <c r="H1045" s="25" t="s">
        <v>212</v>
      </c>
    </row>
    <row r="1046" spans="1:8" ht="18" hidden="1" customHeight="1" outlineLevel="2" x14ac:dyDescent="0.2">
      <c r="A1046" s="18"/>
      <c r="B1046" s="18" t="s">
        <v>352</v>
      </c>
      <c r="C1046" s="18" t="s">
        <v>1833</v>
      </c>
      <c r="D1046" s="18" t="s">
        <v>1848</v>
      </c>
      <c r="E1046" s="36" t="s">
        <v>1849</v>
      </c>
      <c r="F1046" s="18" t="s">
        <v>711</v>
      </c>
      <c r="G1046" s="18"/>
      <c r="H1046" s="25" t="s">
        <v>222</v>
      </c>
    </row>
    <row r="1047" spans="1:8" ht="18" hidden="1" customHeight="1" outlineLevel="2" x14ac:dyDescent="0.2">
      <c r="A1047" s="18"/>
      <c r="B1047" s="18" t="s">
        <v>352</v>
      </c>
      <c r="C1047" s="18" t="s">
        <v>1833</v>
      </c>
      <c r="D1047" s="18" t="s">
        <v>1850</v>
      </c>
      <c r="E1047" s="36" t="s">
        <v>1851</v>
      </c>
      <c r="F1047" s="18" t="s">
        <v>711</v>
      </c>
      <c r="G1047" s="18"/>
      <c r="H1047" s="25" t="s">
        <v>222</v>
      </c>
    </row>
    <row r="1048" spans="1:8" ht="18" hidden="1" customHeight="1" outlineLevel="2" x14ac:dyDescent="0.2">
      <c r="A1048" s="18"/>
      <c r="B1048" s="18" t="s">
        <v>352</v>
      </c>
      <c r="C1048" s="18" t="s">
        <v>1833</v>
      </c>
      <c r="D1048" s="18" t="s">
        <v>1852</v>
      </c>
      <c r="E1048" s="36" t="s">
        <v>1853</v>
      </c>
      <c r="F1048" s="18" t="s">
        <v>711</v>
      </c>
      <c r="G1048" s="18"/>
      <c r="H1048" s="25" t="s">
        <v>674</v>
      </c>
    </row>
    <row r="1049" spans="1:8" ht="18" hidden="1" customHeight="1" outlineLevel="2" x14ac:dyDescent="0.2">
      <c r="A1049" s="18"/>
      <c r="B1049" s="18" t="s">
        <v>352</v>
      </c>
      <c r="C1049" s="18" t="s">
        <v>1833</v>
      </c>
      <c r="D1049" s="18" t="s">
        <v>1854</v>
      </c>
      <c r="E1049" s="36" t="s">
        <v>1855</v>
      </c>
      <c r="F1049" s="18" t="s">
        <v>711</v>
      </c>
      <c r="G1049" s="18"/>
      <c r="H1049" s="25" t="s">
        <v>674</v>
      </c>
    </row>
    <row r="1050" spans="1:8" ht="18" hidden="1" customHeight="1" outlineLevel="2" x14ac:dyDescent="0.2">
      <c r="A1050" s="18"/>
      <c r="B1050" s="18" t="s">
        <v>352</v>
      </c>
      <c r="C1050" s="18" t="s">
        <v>1833</v>
      </c>
      <c r="D1050" s="18" t="s">
        <v>1856</v>
      </c>
      <c r="E1050" s="36" t="s">
        <v>1857</v>
      </c>
      <c r="F1050" s="18" t="s">
        <v>711</v>
      </c>
      <c r="G1050" s="18"/>
      <c r="H1050" s="25" t="s">
        <v>674</v>
      </c>
    </row>
    <row r="1051" spans="1:8" ht="18" hidden="1" customHeight="1" outlineLevel="2" x14ac:dyDescent="0.2">
      <c r="A1051" s="18"/>
      <c r="B1051" s="18" t="s">
        <v>352</v>
      </c>
      <c r="C1051" s="18" t="s">
        <v>1858</v>
      </c>
      <c r="D1051" s="18" t="s">
        <v>1859</v>
      </c>
      <c r="E1051" s="36" t="s">
        <v>1860</v>
      </c>
      <c r="F1051" s="18" t="s">
        <v>711</v>
      </c>
      <c r="G1051" s="18"/>
      <c r="H1051" s="25" t="s">
        <v>674</v>
      </c>
    </row>
    <row r="1052" spans="1:8" ht="18" hidden="1" customHeight="1" outlineLevel="2" x14ac:dyDescent="0.2">
      <c r="A1052" s="18"/>
      <c r="B1052" s="18"/>
      <c r="C1052" s="18"/>
      <c r="D1052" s="18"/>
      <c r="E1052" s="36"/>
      <c r="F1052" s="18"/>
      <c r="G1052" s="18"/>
    </row>
    <row r="1053" spans="1:8" ht="18" hidden="1" customHeight="1" outlineLevel="1" x14ac:dyDescent="0.2">
      <c r="A1053" s="119" t="s">
        <v>88</v>
      </c>
      <c r="B1053" s="120"/>
      <c r="C1053" s="120"/>
      <c r="D1053" s="120"/>
      <c r="E1053" s="120"/>
      <c r="F1053" s="120"/>
      <c r="G1053" s="120"/>
      <c r="H1053" s="120"/>
    </row>
    <row r="1054" spans="1:8" ht="18" hidden="1" customHeight="1" outlineLevel="2" x14ac:dyDescent="0.2">
      <c r="A1054" s="18"/>
      <c r="B1054" s="18" t="s">
        <v>352</v>
      </c>
      <c r="C1054" s="18" t="s">
        <v>1861</v>
      </c>
      <c r="D1054" s="18" t="s">
        <v>1862</v>
      </c>
      <c r="E1054" s="36" t="s">
        <v>1863</v>
      </c>
      <c r="F1054" s="18" t="s">
        <v>711</v>
      </c>
      <c r="G1054" s="18" t="s">
        <v>3760</v>
      </c>
      <c r="H1054" s="25" t="s">
        <v>3097</v>
      </c>
    </row>
    <row r="1055" spans="1:8" ht="18" hidden="1" customHeight="1" outlineLevel="2" x14ac:dyDescent="0.2">
      <c r="A1055" s="18"/>
      <c r="B1055" s="18" t="s">
        <v>352</v>
      </c>
      <c r="C1055" s="18" t="s">
        <v>1861</v>
      </c>
      <c r="D1055" s="18" t="s">
        <v>375</v>
      </c>
      <c r="E1055" s="36" t="s">
        <v>1865</v>
      </c>
      <c r="F1055" s="18" t="s">
        <v>711</v>
      </c>
      <c r="G1055" s="18" t="s">
        <v>3761</v>
      </c>
      <c r="H1055" s="25" t="s">
        <v>3097</v>
      </c>
    </row>
    <row r="1056" spans="1:8" ht="18" hidden="1" customHeight="1" outlineLevel="2" x14ac:dyDescent="0.2">
      <c r="A1056" s="18"/>
      <c r="B1056" s="18" t="s">
        <v>352</v>
      </c>
      <c r="C1056" s="18" t="s">
        <v>1861</v>
      </c>
      <c r="D1056" s="18" t="s">
        <v>1866</v>
      </c>
      <c r="E1056" s="36" t="s">
        <v>1867</v>
      </c>
      <c r="F1056" s="18" t="s">
        <v>711</v>
      </c>
      <c r="G1056" s="18" t="s">
        <v>3762</v>
      </c>
      <c r="H1056" s="25" t="s">
        <v>3097</v>
      </c>
    </row>
    <row r="1057" spans="1:8" ht="18" hidden="1" customHeight="1" outlineLevel="2" x14ac:dyDescent="0.2">
      <c r="A1057" s="18"/>
      <c r="B1057" s="18" t="s">
        <v>352</v>
      </c>
      <c r="C1057" s="18" t="s">
        <v>1861</v>
      </c>
      <c r="D1057" s="18" t="s">
        <v>675</v>
      </c>
      <c r="E1057" s="36" t="s">
        <v>1868</v>
      </c>
      <c r="F1057" s="18" t="s">
        <v>711</v>
      </c>
      <c r="G1057" s="18" t="s">
        <v>3763</v>
      </c>
      <c r="H1057" s="25" t="s">
        <v>3097</v>
      </c>
    </row>
    <row r="1058" spans="1:8" ht="18" hidden="1" customHeight="1" outlineLevel="2" x14ac:dyDescent="0.2">
      <c r="A1058" s="18"/>
      <c r="B1058" s="18" t="s">
        <v>352</v>
      </c>
      <c r="C1058" s="18" t="s">
        <v>1861</v>
      </c>
      <c r="D1058" s="18" t="s">
        <v>1869</v>
      </c>
      <c r="E1058" s="36" t="s">
        <v>1870</v>
      </c>
      <c r="F1058" s="18" t="s">
        <v>711</v>
      </c>
      <c r="G1058" s="18" t="s">
        <v>3764</v>
      </c>
      <c r="H1058" s="25" t="s">
        <v>3097</v>
      </c>
    </row>
    <row r="1059" spans="1:8" ht="18" hidden="1" customHeight="1" outlineLevel="2" x14ac:dyDescent="0.2">
      <c r="A1059" s="18"/>
      <c r="B1059" s="18" t="s">
        <v>352</v>
      </c>
      <c r="C1059" s="18" t="s">
        <v>1861</v>
      </c>
      <c r="D1059" s="18" t="s">
        <v>673</v>
      </c>
      <c r="E1059" s="36" t="s">
        <v>1871</v>
      </c>
      <c r="F1059" s="18" t="s">
        <v>711</v>
      </c>
      <c r="G1059" s="18" t="s">
        <v>3765</v>
      </c>
      <c r="H1059" s="25" t="s">
        <v>3097</v>
      </c>
    </row>
    <row r="1060" spans="1:8" ht="18" hidden="1" customHeight="1" outlineLevel="2" x14ac:dyDescent="0.2">
      <c r="A1060" s="18"/>
      <c r="B1060" s="18" t="s">
        <v>352</v>
      </c>
      <c r="C1060" s="18" t="s">
        <v>1861</v>
      </c>
      <c r="D1060" s="18" t="s">
        <v>1872</v>
      </c>
      <c r="E1060" s="36" t="s">
        <v>1873</v>
      </c>
      <c r="F1060" s="18" t="s">
        <v>711</v>
      </c>
      <c r="G1060" s="18" t="s">
        <v>3766</v>
      </c>
      <c r="H1060" s="25" t="s">
        <v>3097</v>
      </c>
    </row>
    <row r="1061" spans="1:8" ht="18" hidden="1" customHeight="1" outlineLevel="2" x14ac:dyDescent="0.2">
      <c r="A1061" s="18"/>
      <c r="B1061" s="18" t="s">
        <v>352</v>
      </c>
      <c r="C1061" s="18" t="s">
        <v>1861</v>
      </c>
      <c r="D1061" s="18" t="s">
        <v>1874</v>
      </c>
      <c r="E1061" s="36" t="s">
        <v>1875</v>
      </c>
      <c r="F1061" s="18" t="s">
        <v>711</v>
      </c>
      <c r="G1061" s="18" t="s">
        <v>3767</v>
      </c>
      <c r="H1061" s="25" t="s">
        <v>3097</v>
      </c>
    </row>
    <row r="1062" spans="1:8" ht="18" hidden="1" customHeight="1" outlineLevel="2" x14ac:dyDescent="0.2">
      <c r="A1062" s="18"/>
      <c r="B1062" s="18" t="s">
        <v>352</v>
      </c>
      <c r="C1062" s="18" t="s">
        <v>1861</v>
      </c>
      <c r="D1062" s="18" t="s">
        <v>1876</v>
      </c>
      <c r="E1062" s="36" t="s">
        <v>1877</v>
      </c>
      <c r="F1062" s="18" t="s">
        <v>711</v>
      </c>
      <c r="G1062" s="18" t="s">
        <v>3768</v>
      </c>
      <c r="H1062" s="25" t="s">
        <v>3097</v>
      </c>
    </row>
    <row r="1063" spans="1:8" ht="18" hidden="1" customHeight="1" outlineLevel="2" x14ac:dyDescent="0.2">
      <c r="A1063" s="18"/>
      <c r="B1063" s="18" t="s">
        <v>352</v>
      </c>
      <c r="C1063" s="18" t="s">
        <v>1861</v>
      </c>
      <c r="D1063" s="18" t="s">
        <v>1878</v>
      </c>
      <c r="E1063" s="36" t="s">
        <v>1879</v>
      </c>
      <c r="F1063" s="18" t="s">
        <v>711</v>
      </c>
      <c r="G1063" s="18" t="s">
        <v>3769</v>
      </c>
      <c r="H1063" s="25" t="s">
        <v>3097</v>
      </c>
    </row>
    <row r="1064" spans="1:8" ht="18" hidden="1" customHeight="1" outlineLevel="2" x14ac:dyDescent="0.2">
      <c r="A1064" s="18"/>
      <c r="B1064" s="18" t="s">
        <v>352</v>
      </c>
      <c r="C1064" s="18" t="s">
        <v>1880</v>
      </c>
      <c r="D1064" s="18" t="s">
        <v>1881</v>
      </c>
      <c r="E1064" s="36" t="s">
        <v>1882</v>
      </c>
      <c r="F1064" s="18" t="s">
        <v>711</v>
      </c>
      <c r="G1064" s="18"/>
      <c r="H1064" s="25" t="s">
        <v>3098</v>
      </c>
    </row>
    <row r="1065" spans="1:8" ht="18" hidden="1" customHeight="1" outlineLevel="2" x14ac:dyDescent="0.2">
      <c r="A1065" s="18"/>
      <c r="B1065" s="18" t="s">
        <v>352</v>
      </c>
      <c r="C1065" s="18" t="s">
        <v>1861</v>
      </c>
      <c r="D1065" s="18" t="s">
        <v>1883</v>
      </c>
      <c r="E1065" s="36" t="s">
        <v>1884</v>
      </c>
      <c r="F1065" s="18" t="s">
        <v>711</v>
      </c>
      <c r="G1065" s="18" t="s">
        <v>1864</v>
      </c>
      <c r="H1065" s="25" t="s">
        <v>3099</v>
      </c>
    </row>
    <row r="1066" spans="1:8" ht="18" hidden="1" customHeight="1" outlineLevel="2" x14ac:dyDescent="0.2">
      <c r="A1066" s="18"/>
      <c r="B1066" s="18" t="s">
        <v>352</v>
      </c>
      <c r="C1066" s="18" t="s">
        <v>1861</v>
      </c>
      <c r="D1066" s="18" t="s">
        <v>1885</v>
      </c>
      <c r="E1066" s="36" t="s">
        <v>1886</v>
      </c>
      <c r="F1066" s="18" t="s">
        <v>711</v>
      </c>
      <c r="G1066" s="18" t="s">
        <v>1864</v>
      </c>
      <c r="H1066" s="25" t="s">
        <v>3099</v>
      </c>
    </row>
    <row r="1067" spans="1:8" ht="18" hidden="1" customHeight="1" outlineLevel="2" x14ac:dyDescent="0.2">
      <c r="A1067" s="18"/>
      <c r="B1067" s="18" t="s">
        <v>352</v>
      </c>
      <c r="C1067" s="18" t="s">
        <v>1861</v>
      </c>
      <c r="D1067" s="18" t="s">
        <v>1887</v>
      </c>
      <c r="E1067" s="36" t="s">
        <v>1888</v>
      </c>
      <c r="F1067" s="18" t="s">
        <v>711</v>
      </c>
      <c r="G1067" s="18" t="s">
        <v>1864</v>
      </c>
      <c r="H1067" s="25" t="s">
        <v>3099</v>
      </c>
    </row>
    <row r="1068" spans="1:8" ht="18" hidden="1" customHeight="1" outlineLevel="2" x14ac:dyDescent="0.2">
      <c r="A1068" s="18"/>
      <c r="B1068" s="18"/>
      <c r="C1068" s="18"/>
      <c r="D1068" s="18"/>
      <c r="E1068" s="36"/>
      <c r="F1068" s="18"/>
      <c r="G1068" s="18"/>
    </row>
    <row r="1069" spans="1:8" ht="18" hidden="1" customHeight="1" outlineLevel="1" x14ac:dyDescent="0.2">
      <c r="A1069" s="119" t="s">
        <v>102</v>
      </c>
      <c r="B1069" s="120"/>
      <c r="C1069" s="120"/>
      <c r="D1069" s="120"/>
      <c r="E1069" s="120"/>
      <c r="F1069" s="120"/>
      <c r="G1069" s="120"/>
      <c r="H1069" s="120"/>
    </row>
    <row r="1070" spans="1:8" ht="18" hidden="1" customHeight="1" outlineLevel="2" x14ac:dyDescent="0.2">
      <c r="A1070" s="25"/>
      <c r="B1070" s="25"/>
      <c r="C1070" s="59" t="s">
        <v>2040</v>
      </c>
      <c r="D1070" s="25" t="s">
        <v>2041</v>
      </c>
      <c r="E1070" s="25" t="s">
        <v>2042</v>
      </c>
      <c r="F1070" s="25"/>
      <c r="G1070" s="25" t="s">
        <v>3842</v>
      </c>
    </row>
    <row r="1071" spans="1:8" ht="18" hidden="1" customHeight="1" outlineLevel="2" x14ac:dyDescent="0.2">
      <c r="A1071" s="25"/>
      <c r="B1071" s="25"/>
      <c r="C1071" s="25" t="s">
        <v>2040</v>
      </c>
      <c r="D1071" s="25" t="s">
        <v>2043</v>
      </c>
      <c r="E1071" s="25" t="s">
        <v>2044</v>
      </c>
      <c r="F1071" s="25"/>
      <c r="G1071" s="25" t="s">
        <v>2045</v>
      </c>
    </row>
    <row r="1072" spans="1:8" ht="18" hidden="1" customHeight="1" outlineLevel="2" x14ac:dyDescent="0.2">
      <c r="A1072" s="25"/>
      <c r="B1072" s="25"/>
      <c r="C1072" s="25" t="s">
        <v>2040</v>
      </c>
      <c r="D1072" s="25" t="s">
        <v>2046</v>
      </c>
      <c r="E1072" s="25" t="s">
        <v>2047</v>
      </c>
      <c r="F1072" s="25"/>
      <c r="G1072" s="25" t="s">
        <v>2048</v>
      </c>
    </row>
    <row r="1073" spans="1:8" ht="18" hidden="1" customHeight="1" outlineLevel="2" x14ac:dyDescent="0.2">
      <c r="A1073" s="25"/>
      <c r="B1073" s="25"/>
      <c r="C1073" s="59" t="s">
        <v>2040</v>
      </c>
      <c r="D1073" s="25" t="s">
        <v>2049</v>
      </c>
      <c r="E1073" s="25" t="s">
        <v>2050</v>
      </c>
      <c r="F1073" s="25"/>
      <c r="G1073" s="25" t="s">
        <v>3843</v>
      </c>
    </row>
    <row r="1074" spans="1:8" ht="18" hidden="1" customHeight="1" outlineLevel="2" x14ac:dyDescent="0.2">
      <c r="A1074" s="25"/>
      <c r="B1074" s="25"/>
      <c r="C1074" s="25" t="s">
        <v>2040</v>
      </c>
      <c r="D1074" s="25" t="s">
        <v>2051</v>
      </c>
      <c r="E1074" s="25" t="s">
        <v>2052</v>
      </c>
      <c r="F1074" s="25"/>
      <c r="G1074" s="25" t="s">
        <v>2053</v>
      </c>
    </row>
    <row r="1075" spans="1:8" ht="18" hidden="1" customHeight="1" outlineLevel="2" x14ac:dyDescent="0.2">
      <c r="A1075" s="25"/>
      <c r="B1075" s="25"/>
      <c r="C1075" s="25" t="s">
        <v>2040</v>
      </c>
      <c r="D1075" s="25" t="s">
        <v>2054</v>
      </c>
      <c r="E1075" s="25"/>
      <c r="F1075" s="25" t="s">
        <v>2055</v>
      </c>
      <c r="G1075" s="25"/>
    </row>
    <row r="1076" spans="1:8" ht="18" hidden="1" customHeight="1" outlineLevel="2" x14ac:dyDescent="0.2">
      <c r="A1076" s="25"/>
      <c r="B1076" s="25"/>
      <c r="C1076" s="25" t="s">
        <v>2040</v>
      </c>
      <c r="D1076" s="25" t="s">
        <v>2056</v>
      </c>
      <c r="E1076" s="25"/>
      <c r="F1076" s="25" t="s">
        <v>2055</v>
      </c>
      <c r="G1076" s="25"/>
    </row>
    <row r="1077" spans="1:8" ht="18" hidden="1" customHeight="1" outlineLevel="2" x14ac:dyDescent="0.2">
      <c r="A1077" s="18"/>
      <c r="B1077" s="18"/>
      <c r="C1077" s="18"/>
      <c r="D1077" s="18"/>
      <c r="E1077" s="36"/>
      <c r="F1077" s="18"/>
      <c r="G1077" s="18"/>
    </row>
    <row r="1078" spans="1:8" ht="18" hidden="1" customHeight="1" outlineLevel="1" x14ac:dyDescent="0.2">
      <c r="A1078" s="119" t="s">
        <v>89</v>
      </c>
      <c r="B1078" s="120"/>
      <c r="C1078" s="120"/>
      <c r="D1078" s="120"/>
      <c r="E1078" s="120"/>
      <c r="F1078" s="120"/>
      <c r="G1078" s="120"/>
      <c r="H1078" s="120"/>
    </row>
    <row r="1079" spans="1:8" ht="18" hidden="1" customHeight="1" outlineLevel="2" x14ac:dyDescent="0.2">
      <c r="A1079" s="18"/>
      <c r="B1079" s="18" t="s">
        <v>352</v>
      </c>
      <c r="C1079" s="18" t="s">
        <v>3748</v>
      </c>
      <c r="D1079" s="18" t="s">
        <v>1889</v>
      </c>
      <c r="E1079" s="36">
        <v>98000</v>
      </c>
      <c r="F1079" s="18" t="s">
        <v>711</v>
      </c>
      <c r="G1079" s="18" t="s">
        <v>3751</v>
      </c>
    </row>
    <row r="1080" spans="1:8" ht="18" hidden="1" customHeight="1" outlineLevel="2" x14ac:dyDescent="0.2">
      <c r="A1080" s="18"/>
      <c r="B1080" s="18" t="s">
        <v>352</v>
      </c>
      <c r="C1080" s="18" t="s">
        <v>3748</v>
      </c>
      <c r="D1080" s="18" t="s">
        <v>1890</v>
      </c>
      <c r="E1080" s="36" t="s">
        <v>1891</v>
      </c>
      <c r="F1080" s="18" t="s">
        <v>711</v>
      </c>
      <c r="G1080" s="18" t="s">
        <v>3750</v>
      </c>
    </row>
    <row r="1081" spans="1:8" ht="18" hidden="1" customHeight="1" outlineLevel="2" x14ac:dyDescent="0.2">
      <c r="A1081" s="18"/>
      <c r="B1081" s="18" t="s">
        <v>352</v>
      </c>
      <c r="C1081" s="18" t="s">
        <v>3748</v>
      </c>
      <c r="D1081" s="18" t="s">
        <v>1892</v>
      </c>
      <c r="E1081" s="36" t="s">
        <v>1893</v>
      </c>
      <c r="F1081" s="18" t="s">
        <v>711</v>
      </c>
      <c r="G1081" s="18" t="s">
        <v>3749</v>
      </c>
    </row>
    <row r="1082" spans="1:8" ht="18" hidden="1" customHeight="1" outlineLevel="2" x14ac:dyDescent="0.2">
      <c r="A1082" s="18"/>
      <c r="B1082" s="18" t="s">
        <v>352</v>
      </c>
      <c r="C1082" s="18" t="s">
        <v>3748</v>
      </c>
      <c r="D1082" s="18" t="s">
        <v>1894</v>
      </c>
      <c r="E1082" s="36" t="s">
        <v>1895</v>
      </c>
      <c r="F1082" s="18" t="s">
        <v>711</v>
      </c>
      <c r="G1082" s="18" t="s">
        <v>3752</v>
      </c>
    </row>
    <row r="1083" spans="1:8" ht="18" hidden="1" customHeight="1" outlineLevel="2" x14ac:dyDescent="0.2">
      <c r="A1083" s="18"/>
      <c r="B1083" s="18" t="s">
        <v>352</v>
      </c>
      <c r="C1083" s="18" t="s">
        <v>3748</v>
      </c>
      <c r="D1083" s="18" t="s">
        <v>1896</v>
      </c>
      <c r="E1083" s="36" t="s">
        <v>1897</v>
      </c>
      <c r="F1083" s="18" t="s">
        <v>711</v>
      </c>
      <c r="G1083" s="18" t="s">
        <v>3753</v>
      </c>
    </row>
    <row r="1084" spans="1:8" ht="18" hidden="1" customHeight="1" outlineLevel="2" x14ac:dyDescent="0.2">
      <c r="A1084" s="18"/>
      <c r="B1084" s="18" t="s">
        <v>352</v>
      </c>
      <c r="C1084" s="18" t="s">
        <v>3748</v>
      </c>
      <c r="D1084" s="18" t="s">
        <v>1898</v>
      </c>
      <c r="E1084" s="36" t="s">
        <v>1899</v>
      </c>
      <c r="F1084" s="18" t="s">
        <v>711</v>
      </c>
      <c r="G1084" s="18" t="s">
        <v>3754</v>
      </c>
    </row>
    <row r="1085" spans="1:8" ht="18" hidden="1" customHeight="1" outlineLevel="2" x14ac:dyDescent="0.2">
      <c r="A1085" s="18"/>
      <c r="B1085" s="18" t="s">
        <v>352</v>
      </c>
      <c r="C1085" s="18" t="s">
        <v>3748</v>
      </c>
      <c r="D1085" s="18" t="s">
        <v>1900</v>
      </c>
      <c r="E1085" s="36" t="s">
        <v>1901</v>
      </c>
      <c r="F1085" s="18" t="s">
        <v>711</v>
      </c>
      <c r="G1085" s="18" t="s">
        <v>3755</v>
      </c>
    </row>
    <row r="1086" spans="1:8" ht="18" hidden="1" customHeight="1" outlineLevel="2" x14ac:dyDescent="0.2">
      <c r="A1086" s="18"/>
      <c r="B1086" s="18" t="s">
        <v>352</v>
      </c>
      <c r="C1086" s="18" t="s">
        <v>3748</v>
      </c>
      <c r="D1086" s="18" t="s">
        <v>1902</v>
      </c>
      <c r="E1086" s="36" t="s">
        <v>1903</v>
      </c>
      <c r="F1086" s="18" t="s">
        <v>711</v>
      </c>
      <c r="G1086" s="18" t="s">
        <v>3756</v>
      </c>
    </row>
    <row r="1087" spans="1:8" ht="18" hidden="1" customHeight="1" outlineLevel="2" x14ac:dyDescent="0.2">
      <c r="A1087" s="18"/>
      <c r="B1087" s="18"/>
      <c r="C1087" s="18"/>
      <c r="D1087" s="18"/>
      <c r="E1087" s="36"/>
      <c r="F1087" s="18"/>
      <c r="G1087" s="18"/>
    </row>
    <row r="1088" spans="1:8" ht="18" hidden="1" customHeight="1" outlineLevel="2" x14ac:dyDescent="0.2">
      <c r="A1088" s="18"/>
      <c r="B1088" s="18" t="s">
        <v>352</v>
      </c>
      <c r="C1088" s="18" t="s">
        <v>3748</v>
      </c>
      <c r="D1088" s="18" t="s">
        <v>1904</v>
      </c>
      <c r="E1088" s="36" t="s">
        <v>1905</v>
      </c>
      <c r="F1088" s="18" t="s">
        <v>711</v>
      </c>
      <c r="G1088" s="18" t="s">
        <v>3770</v>
      </c>
    </row>
    <row r="1089" spans="1:10" ht="18" hidden="1" customHeight="1" outlineLevel="2" x14ac:dyDescent="0.2">
      <c r="A1089" s="18"/>
      <c r="B1089" s="18" t="s">
        <v>3331</v>
      </c>
      <c r="C1089" s="18" t="s">
        <v>3748</v>
      </c>
      <c r="D1089" s="18" t="s">
        <v>1906</v>
      </c>
      <c r="E1089" s="36" t="s">
        <v>1907</v>
      </c>
      <c r="F1089" s="18" t="s">
        <v>711</v>
      </c>
      <c r="G1089" s="18" t="s">
        <v>3771</v>
      </c>
    </row>
    <row r="1090" spans="1:10" ht="18" hidden="1" customHeight="1" outlineLevel="2" x14ac:dyDescent="0.2">
      <c r="A1090" s="18"/>
      <c r="B1090" s="18" t="s">
        <v>3332</v>
      </c>
      <c r="C1090" s="33" t="s">
        <v>3748</v>
      </c>
      <c r="D1090" s="18" t="s">
        <v>1908</v>
      </c>
      <c r="E1090" s="36" t="s">
        <v>1909</v>
      </c>
      <c r="F1090" s="18" t="s">
        <v>711</v>
      </c>
      <c r="G1090" s="18" t="s">
        <v>3772</v>
      </c>
    </row>
    <row r="1091" spans="1:10" ht="18" hidden="1" customHeight="1" outlineLevel="2" x14ac:dyDescent="0.2">
      <c r="A1091" s="18"/>
      <c r="B1091" s="18" t="s">
        <v>3333</v>
      </c>
      <c r="C1091" s="33" t="s">
        <v>3748</v>
      </c>
      <c r="D1091" s="18" t="s">
        <v>1910</v>
      </c>
      <c r="E1091" s="36" t="s">
        <v>1911</v>
      </c>
      <c r="F1091" s="18" t="s">
        <v>711</v>
      </c>
      <c r="G1091" s="18" t="s">
        <v>3773</v>
      </c>
    </row>
    <row r="1092" spans="1:10" ht="18" hidden="1" customHeight="1" outlineLevel="2" x14ac:dyDescent="0.2">
      <c r="A1092" s="18"/>
      <c r="B1092" s="18" t="s">
        <v>3334</v>
      </c>
      <c r="C1092" s="33" t="s">
        <v>3748</v>
      </c>
      <c r="D1092" s="18" t="s">
        <v>1912</v>
      </c>
      <c r="E1092" s="36" t="s">
        <v>1913</v>
      </c>
      <c r="F1092" s="18" t="s">
        <v>711</v>
      </c>
      <c r="G1092" s="18" t="s">
        <v>3774</v>
      </c>
    </row>
    <row r="1093" spans="1:10" ht="18" hidden="1" customHeight="1" outlineLevel="2" x14ac:dyDescent="0.2">
      <c r="A1093" s="18"/>
      <c r="B1093" s="18" t="s">
        <v>3335</v>
      </c>
      <c r="C1093" s="33" t="s">
        <v>3748</v>
      </c>
      <c r="D1093" s="18" t="s">
        <v>1914</v>
      </c>
      <c r="E1093" s="36" t="s">
        <v>1915</v>
      </c>
      <c r="F1093" s="18" t="s">
        <v>711</v>
      </c>
      <c r="G1093" s="18" t="s">
        <v>3775</v>
      </c>
    </row>
    <row r="1094" spans="1:10" ht="18" hidden="1" customHeight="1" outlineLevel="2" x14ac:dyDescent="0.2">
      <c r="A1094" s="18"/>
      <c r="B1094" s="18" t="s">
        <v>352</v>
      </c>
      <c r="C1094" s="18" t="s">
        <v>3748</v>
      </c>
      <c r="D1094" s="18" t="s">
        <v>1916</v>
      </c>
      <c r="E1094" s="36" t="s">
        <v>1917</v>
      </c>
      <c r="F1094" s="18" t="s">
        <v>711</v>
      </c>
      <c r="G1094" s="18" t="s">
        <v>3776</v>
      </c>
    </row>
    <row r="1095" spans="1:10" ht="18" hidden="1" customHeight="1" outlineLevel="2" x14ac:dyDescent="0.2">
      <c r="A1095" s="18"/>
      <c r="B1095" s="18" t="s">
        <v>352</v>
      </c>
      <c r="C1095" s="18" t="s">
        <v>3748</v>
      </c>
      <c r="D1095" s="18" t="s">
        <v>1918</v>
      </c>
      <c r="E1095" s="36" t="s">
        <v>1919</v>
      </c>
      <c r="F1095" s="18" t="s">
        <v>711</v>
      </c>
      <c r="G1095" s="18" t="s">
        <v>3777</v>
      </c>
    </row>
    <row r="1096" spans="1:10" ht="18" hidden="1" customHeight="1" outlineLevel="2" x14ac:dyDescent="0.2">
      <c r="A1096" s="18"/>
      <c r="B1096" s="18"/>
      <c r="C1096" s="18"/>
      <c r="D1096" s="18"/>
      <c r="E1096" s="36"/>
      <c r="F1096" s="18"/>
      <c r="G1096" s="18"/>
    </row>
    <row r="1097" spans="1:10" ht="18" hidden="1" customHeight="1" outlineLevel="1" x14ac:dyDescent="0.2">
      <c r="A1097" s="119" t="s">
        <v>90</v>
      </c>
      <c r="B1097" s="120"/>
      <c r="C1097" s="120"/>
      <c r="D1097" s="120"/>
      <c r="E1097" s="120"/>
      <c r="F1097" s="120"/>
      <c r="G1097" s="120"/>
      <c r="H1097" s="120"/>
    </row>
    <row r="1098" spans="1:10" ht="18" hidden="1" customHeight="1" outlineLevel="2" x14ac:dyDescent="0.2">
      <c r="A1098" s="18"/>
      <c r="B1098" s="18" t="s">
        <v>352</v>
      </c>
      <c r="C1098" s="19" t="s">
        <v>4200</v>
      </c>
      <c r="D1098" s="18"/>
      <c r="E1098" s="36" t="s">
        <v>1920</v>
      </c>
      <c r="F1098" s="18" t="s">
        <v>1921</v>
      </c>
      <c r="G1098" s="18" t="s">
        <v>1922</v>
      </c>
      <c r="H1098" s="25" t="s">
        <v>3100</v>
      </c>
    </row>
    <row r="1099" spans="1:10" ht="18" hidden="1" customHeight="1" outlineLevel="2" x14ac:dyDescent="0.2">
      <c r="A1099" s="18"/>
      <c r="B1099" s="18" t="s">
        <v>352</v>
      </c>
      <c r="C1099" s="33" t="s">
        <v>1727</v>
      </c>
      <c r="D1099" s="18" t="s">
        <v>708</v>
      </c>
      <c r="E1099" s="36" t="s">
        <v>1728</v>
      </c>
      <c r="F1099" s="18" t="s">
        <v>1729</v>
      </c>
      <c r="G1099" s="18" t="s">
        <v>710</v>
      </c>
    </row>
    <row r="1100" spans="1:10" ht="18" hidden="1" customHeight="1" outlineLevel="2" x14ac:dyDescent="0.2">
      <c r="A1100" s="18"/>
      <c r="B1100" s="18" t="s">
        <v>3318</v>
      </c>
      <c r="C1100" s="33" t="s">
        <v>1727</v>
      </c>
      <c r="D1100" s="18" t="s">
        <v>1730</v>
      </c>
      <c r="E1100" s="36"/>
      <c r="F1100" s="18"/>
      <c r="G1100" s="18" t="s">
        <v>710</v>
      </c>
    </row>
    <row r="1101" spans="1:10" ht="18" hidden="1" customHeight="1" outlineLevel="2" x14ac:dyDescent="0.2">
      <c r="A1101" s="18"/>
      <c r="B1101" s="18"/>
      <c r="C1101" s="18"/>
      <c r="D1101" s="18"/>
      <c r="E1101" s="36"/>
      <c r="F1101" s="18"/>
      <c r="G1101" s="18"/>
      <c r="J1101" s="21"/>
    </row>
    <row r="1102" spans="1:10" ht="18" customHeight="1" collapsed="1" x14ac:dyDescent="0.2">
      <c r="A1102" s="131" t="s">
        <v>3822</v>
      </c>
      <c r="B1102" s="132" t="s">
        <v>3336</v>
      </c>
      <c r="C1102" s="132"/>
      <c r="D1102" s="132"/>
      <c r="E1102" s="132"/>
      <c r="F1102" s="132"/>
      <c r="G1102" s="132"/>
      <c r="H1102" s="132"/>
    </row>
    <row r="1103" spans="1:10" ht="18" hidden="1" customHeight="1" outlineLevel="1" x14ac:dyDescent="0.2">
      <c r="A1103" s="119" t="s">
        <v>92</v>
      </c>
      <c r="B1103" s="120"/>
      <c r="C1103" s="120"/>
      <c r="D1103" s="120"/>
      <c r="E1103" s="120"/>
      <c r="F1103" s="120"/>
      <c r="G1103" s="120"/>
      <c r="H1103" s="120"/>
    </row>
    <row r="1104" spans="1:10" ht="18" hidden="1" customHeight="1" outlineLevel="2" x14ac:dyDescent="0.2">
      <c r="A1104" s="25"/>
      <c r="B1104" s="25" t="s">
        <v>3337</v>
      </c>
      <c r="C1104" s="37" t="s">
        <v>1923</v>
      </c>
      <c r="D1104" s="25" t="s">
        <v>1924</v>
      </c>
      <c r="E1104" s="25" t="s">
        <v>1925</v>
      </c>
      <c r="F1104" s="65" t="s">
        <v>1926</v>
      </c>
      <c r="G1104" s="25" t="s">
        <v>3830</v>
      </c>
      <c r="H1104" s="25" t="s">
        <v>350</v>
      </c>
    </row>
    <row r="1105" spans="1:8" ht="18" hidden="1" customHeight="1" outlineLevel="2" x14ac:dyDescent="0.2">
      <c r="A1105" s="25"/>
      <c r="B1105" s="25" t="s">
        <v>3338</v>
      </c>
      <c r="C1105" s="37" t="s">
        <v>1923</v>
      </c>
      <c r="D1105" s="25" t="s">
        <v>1927</v>
      </c>
      <c r="E1105" s="25" t="s">
        <v>1928</v>
      </c>
      <c r="F1105" s="65" t="s">
        <v>1926</v>
      </c>
      <c r="G1105" s="25" t="s">
        <v>3831</v>
      </c>
      <c r="H1105" s="25" t="s">
        <v>350</v>
      </c>
    </row>
    <row r="1106" spans="1:8" ht="18" hidden="1" customHeight="1" outlineLevel="2" x14ac:dyDescent="0.2">
      <c r="A1106" s="25"/>
      <c r="B1106" s="25" t="s">
        <v>3339</v>
      </c>
      <c r="C1106" s="37" t="s">
        <v>1923</v>
      </c>
      <c r="D1106" s="25" t="s">
        <v>1929</v>
      </c>
      <c r="E1106" s="25" t="s">
        <v>1930</v>
      </c>
      <c r="F1106" s="65" t="s">
        <v>1926</v>
      </c>
      <c r="G1106" s="25" t="s">
        <v>3832</v>
      </c>
      <c r="H1106" s="25" t="s">
        <v>350</v>
      </c>
    </row>
    <row r="1107" spans="1:8" ht="18" hidden="1" customHeight="1" outlineLevel="2" x14ac:dyDescent="0.2">
      <c r="A1107" s="25"/>
      <c r="B1107" s="25" t="s">
        <v>3340</v>
      </c>
      <c r="C1107" s="25" t="s">
        <v>1923</v>
      </c>
      <c r="D1107" s="25" t="s">
        <v>1931</v>
      </c>
      <c r="E1107" s="25" t="s">
        <v>1932</v>
      </c>
      <c r="F1107" s="65" t="s">
        <v>1933</v>
      </c>
      <c r="G1107" s="25"/>
    </row>
    <row r="1108" spans="1:8" ht="18" hidden="1" customHeight="1" outlineLevel="2" x14ac:dyDescent="0.2">
      <c r="A1108" s="25"/>
      <c r="B1108" s="25" t="s">
        <v>3341</v>
      </c>
      <c r="C1108" s="25" t="s">
        <v>1923</v>
      </c>
      <c r="D1108" s="25" t="s">
        <v>1934</v>
      </c>
      <c r="E1108" s="25" t="s">
        <v>1935</v>
      </c>
      <c r="F1108" s="65" t="s">
        <v>1933</v>
      </c>
      <c r="G1108" s="25"/>
    </row>
    <row r="1109" spans="1:8" ht="18" hidden="1" customHeight="1" outlineLevel="2" x14ac:dyDescent="0.2">
      <c r="A1109" s="25"/>
      <c r="B1109" s="25"/>
      <c r="C1109" s="25"/>
      <c r="D1109" s="25"/>
      <c r="E1109" s="25"/>
      <c r="F1109" s="25"/>
      <c r="G1109" s="25"/>
    </row>
    <row r="1110" spans="1:8" ht="18" hidden="1" customHeight="1" outlineLevel="2" x14ac:dyDescent="0.2">
      <c r="A1110" s="25"/>
      <c r="B1110" s="25" t="s">
        <v>3342</v>
      </c>
      <c r="C1110" s="37" t="s">
        <v>1923</v>
      </c>
      <c r="D1110" s="25" t="s">
        <v>1936</v>
      </c>
      <c r="E1110" s="25" t="s">
        <v>1930</v>
      </c>
      <c r="F1110" s="65" t="s">
        <v>1926</v>
      </c>
      <c r="G1110" s="25" t="s">
        <v>3833</v>
      </c>
    </row>
    <row r="1111" spans="1:8" ht="18" hidden="1" customHeight="1" outlineLevel="2" x14ac:dyDescent="0.2">
      <c r="A1111" s="25"/>
      <c r="B1111" s="25" t="s">
        <v>3343</v>
      </c>
      <c r="C1111" s="37" t="s">
        <v>1923</v>
      </c>
      <c r="D1111" s="25" t="s">
        <v>1937</v>
      </c>
      <c r="E1111" s="25" t="s">
        <v>1938</v>
      </c>
      <c r="F1111" s="65" t="s">
        <v>1933</v>
      </c>
    </row>
    <row r="1112" spans="1:8" ht="18" hidden="1" customHeight="1" outlineLevel="2" x14ac:dyDescent="0.2">
      <c r="A1112" s="25"/>
      <c r="B1112" s="25" t="s">
        <v>3344</v>
      </c>
      <c r="C1112" s="37" t="s">
        <v>1923</v>
      </c>
      <c r="D1112" s="25" t="s">
        <v>1939</v>
      </c>
      <c r="E1112" s="25" t="s">
        <v>1940</v>
      </c>
      <c r="F1112" s="65" t="s">
        <v>1933</v>
      </c>
      <c r="G1112" s="25" t="s">
        <v>3833</v>
      </c>
    </row>
    <row r="1113" spans="1:8" ht="18" hidden="1" customHeight="1" outlineLevel="2" x14ac:dyDescent="0.2">
      <c r="A1113" s="25"/>
      <c r="B1113" s="25" t="s">
        <v>3345</v>
      </c>
      <c r="C1113" s="25" t="s">
        <v>1923</v>
      </c>
      <c r="D1113" s="25" t="s">
        <v>1941</v>
      </c>
      <c r="E1113" s="25" t="s">
        <v>1942</v>
      </c>
      <c r="F1113" s="65" t="s">
        <v>1933</v>
      </c>
      <c r="G1113" s="25"/>
    </row>
    <row r="1114" spans="1:8" ht="18" hidden="1" customHeight="1" outlineLevel="2" x14ac:dyDescent="0.2">
      <c r="A1114" s="25"/>
      <c r="B1114" s="25"/>
      <c r="C1114" s="25"/>
      <c r="D1114" s="25"/>
      <c r="E1114" s="25"/>
      <c r="F1114" s="25"/>
      <c r="G1114" s="25"/>
    </row>
    <row r="1115" spans="1:8" ht="18" hidden="1" customHeight="1" outlineLevel="2" x14ac:dyDescent="0.2">
      <c r="A1115" s="25"/>
      <c r="B1115" s="25" t="s">
        <v>3346</v>
      </c>
      <c r="C1115" s="59" t="s">
        <v>1923</v>
      </c>
      <c r="D1115" s="25" t="s">
        <v>1943</v>
      </c>
      <c r="E1115" s="25" t="s">
        <v>1940</v>
      </c>
      <c r="F1115" s="65" t="s">
        <v>1933</v>
      </c>
    </row>
    <row r="1116" spans="1:8" ht="18" hidden="1" customHeight="1" outlineLevel="2" x14ac:dyDescent="0.2">
      <c r="A1116" s="25"/>
      <c r="B1116" s="25" t="s">
        <v>352</v>
      </c>
      <c r="C1116" s="25" t="s">
        <v>1923</v>
      </c>
      <c r="D1116" s="25" t="s">
        <v>1944</v>
      </c>
      <c r="E1116" s="25" t="s">
        <v>1945</v>
      </c>
      <c r="F1116" s="65" t="s">
        <v>1933</v>
      </c>
    </row>
    <row r="1117" spans="1:8" ht="18" hidden="1" customHeight="1" outlineLevel="2" x14ac:dyDescent="0.2">
      <c r="A1117" s="25"/>
      <c r="B1117" s="25" t="s">
        <v>3347</v>
      </c>
      <c r="C1117" s="59" t="s">
        <v>1923</v>
      </c>
      <c r="D1117" s="25" t="s">
        <v>1946</v>
      </c>
      <c r="E1117" s="25" t="s">
        <v>1947</v>
      </c>
      <c r="F1117" s="65" t="s">
        <v>1933</v>
      </c>
    </row>
    <row r="1118" spans="1:8" ht="18" hidden="1" customHeight="1" outlineLevel="2" x14ac:dyDescent="0.2">
      <c r="A1118" s="25"/>
      <c r="B1118" s="25" t="s">
        <v>3348</v>
      </c>
      <c r="C1118" s="59" t="s">
        <v>1923</v>
      </c>
      <c r="D1118" s="25" t="s">
        <v>1948</v>
      </c>
      <c r="E1118" s="25" t="s">
        <v>1942</v>
      </c>
      <c r="F1118" s="65" t="s">
        <v>1933</v>
      </c>
    </row>
    <row r="1119" spans="1:8" ht="18" hidden="1" customHeight="1" outlineLevel="2" x14ac:dyDescent="0.2">
      <c r="A1119" s="25"/>
      <c r="B1119" s="25" t="s">
        <v>3349</v>
      </c>
      <c r="C1119" s="25" t="s">
        <v>1923</v>
      </c>
      <c r="D1119" s="25" t="s">
        <v>1949</v>
      </c>
      <c r="E1119" s="25" t="s">
        <v>1947</v>
      </c>
      <c r="F1119" s="65" t="s">
        <v>1933</v>
      </c>
    </row>
    <row r="1120" spans="1:8" ht="18" hidden="1" customHeight="1" outlineLevel="2" x14ac:dyDescent="0.2">
      <c r="A1120" s="25"/>
      <c r="B1120" s="25" t="s">
        <v>3350</v>
      </c>
      <c r="C1120" s="59" t="s">
        <v>1923</v>
      </c>
      <c r="D1120" s="25" t="s">
        <v>1950</v>
      </c>
      <c r="E1120" s="25" t="s">
        <v>1935</v>
      </c>
      <c r="F1120" s="65" t="s">
        <v>1933</v>
      </c>
    </row>
    <row r="1121" spans="1:8" ht="18" hidden="1" customHeight="1" outlineLevel="2" x14ac:dyDescent="0.2">
      <c r="A1121" s="25"/>
      <c r="B1121" s="25" t="s">
        <v>352</v>
      </c>
      <c r="C1121" s="25" t="s">
        <v>1923</v>
      </c>
      <c r="D1121" s="25" t="s">
        <v>1951</v>
      </c>
      <c r="E1121" s="25" t="s">
        <v>1952</v>
      </c>
      <c r="F1121" s="65" t="s">
        <v>1953</v>
      </c>
    </row>
    <row r="1122" spans="1:8" ht="18" hidden="1" customHeight="1" outlineLevel="2" x14ac:dyDescent="0.2">
      <c r="A1122" s="25"/>
      <c r="B1122" s="25" t="s">
        <v>3351</v>
      </c>
      <c r="C1122" s="25" t="s">
        <v>1923</v>
      </c>
      <c r="D1122" s="25" t="s">
        <v>1954</v>
      </c>
      <c r="E1122" s="25" t="s">
        <v>1955</v>
      </c>
      <c r="F1122" s="65" t="s">
        <v>1953</v>
      </c>
    </row>
    <row r="1123" spans="1:8" ht="18" hidden="1" customHeight="1" outlineLevel="2" x14ac:dyDescent="0.2">
      <c r="A1123" s="25"/>
      <c r="B1123" s="25" t="s">
        <v>352</v>
      </c>
      <c r="C1123" s="25" t="s">
        <v>1923</v>
      </c>
      <c r="D1123" s="25" t="s">
        <v>1956</v>
      </c>
      <c r="E1123" s="25" t="s">
        <v>1957</v>
      </c>
      <c r="F1123" s="65" t="s">
        <v>1953</v>
      </c>
    </row>
    <row r="1124" spans="1:8" ht="18" hidden="1" customHeight="1" outlineLevel="2" x14ac:dyDescent="0.2">
      <c r="A1124" s="25"/>
      <c r="B1124" s="25" t="s">
        <v>352</v>
      </c>
      <c r="C1124" s="25" t="s">
        <v>1923</v>
      </c>
      <c r="D1124" s="25" t="s">
        <v>1958</v>
      </c>
      <c r="E1124" s="25" t="s">
        <v>1959</v>
      </c>
      <c r="F1124" s="65" t="s">
        <v>1953</v>
      </c>
    </row>
    <row r="1125" spans="1:8" ht="18" hidden="1" customHeight="1" outlineLevel="2" x14ac:dyDescent="0.2">
      <c r="A1125" s="25"/>
      <c r="B1125" s="25" t="s">
        <v>352</v>
      </c>
      <c r="C1125" s="25" t="s">
        <v>1923</v>
      </c>
      <c r="D1125" s="25" t="s">
        <v>1960</v>
      </c>
      <c r="E1125" s="25" t="s">
        <v>1961</v>
      </c>
      <c r="F1125" s="65" t="s">
        <v>1962</v>
      </c>
    </row>
    <row r="1126" spans="1:8" ht="18" hidden="1" customHeight="1" outlineLevel="2" x14ac:dyDescent="0.2">
      <c r="A1126" s="25"/>
      <c r="B1126" s="25" t="s">
        <v>352</v>
      </c>
      <c r="C1126" s="25" t="s">
        <v>1923</v>
      </c>
      <c r="D1126" s="25" t="s">
        <v>1972</v>
      </c>
      <c r="E1126" s="25" t="s">
        <v>1973</v>
      </c>
      <c r="F1126" s="65" t="s">
        <v>1974</v>
      </c>
    </row>
    <row r="1127" spans="1:8" ht="18" hidden="1" customHeight="1" outlineLevel="2" x14ac:dyDescent="0.2">
      <c r="A1127" s="25"/>
      <c r="B1127" s="25" t="s">
        <v>352</v>
      </c>
      <c r="C1127" s="25" t="s">
        <v>1923</v>
      </c>
      <c r="D1127" s="25" t="s">
        <v>1975</v>
      </c>
      <c r="E1127" s="25" t="s">
        <v>1932</v>
      </c>
      <c r="F1127" s="65" t="s">
        <v>1933</v>
      </c>
    </row>
    <row r="1128" spans="1:8" ht="18" hidden="1" customHeight="1" outlineLevel="2" x14ac:dyDescent="0.2">
      <c r="A1128" s="25"/>
      <c r="B1128" s="25" t="s">
        <v>352</v>
      </c>
      <c r="C1128" s="25" t="s">
        <v>1923</v>
      </c>
      <c r="D1128" s="25" t="s">
        <v>1976</v>
      </c>
      <c r="E1128" s="25" t="s">
        <v>1942</v>
      </c>
      <c r="F1128" s="65" t="s">
        <v>1933</v>
      </c>
    </row>
    <row r="1129" spans="1:8" ht="18" hidden="1" customHeight="1" outlineLevel="2" x14ac:dyDescent="0.2">
      <c r="A1129" s="25"/>
      <c r="B1129" s="25" t="s">
        <v>352</v>
      </c>
      <c r="C1129" s="25" t="s">
        <v>1923</v>
      </c>
      <c r="D1129" s="25" t="s">
        <v>1977</v>
      </c>
      <c r="E1129" s="25" t="s">
        <v>1935</v>
      </c>
      <c r="F1129" s="65" t="s">
        <v>1933</v>
      </c>
    </row>
    <row r="1130" spans="1:8" ht="18" hidden="1" customHeight="1" outlineLevel="2" x14ac:dyDescent="0.2">
      <c r="A1130" s="25"/>
      <c r="B1130" s="25" t="s">
        <v>352</v>
      </c>
      <c r="C1130" s="25" t="s">
        <v>1923</v>
      </c>
      <c r="D1130" s="25" t="s">
        <v>1978</v>
      </c>
      <c r="E1130" s="25" t="s">
        <v>1979</v>
      </c>
      <c r="F1130" s="65" t="s">
        <v>1953</v>
      </c>
    </row>
    <row r="1131" spans="1:8" ht="18" hidden="1" customHeight="1" outlineLevel="2" x14ac:dyDescent="0.2">
      <c r="A1131" s="25"/>
      <c r="B1131" s="25"/>
      <c r="C1131" s="25"/>
      <c r="D1131" s="25"/>
      <c r="E1131" s="25"/>
      <c r="F1131" s="25"/>
      <c r="G1131" s="25"/>
    </row>
    <row r="1132" spans="1:8" ht="18" hidden="1" customHeight="1" outlineLevel="1" x14ac:dyDescent="0.2">
      <c r="A1132" s="119" t="s">
        <v>3823</v>
      </c>
      <c r="B1132" s="120"/>
      <c r="C1132" s="120"/>
      <c r="D1132" s="120"/>
      <c r="E1132" s="120"/>
      <c r="F1132" s="120"/>
      <c r="G1132" s="120"/>
      <c r="H1132" s="120"/>
    </row>
    <row r="1133" spans="1:8" ht="18" hidden="1" customHeight="1" outlineLevel="2" x14ac:dyDescent="0.2">
      <c r="A1133" s="25"/>
      <c r="B1133" s="25" t="s">
        <v>352</v>
      </c>
      <c r="C1133" s="25" t="s">
        <v>1990</v>
      </c>
      <c r="D1133" s="25" t="s">
        <v>1991</v>
      </c>
      <c r="E1133" s="25" t="s">
        <v>1992</v>
      </c>
      <c r="F1133" s="11" t="s">
        <v>1926</v>
      </c>
      <c r="G1133" s="25" t="s">
        <v>3825</v>
      </c>
    </row>
    <row r="1134" spans="1:8" ht="18" hidden="1" customHeight="1" outlineLevel="2" x14ac:dyDescent="0.2">
      <c r="A1134" s="25"/>
      <c r="B1134" s="25" t="s">
        <v>352</v>
      </c>
      <c r="C1134" s="25" t="s">
        <v>1990</v>
      </c>
      <c r="D1134" s="25" t="s">
        <v>1993</v>
      </c>
      <c r="E1134" s="25" t="s">
        <v>1994</v>
      </c>
      <c r="F1134" s="11" t="s">
        <v>1926</v>
      </c>
      <c r="G1134" s="25" t="s">
        <v>3824</v>
      </c>
    </row>
    <row r="1135" spans="1:8" ht="18" hidden="1" customHeight="1" outlineLevel="2" x14ac:dyDescent="0.2">
      <c r="A1135" s="25"/>
      <c r="B1135" s="25" t="s">
        <v>352</v>
      </c>
      <c r="C1135" s="25" t="s">
        <v>1990</v>
      </c>
      <c r="D1135" s="25" t="s">
        <v>1995</v>
      </c>
      <c r="E1135" s="25" t="s">
        <v>1996</v>
      </c>
      <c r="F1135" s="11" t="s">
        <v>1926</v>
      </c>
      <c r="G1135" s="25" t="s">
        <v>3825</v>
      </c>
    </row>
    <row r="1136" spans="1:8" ht="18" hidden="1" customHeight="1" outlineLevel="2" x14ac:dyDescent="0.2">
      <c r="A1136" s="25"/>
      <c r="B1136" s="25" t="s">
        <v>352</v>
      </c>
      <c r="C1136" s="25" t="s">
        <v>1990</v>
      </c>
      <c r="D1136" s="25" t="s">
        <v>1997</v>
      </c>
      <c r="E1136" s="25" t="s">
        <v>1998</v>
      </c>
      <c r="F1136" s="11" t="s">
        <v>1926</v>
      </c>
      <c r="G1136" s="25" t="s">
        <v>3825</v>
      </c>
    </row>
    <row r="1137" spans="1:7" ht="18" hidden="1" customHeight="1" outlineLevel="2" x14ac:dyDescent="0.2">
      <c r="A1137" s="25"/>
      <c r="B1137" s="25" t="s">
        <v>352</v>
      </c>
      <c r="C1137" s="25" t="s">
        <v>1990</v>
      </c>
      <c r="D1137" s="25" t="s">
        <v>1999</v>
      </c>
      <c r="E1137" s="25" t="s">
        <v>2000</v>
      </c>
      <c r="F1137" s="11" t="s">
        <v>1926</v>
      </c>
      <c r="G1137" s="25" t="s">
        <v>3825</v>
      </c>
    </row>
    <row r="1138" spans="1:7" ht="18" hidden="1" customHeight="1" outlineLevel="2" x14ac:dyDescent="0.2">
      <c r="A1138" s="25"/>
      <c r="B1138" s="25" t="s">
        <v>352</v>
      </c>
      <c r="C1138" s="25" t="s">
        <v>1990</v>
      </c>
      <c r="D1138" s="25" t="s">
        <v>2001</v>
      </c>
      <c r="E1138" s="25" t="s">
        <v>1938</v>
      </c>
      <c r="F1138" s="11" t="s">
        <v>1933</v>
      </c>
      <c r="G1138" s="25" t="s">
        <v>3826</v>
      </c>
    </row>
    <row r="1139" spans="1:7" ht="18" hidden="1" customHeight="1" outlineLevel="2" x14ac:dyDescent="0.2">
      <c r="A1139" s="25"/>
      <c r="B1139" s="25" t="s">
        <v>352</v>
      </c>
      <c r="C1139" s="59" t="s">
        <v>1990</v>
      </c>
      <c r="D1139" s="25" t="s">
        <v>2002</v>
      </c>
      <c r="E1139" s="25" t="s">
        <v>2003</v>
      </c>
      <c r="F1139" s="11" t="s">
        <v>1926</v>
      </c>
      <c r="G1139" s="25" t="s">
        <v>3825</v>
      </c>
    </row>
    <row r="1140" spans="1:7" ht="18" hidden="1" customHeight="1" outlineLevel="2" x14ac:dyDescent="0.2">
      <c r="A1140" s="25"/>
      <c r="B1140" s="25" t="s">
        <v>352</v>
      </c>
      <c r="C1140" s="59" t="s">
        <v>1990</v>
      </c>
      <c r="D1140" s="25" t="s">
        <v>2004</v>
      </c>
      <c r="E1140" s="25" t="s">
        <v>3827</v>
      </c>
      <c r="F1140" s="11"/>
      <c r="G1140" s="25" t="s">
        <v>3060</v>
      </c>
    </row>
    <row r="1141" spans="1:7" ht="18" hidden="1" customHeight="1" outlineLevel="2" x14ac:dyDescent="0.2">
      <c r="A1141" s="25"/>
      <c r="B1141" s="25" t="s">
        <v>352</v>
      </c>
      <c r="C1141" s="25" t="s">
        <v>1990</v>
      </c>
      <c r="D1141" s="25" t="s">
        <v>2005</v>
      </c>
      <c r="E1141" s="25" t="s">
        <v>2006</v>
      </c>
      <c r="F1141" s="11" t="s">
        <v>1926</v>
      </c>
      <c r="G1141" s="25" t="s">
        <v>3825</v>
      </c>
    </row>
    <row r="1142" spans="1:7" ht="18" hidden="1" customHeight="1" outlineLevel="2" x14ac:dyDescent="0.2">
      <c r="A1142" s="25"/>
      <c r="B1142" s="25"/>
      <c r="C1142" s="25"/>
      <c r="D1142" s="25"/>
      <c r="E1142" s="25"/>
      <c r="F1142" s="25"/>
      <c r="G1142" s="25"/>
    </row>
    <row r="1143" spans="1:7" ht="18" hidden="1" customHeight="1" outlineLevel="2" x14ac:dyDescent="0.2">
      <c r="A1143" s="25"/>
      <c r="B1143" s="25" t="s">
        <v>352</v>
      </c>
      <c r="C1143" s="25" t="s">
        <v>2027</v>
      </c>
      <c r="D1143" s="25" t="s">
        <v>2028</v>
      </c>
      <c r="E1143" s="25" t="s">
        <v>1925</v>
      </c>
      <c r="F1143" s="11" t="s">
        <v>1926</v>
      </c>
      <c r="G1143" s="25" t="s">
        <v>3829</v>
      </c>
    </row>
    <row r="1144" spans="1:7" ht="18" hidden="1" customHeight="1" outlineLevel="2" x14ac:dyDescent="0.2">
      <c r="A1144" s="25"/>
      <c r="B1144" s="25" t="s">
        <v>352</v>
      </c>
      <c r="C1144" s="25" t="s">
        <v>2027</v>
      </c>
      <c r="D1144" s="25" t="s">
        <v>2029</v>
      </c>
      <c r="E1144" s="25" t="s">
        <v>2030</v>
      </c>
      <c r="F1144" s="11" t="s">
        <v>1933</v>
      </c>
      <c r="G1144" s="25" t="s">
        <v>3829</v>
      </c>
    </row>
    <row r="1145" spans="1:7" ht="18" hidden="1" customHeight="1" outlineLevel="2" x14ac:dyDescent="0.2">
      <c r="A1145" s="25"/>
      <c r="B1145" s="25" t="s">
        <v>352</v>
      </c>
      <c r="C1145" s="25" t="s">
        <v>2027</v>
      </c>
      <c r="D1145" s="25" t="s">
        <v>1944</v>
      </c>
      <c r="E1145" s="25" t="s">
        <v>2031</v>
      </c>
      <c r="F1145" s="11" t="s">
        <v>1933</v>
      </c>
      <c r="G1145" s="25" t="s">
        <v>3829</v>
      </c>
    </row>
    <row r="1146" spans="1:7" ht="18" hidden="1" customHeight="1" outlineLevel="2" x14ac:dyDescent="0.2">
      <c r="A1146" s="25"/>
      <c r="B1146" s="25" t="s">
        <v>352</v>
      </c>
      <c r="C1146" s="25" t="s">
        <v>2027</v>
      </c>
      <c r="D1146" s="25" t="s">
        <v>1949</v>
      </c>
      <c r="E1146" s="25" t="s">
        <v>2032</v>
      </c>
      <c r="F1146" s="11" t="s">
        <v>1933</v>
      </c>
      <c r="G1146" s="25" t="s">
        <v>3829</v>
      </c>
    </row>
    <row r="1147" spans="1:7" ht="18" hidden="1" customHeight="1" outlineLevel="2" x14ac:dyDescent="0.2">
      <c r="A1147" s="25"/>
      <c r="B1147" s="25" t="s">
        <v>352</v>
      </c>
      <c r="C1147" s="25" t="s">
        <v>2027</v>
      </c>
      <c r="D1147" s="25" t="s">
        <v>1951</v>
      </c>
      <c r="E1147" s="25" t="s">
        <v>2033</v>
      </c>
      <c r="F1147" s="11" t="s">
        <v>1953</v>
      </c>
      <c r="G1147" s="25" t="s">
        <v>3829</v>
      </c>
    </row>
    <row r="1148" spans="1:7" ht="18" hidden="1" customHeight="1" outlineLevel="2" x14ac:dyDescent="0.2">
      <c r="A1148" s="25"/>
      <c r="B1148" s="25" t="s">
        <v>352</v>
      </c>
      <c r="C1148" s="25" t="s">
        <v>2027</v>
      </c>
      <c r="D1148" s="25" t="s">
        <v>1956</v>
      </c>
      <c r="E1148" s="25" t="s">
        <v>2034</v>
      </c>
      <c r="F1148" s="11" t="s">
        <v>1953</v>
      </c>
      <c r="G1148" s="25" t="s">
        <v>3829</v>
      </c>
    </row>
    <row r="1149" spans="1:7" ht="18" hidden="1" customHeight="1" outlineLevel="2" x14ac:dyDescent="0.2">
      <c r="A1149" s="25"/>
      <c r="B1149" s="25" t="s">
        <v>352</v>
      </c>
      <c r="C1149" s="25" t="s">
        <v>2027</v>
      </c>
      <c r="D1149" s="25" t="s">
        <v>1960</v>
      </c>
      <c r="E1149" s="25" t="s">
        <v>2035</v>
      </c>
      <c r="F1149" s="11" t="s">
        <v>1962</v>
      </c>
      <c r="G1149" s="25" t="s">
        <v>3829</v>
      </c>
    </row>
    <row r="1150" spans="1:7" ht="18" hidden="1" customHeight="1" outlineLevel="2" x14ac:dyDescent="0.2">
      <c r="A1150" s="25"/>
      <c r="B1150" s="25" t="s">
        <v>352</v>
      </c>
      <c r="C1150" s="25" t="s">
        <v>2027</v>
      </c>
      <c r="D1150" s="25" t="s">
        <v>1968</v>
      </c>
      <c r="E1150" s="25" t="s">
        <v>2036</v>
      </c>
      <c r="F1150" s="11" t="s">
        <v>1962</v>
      </c>
      <c r="G1150" s="25" t="s">
        <v>3829</v>
      </c>
    </row>
    <row r="1151" spans="1:7" ht="18" hidden="1" customHeight="1" outlineLevel="2" x14ac:dyDescent="0.2">
      <c r="A1151" s="25"/>
      <c r="B1151" s="25" t="s">
        <v>352</v>
      </c>
      <c r="C1151" s="25" t="s">
        <v>2027</v>
      </c>
      <c r="D1151" s="25" t="s">
        <v>1970</v>
      </c>
      <c r="E1151" s="25" t="s">
        <v>2037</v>
      </c>
      <c r="F1151" s="11" t="s">
        <v>1974</v>
      </c>
      <c r="G1151" s="25" t="s">
        <v>3829</v>
      </c>
    </row>
    <row r="1152" spans="1:7" ht="18" hidden="1" customHeight="1" outlineLevel="2" x14ac:dyDescent="0.2">
      <c r="A1152" s="25"/>
      <c r="B1152" s="25"/>
      <c r="C1152" s="25"/>
      <c r="D1152" s="25"/>
      <c r="E1152" s="25"/>
      <c r="F1152" s="25"/>
      <c r="G1152" s="25"/>
    </row>
    <row r="1153" spans="1:8" ht="18" hidden="1" customHeight="1" outlineLevel="1" x14ac:dyDescent="0.2">
      <c r="A1153" s="119" t="s">
        <v>96</v>
      </c>
      <c r="B1153" s="120"/>
      <c r="C1153" s="120"/>
      <c r="D1153" s="120"/>
      <c r="E1153" s="120"/>
      <c r="F1153" s="120"/>
      <c r="G1153" s="120"/>
      <c r="H1153" s="120"/>
    </row>
    <row r="1154" spans="1:8" ht="18" hidden="1" customHeight="1" outlineLevel="2" x14ac:dyDescent="0.2">
      <c r="A1154" s="25"/>
      <c r="B1154" s="25"/>
      <c r="C1154" s="59" t="s">
        <v>2038</v>
      </c>
      <c r="D1154" s="25"/>
      <c r="E1154" s="25">
        <v>7703</v>
      </c>
      <c r="F1154" s="25" t="s">
        <v>96</v>
      </c>
      <c r="G1154" s="25" t="s">
        <v>3838</v>
      </c>
      <c r="H1154" s="25" t="s">
        <v>3101</v>
      </c>
    </row>
    <row r="1155" spans="1:8" ht="18" hidden="1" customHeight="1" outlineLevel="2" x14ac:dyDescent="0.2">
      <c r="A1155" s="25"/>
      <c r="B1155" s="25"/>
      <c r="C1155" s="25" t="s">
        <v>2038</v>
      </c>
      <c r="D1155" s="25"/>
      <c r="E1155" s="25" t="s">
        <v>2039</v>
      </c>
      <c r="F1155" s="25" t="s">
        <v>96</v>
      </c>
      <c r="G1155" s="25" t="s">
        <v>3839</v>
      </c>
      <c r="H1155" s="25" t="s">
        <v>3102</v>
      </c>
    </row>
    <row r="1156" spans="1:8" ht="18" hidden="1" customHeight="1" outlineLevel="2" x14ac:dyDescent="0.2">
      <c r="A1156" s="25"/>
      <c r="B1156" s="25" t="s">
        <v>3363</v>
      </c>
      <c r="C1156" s="25" t="s">
        <v>2038</v>
      </c>
      <c r="D1156" s="25"/>
      <c r="E1156" s="25">
        <v>8760</v>
      </c>
      <c r="F1156" s="25" t="s">
        <v>96</v>
      </c>
      <c r="G1156" s="25" t="s">
        <v>3840</v>
      </c>
      <c r="H1156" s="25" t="s">
        <v>3102</v>
      </c>
    </row>
    <row r="1157" spans="1:8" ht="18" hidden="1" customHeight="1" outlineLevel="2" x14ac:dyDescent="0.2">
      <c r="A1157" s="25"/>
      <c r="B1157" s="25" t="s">
        <v>3363</v>
      </c>
      <c r="C1157" s="25" t="s">
        <v>2038</v>
      </c>
      <c r="D1157" s="25"/>
      <c r="E1157" s="25">
        <v>8723</v>
      </c>
      <c r="F1157" s="25" t="s">
        <v>96</v>
      </c>
      <c r="G1157" s="25" t="s">
        <v>3841</v>
      </c>
    </row>
    <row r="1158" spans="1:8" ht="18" hidden="1" customHeight="1" outlineLevel="2" x14ac:dyDescent="0.2">
      <c r="A1158" s="25"/>
      <c r="B1158" s="25"/>
      <c r="C1158" s="25"/>
      <c r="D1158" s="25"/>
      <c r="E1158" s="25"/>
      <c r="F1158" s="25"/>
      <c r="G1158" s="25"/>
    </row>
    <row r="1159" spans="1:8" ht="18" hidden="1" customHeight="1" outlineLevel="1" x14ac:dyDescent="0.2">
      <c r="A1159" s="119" t="s">
        <v>103</v>
      </c>
      <c r="B1159" s="120"/>
      <c r="C1159" s="120"/>
      <c r="D1159" s="120"/>
      <c r="E1159" s="120"/>
      <c r="F1159" s="120"/>
      <c r="G1159" s="120"/>
      <c r="H1159" s="120"/>
    </row>
    <row r="1160" spans="1:8" ht="18" hidden="1" customHeight="1" outlineLevel="2" x14ac:dyDescent="0.2">
      <c r="A1160" s="25"/>
      <c r="B1160" s="25"/>
      <c r="C1160" s="25" t="s">
        <v>2057</v>
      </c>
      <c r="D1160" s="25" t="s">
        <v>2058</v>
      </c>
      <c r="E1160" s="25" t="s">
        <v>2059</v>
      </c>
      <c r="F1160" s="25" t="s">
        <v>2060</v>
      </c>
      <c r="G1160" s="25" t="s">
        <v>2061</v>
      </c>
    </row>
    <row r="1161" spans="1:8" ht="18" hidden="1" customHeight="1" outlineLevel="2" x14ac:dyDescent="0.2">
      <c r="A1161" s="25"/>
      <c r="B1161" s="25"/>
      <c r="C1161" s="25" t="s">
        <v>2057</v>
      </c>
      <c r="D1161" s="25" t="s">
        <v>2058</v>
      </c>
      <c r="E1161" s="25" t="s">
        <v>2062</v>
      </c>
      <c r="F1161" s="25" t="s">
        <v>2060</v>
      </c>
      <c r="G1161" s="25" t="s">
        <v>2063</v>
      </c>
    </row>
    <row r="1162" spans="1:8" ht="18" hidden="1" customHeight="1" outlineLevel="2" x14ac:dyDescent="0.2">
      <c r="A1162" s="25"/>
      <c r="B1162" s="25"/>
      <c r="C1162" s="25" t="s">
        <v>2057</v>
      </c>
      <c r="D1162" s="25" t="s">
        <v>2058</v>
      </c>
      <c r="E1162" s="25" t="s">
        <v>2064</v>
      </c>
      <c r="F1162" s="25" t="s">
        <v>2060</v>
      </c>
      <c r="G1162" s="25" t="s">
        <v>2065</v>
      </c>
    </row>
    <row r="1163" spans="1:8" ht="18" hidden="1" customHeight="1" outlineLevel="2" x14ac:dyDescent="0.2">
      <c r="A1163" s="25"/>
      <c r="B1163" s="25"/>
      <c r="C1163" s="25" t="s">
        <v>2057</v>
      </c>
      <c r="D1163" s="25" t="s">
        <v>2058</v>
      </c>
      <c r="E1163" s="25" t="s">
        <v>2066</v>
      </c>
      <c r="F1163" s="25" t="s">
        <v>2060</v>
      </c>
      <c r="G1163" s="25" t="s">
        <v>56</v>
      </c>
    </row>
    <row r="1164" spans="1:8" ht="18" hidden="1" customHeight="1" outlineLevel="2" x14ac:dyDescent="0.2">
      <c r="A1164" s="25"/>
      <c r="B1164" s="25"/>
      <c r="C1164" s="25" t="s">
        <v>2057</v>
      </c>
      <c r="D1164" s="25" t="s">
        <v>2058</v>
      </c>
      <c r="E1164" s="25" t="s">
        <v>2067</v>
      </c>
      <c r="F1164" s="25" t="s">
        <v>2060</v>
      </c>
      <c r="G1164" s="25" t="s">
        <v>57</v>
      </c>
    </row>
    <row r="1165" spans="1:8" ht="18" hidden="1" customHeight="1" outlineLevel="2" x14ac:dyDescent="0.2">
      <c r="A1165" s="25"/>
      <c r="B1165" s="25"/>
      <c r="C1165" s="25"/>
      <c r="D1165" s="25"/>
      <c r="E1165" s="25"/>
      <c r="F1165" s="25"/>
      <c r="G1165" s="25"/>
    </row>
    <row r="1166" spans="1:8" ht="18" hidden="1" customHeight="1" outlineLevel="1" x14ac:dyDescent="0.2">
      <c r="A1166" s="119" t="s">
        <v>99</v>
      </c>
      <c r="B1166" s="120"/>
      <c r="C1166" s="120"/>
      <c r="D1166" s="120"/>
      <c r="E1166" s="120"/>
      <c r="F1166" s="120"/>
      <c r="G1166" s="120"/>
      <c r="H1166" s="120"/>
    </row>
    <row r="1167" spans="1:8" ht="18" hidden="1" customHeight="1" outlineLevel="2" x14ac:dyDescent="0.2">
      <c r="A1167" s="25"/>
      <c r="B1167" s="25" t="s">
        <v>3356</v>
      </c>
      <c r="C1167" s="25" t="s">
        <v>2017</v>
      </c>
      <c r="D1167" s="25" t="s">
        <v>1836</v>
      </c>
      <c r="E1167" s="25" t="s">
        <v>2018</v>
      </c>
      <c r="F1167" s="25" t="s">
        <v>547</v>
      </c>
      <c r="G1167" s="25"/>
      <c r="H1167" s="25" t="s">
        <v>3059</v>
      </c>
    </row>
    <row r="1168" spans="1:8" ht="18" hidden="1" customHeight="1" outlineLevel="2" x14ac:dyDescent="0.2">
      <c r="A1168" s="25"/>
      <c r="B1168" s="25" t="s">
        <v>3356</v>
      </c>
      <c r="C1168" s="25" t="s">
        <v>2017</v>
      </c>
      <c r="D1168" s="25" t="s">
        <v>1836</v>
      </c>
      <c r="E1168" s="25" t="s">
        <v>2019</v>
      </c>
      <c r="F1168" s="25" t="s">
        <v>547</v>
      </c>
      <c r="G1168" s="25"/>
      <c r="H1168" s="25" t="s">
        <v>3059</v>
      </c>
    </row>
    <row r="1169" spans="1:8" ht="18" hidden="1" customHeight="1" outlineLevel="2" x14ac:dyDescent="0.2">
      <c r="A1169" s="25"/>
      <c r="B1169" s="25" t="s">
        <v>3356</v>
      </c>
      <c r="C1169" s="25" t="s">
        <v>2017</v>
      </c>
      <c r="D1169" s="25" t="s">
        <v>1836</v>
      </c>
      <c r="E1169" s="25" t="s">
        <v>2020</v>
      </c>
      <c r="F1169" s="25" t="s">
        <v>547</v>
      </c>
      <c r="G1169" s="25"/>
      <c r="H1169" s="25" t="s">
        <v>3059</v>
      </c>
    </row>
    <row r="1170" spans="1:8" ht="18" hidden="1" customHeight="1" outlineLevel="2" x14ac:dyDescent="0.2">
      <c r="A1170" s="25"/>
      <c r="B1170" s="25" t="s">
        <v>3356</v>
      </c>
      <c r="C1170" s="25" t="s">
        <v>2017</v>
      </c>
      <c r="D1170" s="25" t="s">
        <v>1836</v>
      </c>
      <c r="E1170" s="25" t="s">
        <v>2021</v>
      </c>
      <c r="F1170" s="25" t="s">
        <v>547</v>
      </c>
      <c r="G1170" s="25"/>
      <c r="H1170" s="25" t="s">
        <v>3059</v>
      </c>
    </row>
    <row r="1171" spans="1:8" ht="18" hidden="1" customHeight="1" outlineLevel="2" x14ac:dyDescent="0.2">
      <c r="A1171" s="25"/>
      <c r="B1171" s="25" t="s">
        <v>3356</v>
      </c>
      <c r="C1171" s="25" t="s">
        <v>2017</v>
      </c>
      <c r="D1171" s="25" t="s">
        <v>1836</v>
      </c>
      <c r="E1171" s="25" t="s">
        <v>2022</v>
      </c>
      <c r="F1171" s="25" t="s">
        <v>547</v>
      </c>
      <c r="G1171" s="25"/>
      <c r="H1171" s="25" t="s">
        <v>3059</v>
      </c>
    </row>
    <row r="1172" spans="1:8" ht="18" hidden="1" customHeight="1" outlineLevel="2" x14ac:dyDescent="0.2">
      <c r="A1172" s="25"/>
      <c r="B1172" s="25" t="s">
        <v>3356</v>
      </c>
      <c r="C1172" s="25" t="s">
        <v>2017</v>
      </c>
      <c r="D1172" s="25" t="s">
        <v>1836</v>
      </c>
      <c r="E1172" s="25" t="s">
        <v>816</v>
      </c>
      <c r="F1172" s="25" t="s">
        <v>547</v>
      </c>
      <c r="G1172" s="25"/>
      <c r="H1172" s="25" t="s">
        <v>3059</v>
      </c>
    </row>
    <row r="1173" spans="1:8" ht="18" hidden="1" customHeight="1" outlineLevel="2" x14ac:dyDescent="0.2">
      <c r="A1173" s="25"/>
      <c r="B1173" s="25"/>
      <c r="C1173" s="25" t="s">
        <v>2017</v>
      </c>
      <c r="D1173" s="25" t="s">
        <v>1840</v>
      </c>
      <c r="E1173" s="25" t="s">
        <v>2020</v>
      </c>
      <c r="F1173" s="25" t="s">
        <v>547</v>
      </c>
      <c r="G1173" s="25"/>
      <c r="H1173" s="25" t="s">
        <v>3059</v>
      </c>
    </row>
    <row r="1174" spans="1:8" ht="18" hidden="1" customHeight="1" outlineLevel="2" x14ac:dyDescent="0.2">
      <c r="A1174" s="25"/>
      <c r="B1174" s="25"/>
      <c r="C1174" s="25"/>
      <c r="D1174" s="25"/>
      <c r="E1174" s="25"/>
      <c r="F1174" s="25"/>
      <c r="G1174" s="25"/>
    </row>
    <row r="1175" spans="1:8" ht="18" hidden="1" customHeight="1" outlineLevel="1" x14ac:dyDescent="0.2">
      <c r="A1175" s="119" t="s">
        <v>97</v>
      </c>
      <c r="B1175" s="120"/>
      <c r="C1175" s="120"/>
      <c r="D1175" s="120"/>
      <c r="E1175" s="120"/>
      <c r="F1175" s="120"/>
      <c r="G1175" s="120"/>
      <c r="H1175" s="120"/>
    </row>
    <row r="1176" spans="1:8" ht="18" hidden="1" customHeight="1" outlineLevel="2" x14ac:dyDescent="0.2">
      <c r="A1176" s="25"/>
      <c r="B1176" s="25" t="s">
        <v>3355</v>
      </c>
      <c r="C1176" s="59" t="s">
        <v>2007</v>
      </c>
      <c r="D1176" s="25" t="s">
        <v>2008</v>
      </c>
      <c r="E1176" s="25" t="s">
        <v>2009</v>
      </c>
      <c r="F1176" s="65" t="s">
        <v>1926</v>
      </c>
      <c r="G1176" s="25" t="s">
        <v>3834</v>
      </c>
    </row>
    <row r="1177" spans="1:8" ht="18" hidden="1" customHeight="1" outlineLevel="2" x14ac:dyDescent="0.2">
      <c r="A1177" s="25"/>
      <c r="B1177" s="25" t="s">
        <v>352</v>
      </c>
      <c r="C1177" s="25" t="s">
        <v>2007</v>
      </c>
      <c r="D1177" s="25" t="s">
        <v>2010</v>
      </c>
      <c r="E1177" s="25" t="s">
        <v>1996</v>
      </c>
      <c r="F1177" s="65" t="s">
        <v>1926</v>
      </c>
      <c r="G1177" s="25" t="s">
        <v>3835</v>
      </c>
    </row>
    <row r="1178" spans="1:8" ht="18" hidden="1" customHeight="1" outlineLevel="2" x14ac:dyDescent="0.2">
      <c r="A1178" s="25"/>
      <c r="B1178" s="25"/>
      <c r="C1178" s="25"/>
      <c r="D1178" s="25"/>
      <c r="E1178" s="25"/>
      <c r="F1178" s="65"/>
      <c r="G1178" s="25"/>
    </row>
    <row r="1179" spans="1:8" ht="18" hidden="1" customHeight="1" outlineLevel="1" x14ac:dyDescent="0.2">
      <c r="A1179" s="119" t="s">
        <v>3828</v>
      </c>
      <c r="B1179" s="120"/>
      <c r="C1179" s="120"/>
      <c r="D1179" s="120"/>
      <c r="E1179" s="120"/>
      <c r="F1179" s="120"/>
      <c r="G1179" s="120"/>
      <c r="H1179" s="120"/>
    </row>
    <row r="1180" spans="1:8" ht="18" hidden="1" customHeight="1" outlineLevel="2" x14ac:dyDescent="0.2">
      <c r="A1180" s="25"/>
      <c r="B1180" s="25" t="s">
        <v>352</v>
      </c>
      <c r="C1180" s="25" t="s">
        <v>1963</v>
      </c>
      <c r="D1180" s="25" t="s">
        <v>1960</v>
      </c>
      <c r="E1180" s="25" t="s">
        <v>1964</v>
      </c>
      <c r="F1180" s="65" t="s">
        <v>1965</v>
      </c>
      <c r="G1180" s="9"/>
    </row>
    <row r="1181" spans="1:8" ht="18" hidden="1" customHeight="1" outlineLevel="2" x14ac:dyDescent="0.2">
      <c r="A1181" s="25"/>
      <c r="B1181" s="25" t="s">
        <v>352</v>
      </c>
      <c r="C1181" s="25" t="s">
        <v>1963</v>
      </c>
      <c r="D1181" s="25" t="s">
        <v>1966</v>
      </c>
      <c r="E1181" s="25" t="s">
        <v>1967</v>
      </c>
      <c r="F1181" s="65" t="s">
        <v>1965</v>
      </c>
      <c r="G1181" s="9"/>
    </row>
    <row r="1182" spans="1:8" ht="18" hidden="1" customHeight="1" outlineLevel="2" x14ac:dyDescent="0.2">
      <c r="A1182" s="25"/>
      <c r="B1182" s="25" t="s">
        <v>352</v>
      </c>
      <c r="C1182" s="25" t="s">
        <v>1963</v>
      </c>
      <c r="D1182" s="25" t="s">
        <v>1968</v>
      </c>
      <c r="E1182" s="25" t="s">
        <v>1969</v>
      </c>
      <c r="F1182" s="65" t="s">
        <v>1965</v>
      </c>
      <c r="G1182" s="9"/>
    </row>
    <row r="1183" spans="1:8" ht="18" hidden="1" customHeight="1" outlineLevel="2" x14ac:dyDescent="0.2">
      <c r="A1183" s="25"/>
      <c r="B1183" s="25" t="s">
        <v>352</v>
      </c>
      <c r="C1183" s="25" t="s">
        <v>1963</v>
      </c>
      <c r="D1183" s="25" t="s">
        <v>1970</v>
      </c>
      <c r="E1183" s="25" t="s">
        <v>1971</v>
      </c>
      <c r="F1183" s="25"/>
      <c r="G1183" s="25"/>
    </row>
    <row r="1184" spans="1:8" ht="18" hidden="1" customHeight="1" outlineLevel="2" x14ac:dyDescent="0.2">
      <c r="A1184" s="25"/>
      <c r="B1184" s="25"/>
      <c r="C1184" s="25"/>
      <c r="D1184" s="25"/>
      <c r="E1184" s="25"/>
      <c r="F1184" s="25"/>
      <c r="G1184" s="25"/>
    </row>
    <row r="1185" spans="1:8" ht="18" hidden="1" customHeight="1" outlineLevel="1" x14ac:dyDescent="0.2">
      <c r="A1185" s="119" t="s">
        <v>100</v>
      </c>
      <c r="B1185" s="120"/>
      <c r="C1185" s="120"/>
      <c r="D1185" s="120"/>
      <c r="E1185" s="120"/>
      <c r="F1185" s="120"/>
      <c r="G1185" s="120"/>
      <c r="H1185" s="120"/>
    </row>
    <row r="1186" spans="1:8" ht="18" hidden="1" customHeight="1" outlineLevel="2" x14ac:dyDescent="0.2">
      <c r="A1186" s="25"/>
      <c r="B1186" s="25" t="s">
        <v>3357</v>
      </c>
      <c r="C1186" s="25" t="s">
        <v>2023</v>
      </c>
      <c r="D1186" s="25" t="s">
        <v>1843</v>
      </c>
      <c r="E1186" s="25" t="s">
        <v>2020</v>
      </c>
      <c r="F1186" s="25" t="s">
        <v>547</v>
      </c>
      <c r="G1186" s="25"/>
      <c r="H1186" s="25" t="s">
        <v>3059</v>
      </c>
    </row>
    <row r="1187" spans="1:8" ht="18" hidden="1" customHeight="1" outlineLevel="2" x14ac:dyDescent="0.2">
      <c r="A1187" s="25"/>
      <c r="B1187" s="25" t="s">
        <v>3357</v>
      </c>
      <c r="C1187" s="25" t="s">
        <v>2023</v>
      </c>
      <c r="D1187" s="25" t="s">
        <v>1843</v>
      </c>
      <c r="E1187" s="25" t="s">
        <v>2019</v>
      </c>
      <c r="F1187" s="25" t="s">
        <v>547</v>
      </c>
      <c r="G1187" s="25"/>
      <c r="H1187" s="25" t="s">
        <v>3059</v>
      </c>
    </row>
    <row r="1188" spans="1:8" ht="18" hidden="1" customHeight="1" outlineLevel="2" x14ac:dyDescent="0.2">
      <c r="A1188" s="25"/>
      <c r="B1188" s="25" t="s">
        <v>3358</v>
      </c>
      <c r="C1188" s="25" t="s">
        <v>2023</v>
      </c>
      <c r="D1188" s="25" t="s">
        <v>1846</v>
      </c>
      <c r="E1188" s="25" t="s">
        <v>2020</v>
      </c>
      <c r="F1188" s="25" t="s">
        <v>547</v>
      </c>
      <c r="G1188" s="25"/>
      <c r="H1188" s="25" t="s">
        <v>3059</v>
      </c>
    </row>
    <row r="1189" spans="1:8" ht="18" hidden="1" customHeight="1" outlineLevel="2" x14ac:dyDescent="0.2">
      <c r="A1189" s="25"/>
      <c r="B1189" s="25" t="s">
        <v>3358</v>
      </c>
      <c r="C1189" s="25" t="s">
        <v>2023</v>
      </c>
      <c r="D1189" s="25" t="s">
        <v>1846</v>
      </c>
      <c r="E1189" s="25" t="s">
        <v>2019</v>
      </c>
      <c r="F1189" s="25" t="s">
        <v>547</v>
      </c>
      <c r="G1189" s="25"/>
      <c r="H1189" s="25" t="s">
        <v>3059</v>
      </c>
    </row>
    <row r="1190" spans="1:8" ht="18" hidden="1" customHeight="1" outlineLevel="2" x14ac:dyDescent="0.2">
      <c r="A1190" s="25"/>
      <c r="B1190" s="25" t="s">
        <v>3359</v>
      </c>
      <c r="C1190" s="25" t="s">
        <v>2023</v>
      </c>
      <c r="D1190" s="25" t="s">
        <v>1848</v>
      </c>
      <c r="E1190" s="25" t="s">
        <v>2020</v>
      </c>
      <c r="F1190" s="25" t="s">
        <v>547</v>
      </c>
      <c r="G1190" s="25"/>
      <c r="H1190" s="25" t="s">
        <v>3059</v>
      </c>
    </row>
    <row r="1191" spans="1:8" ht="18" hidden="1" customHeight="1" outlineLevel="2" x14ac:dyDescent="0.2">
      <c r="A1191" s="25"/>
      <c r="B1191" s="25" t="s">
        <v>3359</v>
      </c>
      <c r="C1191" s="25" t="s">
        <v>2023</v>
      </c>
      <c r="D1191" s="25" t="s">
        <v>1848</v>
      </c>
      <c r="E1191" s="25" t="s">
        <v>2019</v>
      </c>
      <c r="F1191" s="25" t="s">
        <v>547</v>
      </c>
      <c r="G1191" s="25"/>
      <c r="H1191" s="25" t="s">
        <v>3059</v>
      </c>
    </row>
    <row r="1192" spans="1:8" ht="18" hidden="1" customHeight="1" outlineLevel="2" x14ac:dyDescent="0.2">
      <c r="A1192" s="25"/>
      <c r="B1192" s="25" t="s">
        <v>3360</v>
      </c>
      <c r="C1192" s="25" t="s">
        <v>2023</v>
      </c>
      <c r="D1192" s="25" t="s">
        <v>1850</v>
      </c>
      <c r="E1192" s="25" t="s">
        <v>2020</v>
      </c>
      <c r="F1192" s="25" t="s">
        <v>547</v>
      </c>
      <c r="G1192" s="25"/>
      <c r="H1192" s="25" t="s">
        <v>3059</v>
      </c>
    </row>
    <row r="1193" spans="1:8" ht="18" hidden="1" customHeight="1" outlineLevel="2" x14ac:dyDescent="0.2">
      <c r="A1193" s="25"/>
      <c r="B1193" s="25" t="s">
        <v>3360</v>
      </c>
      <c r="C1193" s="25" t="s">
        <v>2023</v>
      </c>
      <c r="D1193" s="25" t="s">
        <v>1850</v>
      </c>
      <c r="E1193" s="25" t="s">
        <v>2019</v>
      </c>
      <c r="F1193" s="25" t="s">
        <v>547</v>
      </c>
      <c r="G1193" s="25"/>
      <c r="H1193" s="25" t="s">
        <v>3059</v>
      </c>
    </row>
    <row r="1194" spans="1:8" ht="18" hidden="1" customHeight="1" outlineLevel="2" x14ac:dyDescent="0.2">
      <c r="A1194" s="25"/>
      <c r="B1194" s="25" t="s">
        <v>3360</v>
      </c>
      <c r="C1194" s="25" t="s">
        <v>2023</v>
      </c>
      <c r="D1194" s="25" t="s">
        <v>1850</v>
      </c>
      <c r="E1194" s="25" t="s">
        <v>2024</v>
      </c>
      <c r="F1194" s="25" t="s">
        <v>547</v>
      </c>
      <c r="G1194" s="68" t="s">
        <v>3061</v>
      </c>
      <c r="H1194" s="25" t="s">
        <v>3059</v>
      </c>
    </row>
    <row r="1195" spans="1:8" ht="18" hidden="1" customHeight="1" outlineLevel="2" x14ac:dyDescent="0.2">
      <c r="A1195" s="25"/>
      <c r="B1195" s="25" t="s">
        <v>3361</v>
      </c>
      <c r="C1195" s="25" t="s">
        <v>2023</v>
      </c>
      <c r="D1195" s="25" t="s">
        <v>1852</v>
      </c>
      <c r="E1195" s="25" t="s">
        <v>2020</v>
      </c>
      <c r="F1195" s="25" t="s">
        <v>547</v>
      </c>
      <c r="G1195" s="68"/>
      <c r="H1195" s="25" t="s">
        <v>3059</v>
      </c>
    </row>
    <row r="1196" spans="1:8" ht="18" hidden="1" customHeight="1" outlineLevel="2" x14ac:dyDescent="0.2">
      <c r="A1196" s="25"/>
      <c r="B1196" s="25" t="s">
        <v>3361</v>
      </c>
      <c r="C1196" s="25" t="s">
        <v>2023</v>
      </c>
      <c r="D1196" s="25" t="s">
        <v>1852</v>
      </c>
      <c r="E1196" s="25" t="s">
        <v>2024</v>
      </c>
      <c r="F1196" s="25" t="s">
        <v>1926</v>
      </c>
      <c r="G1196" s="68" t="s">
        <v>3062</v>
      </c>
      <c r="H1196" s="25" t="s">
        <v>3059</v>
      </c>
    </row>
    <row r="1197" spans="1:8" ht="18" hidden="1" customHeight="1" outlineLevel="2" x14ac:dyDescent="0.2">
      <c r="A1197" s="25"/>
      <c r="B1197" s="25" t="s">
        <v>3362</v>
      </c>
      <c r="C1197" s="25" t="s">
        <v>2023</v>
      </c>
      <c r="D1197" s="25" t="s">
        <v>1854</v>
      </c>
      <c r="E1197" s="25" t="s">
        <v>2020</v>
      </c>
      <c r="F1197" s="25"/>
      <c r="G1197" s="68"/>
      <c r="H1197" s="25" t="s">
        <v>3059</v>
      </c>
    </row>
    <row r="1198" spans="1:8" ht="18" hidden="1" customHeight="1" outlineLevel="2" x14ac:dyDescent="0.2">
      <c r="A1198" s="25"/>
      <c r="B1198" s="25" t="s">
        <v>3362</v>
      </c>
      <c r="C1198" s="25" t="s">
        <v>2023</v>
      </c>
      <c r="D1198" s="25" t="s">
        <v>1854</v>
      </c>
      <c r="E1198" s="25" t="s">
        <v>2024</v>
      </c>
      <c r="F1198" s="25" t="s">
        <v>1926</v>
      </c>
      <c r="G1198" s="68" t="s">
        <v>3063</v>
      </c>
      <c r="H1198" s="25" t="s">
        <v>3059</v>
      </c>
    </row>
    <row r="1199" spans="1:8" ht="18" hidden="1" customHeight="1" outlineLevel="2" x14ac:dyDescent="0.2">
      <c r="A1199" s="25"/>
      <c r="B1199" s="25" t="s">
        <v>352</v>
      </c>
      <c r="C1199" s="25" t="s">
        <v>2023</v>
      </c>
      <c r="D1199" s="25" t="s">
        <v>1856</v>
      </c>
      <c r="E1199" s="25" t="s">
        <v>2020</v>
      </c>
      <c r="F1199" s="25"/>
      <c r="G1199" s="68"/>
      <c r="H1199" s="25" t="s">
        <v>3059</v>
      </c>
    </row>
    <row r="1200" spans="1:8" ht="18" hidden="1" customHeight="1" outlineLevel="2" x14ac:dyDescent="0.2">
      <c r="A1200" s="25"/>
      <c r="B1200" s="25" t="s">
        <v>352</v>
      </c>
      <c r="C1200" s="25" t="s">
        <v>2023</v>
      </c>
      <c r="D1200" s="25" t="s">
        <v>1856</v>
      </c>
      <c r="E1200" s="25" t="s">
        <v>2024</v>
      </c>
      <c r="F1200" s="25" t="s">
        <v>1926</v>
      </c>
      <c r="G1200" s="68" t="s">
        <v>1925</v>
      </c>
      <c r="H1200" s="25" t="s">
        <v>3059</v>
      </c>
    </row>
    <row r="1201" spans="1:8" ht="18" hidden="1" customHeight="1" outlineLevel="2" x14ac:dyDescent="0.2">
      <c r="A1201" s="25"/>
      <c r="B1201" s="25" t="s">
        <v>352</v>
      </c>
      <c r="C1201" s="25" t="s">
        <v>2023</v>
      </c>
      <c r="D1201" s="25" t="s">
        <v>2025</v>
      </c>
      <c r="E1201" s="25" t="s">
        <v>2020</v>
      </c>
      <c r="F1201" s="25"/>
      <c r="G1201" s="68"/>
      <c r="H1201" s="25" t="s">
        <v>3059</v>
      </c>
    </row>
    <row r="1202" spans="1:8" ht="18" hidden="1" customHeight="1" outlineLevel="2" x14ac:dyDescent="0.2">
      <c r="A1202" s="25"/>
      <c r="B1202" s="25" t="s">
        <v>352</v>
      </c>
      <c r="C1202" s="25" t="s">
        <v>2023</v>
      </c>
      <c r="D1202" s="25" t="s">
        <v>2025</v>
      </c>
      <c r="E1202" s="25" t="s">
        <v>2024</v>
      </c>
      <c r="F1202" s="25"/>
      <c r="G1202" s="68" t="s">
        <v>1938</v>
      </c>
      <c r="H1202" s="25" t="s">
        <v>3059</v>
      </c>
    </row>
    <row r="1203" spans="1:8" ht="18" hidden="1" customHeight="1" outlineLevel="2" x14ac:dyDescent="0.2">
      <c r="A1203" s="25"/>
      <c r="B1203" s="25" t="s">
        <v>352</v>
      </c>
      <c r="C1203" s="25" t="s">
        <v>2023</v>
      </c>
      <c r="D1203" s="25" t="s">
        <v>2026</v>
      </c>
      <c r="E1203" s="25" t="s">
        <v>2020</v>
      </c>
      <c r="F1203" s="25"/>
      <c r="G1203" s="25"/>
      <c r="H1203" s="25" t="s">
        <v>3059</v>
      </c>
    </row>
    <row r="1204" spans="1:8" ht="18" hidden="1" customHeight="1" outlineLevel="2" x14ac:dyDescent="0.2">
      <c r="A1204" s="25"/>
      <c r="B1204" s="25"/>
      <c r="C1204" s="25"/>
      <c r="D1204" s="25"/>
      <c r="E1204" s="25"/>
      <c r="F1204" s="25"/>
      <c r="G1204" s="25"/>
    </row>
    <row r="1205" spans="1:8" ht="18" hidden="1" customHeight="1" outlineLevel="1" x14ac:dyDescent="0.2">
      <c r="A1205" s="119" t="s">
        <v>94</v>
      </c>
      <c r="B1205" s="120"/>
      <c r="C1205" s="120"/>
      <c r="D1205" s="120"/>
      <c r="E1205" s="120"/>
      <c r="F1205" s="120"/>
      <c r="G1205" s="120"/>
      <c r="H1205" s="120"/>
    </row>
    <row r="1206" spans="1:8" ht="18" hidden="1" customHeight="1" outlineLevel="2" x14ac:dyDescent="0.2">
      <c r="A1206" s="25"/>
      <c r="B1206" s="25" t="s">
        <v>3352</v>
      </c>
      <c r="C1206" s="59" t="s">
        <v>1980</v>
      </c>
      <c r="D1206" s="25" t="s">
        <v>1981</v>
      </c>
      <c r="E1206" s="25" t="s">
        <v>1982</v>
      </c>
      <c r="F1206" s="25"/>
      <c r="G1206" s="25" t="s">
        <v>1983</v>
      </c>
    </row>
    <row r="1207" spans="1:8" ht="18" hidden="1" customHeight="1" outlineLevel="2" x14ac:dyDescent="0.2">
      <c r="A1207" s="25"/>
      <c r="B1207" s="25" t="s">
        <v>3353</v>
      </c>
      <c r="C1207" s="25" t="s">
        <v>1980</v>
      </c>
      <c r="D1207" s="25" t="s">
        <v>1984</v>
      </c>
      <c r="E1207" s="25" t="s">
        <v>1982</v>
      </c>
      <c r="F1207" s="25"/>
      <c r="G1207" s="25" t="s">
        <v>1985</v>
      </c>
    </row>
    <row r="1208" spans="1:8" ht="18" hidden="1" customHeight="1" outlineLevel="2" x14ac:dyDescent="0.2">
      <c r="A1208" s="25"/>
      <c r="B1208" s="25" t="s">
        <v>3354</v>
      </c>
      <c r="C1208" s="25" t="s">
        <v>1980</v>
      </c>
      <c r="D1208" s="25" t="s">
        <v>1986</v>
      </c>
      <c r="E1208" s="25" t="s">
        <v>1982</v>
      </c>
      <c r="F1208" s="25"/>
      <c r="G1208" s="25" t="s">
        <v>1987</v>
      </c>
    </row>
    <row r="1209" spans="1:8" ht="18" hidden="1" customHeight="1" outlineLevel="2" x14ac:dyDescent="0.2">
      <c r="A1209" s="25"/>
      <c r="B1209" s="25" t="s">
        <v>352</v>
      </c>
      <c r="C1209" s="25" t="s">
        <v>1980</v>
      </c>
      <c r="D1209" s="25" t="s">
        <v>1988</v>
      </c>
      <c r="E1209" s="25" t="s">
        <v>1982</v>
      </c>
      <c r="F1209" s="25"/>
      <c r="G1209" s="25" t="s">
        <v>1989</v>
      </c>
    </row>
    <row r="1210" spans="1:8" ht="18" hidden="1" customHeight="1" outlineLevel="2" x14ac:dyDescent="0.2">
      <c r="A1210" s="25"/>
      <c r="B1210" s="25"/>
      <c r="C1210" s="25"/>
      <c r="D1210" s="25"/>
      <c r="E1210" s="25"/>
      <c r="F1210" s="25"/>
      <c r="G1210" s="25"/>
    </row>
    <row r="1211" spans="1:8" ht="18" hidden="1" customHeight="1" outlineLevel="1" x14ac:dyDescent="0.2">
      <c r="A1211" s="119" t="s">
        <v>98</v>
      </c>
      <c r="B1211" s="120"/>
      <c r="C1211" s="120"/>
      <c r="D1211" s="120"/>
      <c r="E1211" s="120"/>
      <c r="F1211" s="120"/>
      <c r="G1211" s="120"/>
      <c r="H1211" s="120"/>
    </row>
    <row r="1212" spans="1:8" ht="18" hidden="1" customHeight="1" outlineLevel="2" x14ac:dyDescent="0.2">
      <c r="A1212" s="25"/>
      <c r="B1212" s="25" t="s">
        <v>352</v>
      </c>
      <c r="C1212" s="59" t="s">
        <v>2011</v>
      </c>
      <c r="D1212" s="25" t="s">
        <v>2012</v>
      </c>
      <c r="E1212" s="25" t="s">
        <v>2006</v>
      </c>
      <c r="F1212" s="65"/>
      <c r="G1212" s="25" t="s">
        <v>3836</v>
      </c>
    </row>
    <row r="1213" spans="1:8" ht="18" hidden="1" customHeight="1" outlineLevel="2" x14ac:dyDescent="0.2">
      <c r="A1213" s="25"/>
      <c r="B1213" s="25" t="s">
        <v>352</v>
      </c>
      <c r="C1213" s="25" t="s">
        <v>2013</v>
      </c>
      <c r="D1213" s="25" t="s">
        <v>1995</v>
      </c>
      <c r="E1213" s="25" t="s">
        <v>2006</v>
      </c>
      <c r="F1213" s="65" t="s">
        <v>1926</v>
      </c>
      <c r="G1213" s="25" t="s">
        <v>3837</v>
      </c>
    </row>
    <row r="1214" spans="1:8" ht="18" hidden="1" customHeight="1" outlineLevel="2" x14ac:dyDescent="0.2">
      <c r="A1214" s="25"/>
      <c r="B1214" s="25" t="s">
        <v>352</v>
      </c>
      <c r="C1214" s="25" t="s">
        <v>2013</v>
      </c>
      <c r="D1214" s="25" t="s">
        <v>1997</v>
      </c>
      <c r="E1214" s="25" t="s">
        <v>2014</v>
      </c>
      <c r="F1214" s="65" t="s">
        <v>1926</v>
      </c>
      <c r="G1214" s="25" t="s">
        <v>3837</v>
      </c>
    </row>
    <row r="1215" spans="1:8" ht="18" hidden="1" customHeight="1" outlineLevel="2" x14ac:dyDescent="0.2">
      <c r="A1215" s="25"/>
      <c r="B1215" s="25" t="s">
        <v>352</v>
      </c>
      <c r="C1215" s="25" t="s">
        <v>2013</v>
      </c>
      <c r="D1215" s="25" t="s">
        <v>1999</v>
      </c>
      <c r="E1215" s="25" t="s">
        <v>2015</v>
      </c>
      <c r="F1215" s="65" t="s">
        <v>1926</v>
      </c>
      <c r="G1215" s="25" t="s">
        <v>3837</v>
      </c>
    </row>
    <row r="1216" spans="1:8" ht="18" hidden="1" customHeight="1" outlineLevel="2" x14ac:dyDescent="0.2">
      <c r="A1216" s="25"/>
      <c r="B1216" s="25"/>
      <c r="C1216" s="25" t="s">
        <v>2013</v>
      </c>
      <c r="D1216" s="25" t="s">
        <v>2001</v>
      </c>
      <c r="E1216" s="25" t="s">
        <v>2016</v>
      </c>
      <c r="F1216" s="65" t="s">
        <v>1933</v>
      </c>
      <c r="G1216" s="25" t="s">
        <v>3837</v>
      </c>
    </row>
    <row r="1217" spans="1:8" ht="18" hidden="1" customHeight="1" outlineLevel="2" x14ac:dyDescent="0.2">
      <c r="A1217" s="25"/>
      <c r="B1217" s="25"/>
      <c r="C1217" s="25"/>
      <c r="D1217" s="25"/>
      <c r="E1217" s="25"/>
      <c r="F1217" s="25"/>
      <c r="G1217" s="25"/>
    </row>
    <row r="1218" spans="1:8" ht="18" customHeight="1" collapsed="1" x14ac:dyDescent="0.2">
      <c r="A1218" s="129" t="s">
        <v>3845</v>
      </c>
      <c r="B1218" s="130"/>
      <c r="C1218" s="130"/>
      <c r="D1218" s="130"/>
      <c r="E1218" s="130"/>
      <c r="F1218" s="130"/>
      <c r="G1218" s="130"/>
      <c r="H1218" s="130"/>
    </row>
    <row r="1219" spans="1:8" ht="18" hidden="1" customHeight="1" outlineLevel="1" x14ac:dyDescent="0.2">
      <c r="A1219" s="119" t="s">
        <v>3853</v>
      </c>
      <c r="B1219" s="120"/>
      <c r="C1219" s="120"/>
      <c r="D1219" s="120"/>
      <c r="E1219" s="120"/>
      <c r="F1219" s="120"/>
      <c r="G1219" s="120"/>
      <c r="H1219" s="120"/>
    </row>
    <row r="1220" spans="1:8" ht="18" hidden="1" customHeight="1" outlineLevel="2" x14ac:dyDescent="0.2">
      <c r="A1220" s="25"/>
      <c r="B1220" s="25" t="s">
        <v>3365</v>
      </c>
      <c r="C1220" s="59" t="s">
        <v>3846</v>
      </c>
      <c r="D1220" s="25" t="s">
        <v>1199</v>
      </c>
      <c r="E1220" s="25"/>
      <c r="F1220" s="25"/>
      <c r="G1220" s="25" t="s">
        <v>2068</v>
      </c>
      <c r="H1220" s="25" t="s">
        <v>3075</v>
      </c>
    </row>
    <row r="1221" spans="1:8" ht="18" hidden="1" customHeight="1" outlineLevel="2" x14ac:dyDescent="0.2">
      <c r="A1221" s="25"/>
      <c r="B1221" s="25" t="s">
        <v>3365</v>
      </c>
      <c r="C1221" s="25" t="s">
        <v>3846</v>
      </c>
      <c r="D1221" s="25" t="s">
        <v>1199</v>
      </c>
      <c r="E1221" s="25"/>
      <c r="F1221" s="25"/>
      <c r="G1221" s="25" t="s">
        <v>2068</v>
      </c>
      <c r="H1221" s="25" t="s">
        <v>267</v>
      </c>
    </row>
    <row r="1222" spans="1:8" ht="18" hidden="1" customHeight="1" outlineLevel="2" x14ac:dyDescent="0.2">
      <c r="A1222" s="25"/>
      <c r="B1222" s="25" t="s">
        <v>3366</v>
      </c>
      <c r="C1222" s="59" t="s">
        <v>3846</v>
      </c>
      <c r="D1222" s="25" t="s">
        <v>1200</v>
      </c>
      <c r="E1222" s="25"/>
      <c r="F1222" s="25"/>
      <c r="G1222" s="25" t="s">
        <v>2068</v>
      </c>
      <c r="H1222" s="25" t="s">
        <v>3075</v>
      </c>
    </row>
    <row r="1223" spans="1:8" ht="18" hidden="1" customHeight="1" outlineLevel="2" x14ac:dyDescent="0.2">
      <c r="A1223" s="25"/>
      <c r="B1223" s="25" t="s">
        <v>3366</v>
      </c>
      <c r="C1223" s="25" t="s">
        <v>3846</v>
      </c>
      <c r="D1223" s="25" t="s">
        <v>1200</v>
      </c>
      <c r="E1223" s="25"/>
      <c r="F1223" s="25"/>
      <c r="G1223" s="25" t="s">
        <v>2068</v>
      </c>
      <c r="H1223" s="25" t="s">
        <v>267</v>
      </c>
    </row>
    <row r="1224" spans="1:8" ht="18" hidden="1" customHeight="1" outlineLevel="2" x14ac:dyDescent="0.2">
      <c r="A1224" s="25"/>
      <c r="B1224" s="25" t="s">
        <v>3367</v>
      </c>
      <c r="C1224" s="59" t="s">
        <v>3846</v>
      </c>
      <c r="D1224" s="25" t="s">
        <v>1201</v>
      </c>
      <c r="E1224" s="25"/>
      <c r="F1224" s="25"/>
      <c r="G1224" s="25" t="s">
        <v>2068</v>
      </c>
      <c r="H1224" s="25" t="s">
        <v>3075</v>
      </c>
    </row>
    <row r="1225" spans="1:8" ht="18" hidden="1" customHeight="1" outlineLevel="2" x14ac:dyDescent="0.2">
      <c r="A1225" s="25"/>
      <c r="B1225" s="25" t="s">
        <v>3367</v>
      </c>
      <c r="C1225" s="25" t="s">
        <v>3846</v>
      </c>
      <c r="D1225" s="25" t="s">
        <v>1201</v>
      </c>
      <c r="E1225" s="25"/>
      <c r="F1225" s="25"/>
      <c r="G1225" s="25" t="s">
        <v>2068</v>
      </c>
      <c r="H1225" s="25" t="s">
        <v>267</v>
      </c>
    </row>
    <row r="1226" spans="1:8" ht="18" hidden="1" customHeight="1" outlineLevel="2" x14ac:dyDescent="0.2">
      <c r="A1226" s="25"/>
      <c r="B1226" s="25" t="s">
        <v>3368</v>
      </c>
      <c r="C1226" s="59" t="s">
        <v>3846</v>
      </c>
      <c r="D1226" s="25" t="s">
        <v>1202</v>
      </c>
      <c r="E1226" s="25"/>
      <c r="F1226" s="25"/>
      <c r="G1226" s="25" t="s">
        <v>2068</v>
      </c>
      <c r="H1226" s="25" t="s">
        <v>3075</v>
      </c>
    </row>
    <row r="1227" spans="1:8" ht="18" hidden="1" customHeight="1" outlineLevel="2" x14ac:dyDescent="0.2">
      <c r="A1227" s="25"/>
      <c r="B1227" s="25" t="s">
        <v>3368</v>
      </c>
      <c r="C1227" s="25" t="s">
        <v>3846</v>
      </c>
      <c r="D1227" s="25" t="s">
        <v>1202</v>
      </c>
      <c r="E1227" s="25"/>
      <c r="F1227" s="25"/>
      <c r="G1227" s="25" t="s">
        <v>2068</v>
      </c>
      <c r="H1227" s="25" t="s">
        <v>267</v>
      </c>
    </row>
    <row r="1228" spans="1:8" ht="18" hidden="1" customHeight="1" outlineLevel="2" x14ac:dyDescent="0.2">
      <c r="A1228" s="25"/>
      <c r="B1228" s="25" t="s">
        <v>3369</v>
      </c>
      <c r="C1228" s="59" t="s">
        <v>3846</v>
      </c>
      <c r="D1228" s="25" t="s">
        <v>2069</v>
      </c>
      <c r="E1228" s="25"/>
      <c r="F1228" s="25"/>
      <c r="G1228" s="25" t="s">
        <v>2070</v>
      </c>
      <c r="H1228" s="25" t="s">
        <v>3103</v>
      </c>
    </row>
    <row r="1229" spans="1:8" ht="18" hidden="1" customHeight="1" outlineLevel="2" x14ac:dyDescent="0.2">
      <c r="A1229" s="25"/>
      <c r="B1229" s="25" t="s">
        <v>3370</v>
      </c>
      <c r="C1229" s="59" t="s">
        <v>3846</v>
      </c>
      <c r="D1229" s="25" t="s">
        <v>2071</v>
      </c>
      <c r="E1229" s="25"/>
      <c r="F1229" s="25"/>
      <c r="G1229" s="25" t="s">
        <v>2070</v>
      </c>
      <c r="H1229" s="25" t="s">
        <v>3103</v>
      </c>
    </row>
    <row r="1230" spans="1:8" ht="18" hidden="1" customHeight="1" outlineLevel="2" x14ac:dyDescent="0.2">
      <c r="A1230" s="25"/>
      <c r="B1230" s="25"/>
      <c r="C1230" s="25" t="s">
        <v>3846</v>
      </c>
      <c r="D1230" s="25" t="s">
        <v>2072</v>
      </c>
      <c r="E1230" s="25"/>
      <c r="F1230" s="25"/>
      <c r="G1230" s="25" t="s">
        <v>2070</v>
      </c>
      <c r="H1230" s="25" t="s">
        <v>3103</v>
      </c>
    </row>
    <row r="1231" spans="1:8" ht="18" hidden="1" customHeight="1" outlineLevel="2" x14ac:dyDescent="0.2">
      <c r="A1231" s="25"/>
      <c r="B1231" s="25"/>
      <c r="C1231" s="25" t="s">
        <v>3846</v>
      </c>
      <c r="D1231" s="25" t="s">
        <v>2073</v>
      </c>
      <c r="E1231" s="25"/>
      <c r="F1231" s="25"/>
      <c r="G1231" s="25" t="s">
        <v>2070</v>
      </c>
      <c r="H1231" s="25" t="s">
        <v>3103</v>
      </c>
    </row>
    <row r="1232" spans="1:8" ht="18" hidden="1" customHeight="1" outlineLevel="2" x14ac:dyDescent="0.2">
      <c r="A1232" s="25"/>
      <c r="B1232" s="25"/>
      <c r="C1232" s="25" t="s">
        <v>3846</v>
      </c>
      <c r="D1232" s="25" t="s">
        <v>2074</v>
      </c>
      <c r="E1232" s="25"/>
      <c r="F1232" s="25"/>
      <c r="G1232" s="25" t="s">
        <v>2070</v>
      </c>
      <c r="H1232" s="25" t="s">
        <v>3103</v>
      </c>
    </row>
    <row r="1233" spans="1:29" ht="18" hidden="1" customHeight="1" outlineLevel="2" x14ac:dyDescent="0.2">
      <c r="A1233" s="25"/>
      <c r="B1233" s="25"/>
      <c r="C1233" s="25"/>
      <c r="D1233" s="25"/>
      <c r="E1233" s="25"/>
      <c r="F1233" s="25"/>
      <c r="G1233" s="25"/>
    </row>
    <row r="1234" spans="1:29" customFormat="1" ht="18" hidden="1" customHeight="1" outlineLevel="1" x14ac:dyDescent="0.25">
      <c r="A1234" s="119" t="s">
        <v>162</v>
      </c>
      <c r="B1234" s="120"/>
      <c r="C1234" s="120"/>
      <c r="D1234" s="120" t="s">
        <v>162</v>
      </c>
      <c r="E1234" s="120"/>
      <c r="F1234" s="120"/>
      <c r="G1234" s="120"/>
      <c r="H1234" s="120"/>
      <c r="AC1234" t="s">
        <v>4243</v>
      </c>
    </row>
    <row r="1235" spans="1:29" ht="18" hidden="1" customHeight="1" outlineLevel="2" x14ac:dyDescent="0.25">
      <c r="A1235" s="25"/>
      <c r="B1235" s="25" t="s">
        <v>3473</v>
      </c>
      <c r="C1235" s="25" t="s">
        <v>2726</v>
      </c>
      <c r="D1235" s="25" t="s">
        <v>1199</v>
      </c>
      <c r="E1235" s="25" t="s">
        <v>2727</v>
      </c>
      <c r="F1235" s="25" t="s">
        <v>1348</v>
      </c>
      <c r="G1235" s="25" t="s">
        <v>2728</v>
      </c>
      <c r="H1235" s="25" t="s">
        <v>743</v>
      </c>
      <c r="J1235"/>
    </row>
    <row r="1236" spans="1:29" ht="18" hidden="1" customHeight="1" outlineLevel="2" x14ac:dyDescent="0.25">
      <c r="A1236" s="25"/>
      <c r="B1236" s="25" t="s">
        <v>3474</v>
      </c>
      <c r="C1236" s="25" t="s">
        <v>2726</v>
      </c>
      <c r="D1236" s="25" t="s">
        <v>1200</v>
      </c>
      <c r="E1236" s="25" t="s">
        <v>2729</v>
      </c>
      <c r="F1236" s="25" t="s">
        <v>1348</v>
      </c>
      <c r="G1236" s="25" t="s">
        <v>2728</v>
      </c>
      <c r="H1236" s="25" t="s">
        <v>743</v>
      </c>
      <c r="J1236"/>
    </row>
    <row r="1237" spans="1:29" ht="18" hidden="1" customHeight="1" outlineLevel="2" x14ac:dyDescent="0.25">
      <c r="A1237" s="25"/>
      <c r="B1237" s="25" t="s">
        <v>3475</v>
      </c>
      <c r="C1237" s="25" t="s">
        <v>2726</v>
      </c>
      <c r="D1237" s="25" t="s">
        <v>1201</v>
      </c>
      <c r="E1237" s="25" t="s">
        <v>2730</v>
      </c>
      <c r="F1237" s="25" t="s">
        <v>1348</v>
      </c>
      <c r="G1237" s="25" t="s">
        <v>2728</v>
      </c>
      <c r="H1237" s="25" t="s">
        <v>743</v>
      </c>
      <c r="J1237"/>
    </row>
    <row r="1238" spans="1:29" ht="18" hidden="1" customHeight="1" outlineLevel="2" x14ac:dyDescent="0.25">
      <c r="A1238" s="25"/>
      <c r="B1238" s="25" t="s">
        <v>3476</v>
      </c>
      <c r="C1238" s="25" t="s">
        <v>2726</v>
      </c>
      <c r="D1238" s="25" t="s">
        <v>1202</v>
      </c>
      <c r="E1238" s="25" t="s">
        <v>2731</v>
      </c>
      <c r="F1238" s="25" t="s">
        <v>1348</v>
      </c>
      <c r="G1238" s="25" t="s">
        <v>2728</v>
      </c>
      <c r="H1238" s="25" t="s">
        <v>743</v>
      </c>
      <c r="J1238"/>
    </row>
    <row r="1239" spans="1:29" ht="18" hidden="1" customHeight="1" outlineLevel="2" x14ac:dyDescent="0.25">
      <c r="A1239" s="25"/>
      <c r="B1239" s="25" t="s">
        <v>3477</v>
      </c>
      <c r="C1239" s="25" t="s">
        <v>2726</v>
      </c>
      <c r="D1239" s="25" t="s">
        <v>2368</v>
      </c>
      <c r="E1239" s="25" t="s">
        <v>2732</v>
      </c>
      <c r="F1239" s="25" t="s">
        <v>1348</v>
      </c>
      <c r="G1239" s="25" t="s">
        <v>2728</v>
      </c>
      <c r="H1239" s="25" t="s">
        <v>743</v>
      </c>
      <c r="J1239"/>
    </row>
    <row r="1240" spans="1:29" ht="18" hidden="1" customHeight="1" outlineLevel="2" x14ac:dyDescent="0.25">
      <c r="A1240" s="25"/>
      <c r="B1240" s="25" t="s">
        <v>3478</v>
      </c>
      <c r="C1240" s="25" t="s">
        <v>2726</v>
      </c>
      <c r="D1240" s="25" t="s">
        <v>517</v>
      </c>
      <c r="E1240" s="25" t="s">
        <v>2733</v>
      </c>
      <c r="F1240" s="25" t="s">
        <v>1348</v>
      </c>
      <c r="G1240" s="25" t="s">
        <v>2728</v>
      </c>
      <c r="H1240" s="25" t="s">
        <v>743</v>
      </c>
      <c r="J1240"/>
    </row>
    <row r="1241" spans="1:29" ht="18" hidden="1" customHeight="1" outlineLevel="2" x14ac:dyDescent="0.25">
      <c r="A1241" s="25"/>
      <c r="B1241" s="25" t="s">
        <v>3479</v>
      </c>
      <c r="C1241" s="25" t="s">
        <v>2726</v>
      </c>
      <c r="D1241" s="25" t="s">
        <v>3901</v>
      </c>
      <c r="E1241" s="25" t="s">
        <v>2734</v>
      </c>
      <c r="F1241" s="25" t="s">
        <v>1348</v>
      </c>
      <c r="G1241" s="25" t="s">
        <v>2728</v>
      </c>
      <c r="H1241" s="25" t="s">
        <v>56</v>
      </c>
      <c r="J1241"/>
    </row>
    <row r="1242" spans="1:29" ht="18" hidden="1" customHeight="1" outlineLevel="2" x14ac:dyDescent="0.25">
      <c r="A1242" s="25"/>
      <c r="B1242" s="25" t="s">
        <v>3480</v>
      </c>
      <c r="C1242" s="25" t="s">
        <v>2726</v>
      </c>
      <c r="D1242" s="25" t="s">
        <v>3902</v>
      </c>
      <c r="E1242" s="25" t="s">
        <v>2735</v>
      </c>
      <c r="F1242" s="25" t="s">
        <v>1348</v>
      </c>
      <c r="G1242" s="25" t="s">
        <v>2728</v>
      </c>
      <c r="H1242" s="25" t="s">
        <v>56</v>
      </c>
      <c r="J1242"/>
    </row>
    <row r="1243" spans="1:29" ht="18" hidden="1" customHeight="1" outlineLevel="2" x14ac:dyDescent="0.25">
      <c r="A1243" s="25"/>
      <c r="B1243" s="25" t="s">
        <v>3481</v>
      </c>
      <c r="C1243" s="25" t="s">
        <v>2726</v>
      </c>
      <c r="D1243" s="25" t="s">
        <v>3903</v>
      </c>
      <c r="E1243" s="25" t="s">
        <v>2736</v>
      </c>
      <c r="F1243" s="25" t="s">
        <v>1348</v>
      </c>
      <c r="G1243" s="25" t="s">
        <v>2728</v>
      </c>
      <c r="H1243" s="25" t="s">
        <v>56</v>
      </c>
      <c r="J1243"/>
    </row>
    <row r="1244" spans="1:29" ht="18" hidden="1" customHeight="1" outlineLevel="2" x14ac:dyDescent="0.25">
      <c r="A1244" s="25"/>
      <c r="B1244" s="25" t="s">
        <v>3482</v>
      </c>
      <c r="C1244" s="25" t="s">
        <v>2726</v>
      </c>
      <c r="D1244" s="25" t="s">
        <v>3904</v>
      </c>
      <c r="E1244" s="25" t="s">
        <v>2737</v>
      </c>
      <c r="F1244" s="25" t="s">
        <v>1348</v>
      </c>
      <c r="G1244" s="25" t="s">
        <v>2728</v>
      </c>
      <c r="H1244" s="25" t="s">
        <v>56</v>
      </c>
      <c r="J1244"/>
    </row>
    <row r="1245" spans="1:29" ht="18" hidden="1" customHeight="1" outlineLevel="2" x14ac:dyDescent="0.25">
      <c r="A1245" s="25"/>
      <c r="B1245" s="25" t="s">
        <v>3483</v>
      </c>
      <c r="C1245" s="25" t="s">
        <v>2726</v>
      </c>
      <c r="D1245" s="25" t="s">
        <v>3905</v>
      </c>
      <c r="E1245" s="25" t="s">
        <v>2738</v>
      </c>
      <c r="F1245" s="25" t="s">
        <v>1348</v>
      </c>
      <c r="G1245" s="25" t="s">
        <v>2728</v>
      </c>
      <c r="H1245" s="25" t="s">
        <v>56</v>
      </c>
      <c r="J1245"/>
    </row>
    <row r="1246" spans="1:29" ht="18" hidden="1" customHeight="1" outlineLevel="2" x14ac:dyDescent="0.25">
      <c r="A1246" s="25"/>
      <c r="B1246" s="25" t="s">
        <v>3484</v>
      </c>
      <c r="C1246" s="25" t="s">
        <v>2726</v>
      </c>
      <c r="D1246" s="25" t="s">
        <v>3906</v>
      </c>
      <c r="E1246" s="25" t="s">
        <v>2739</v>
      </c>
      <c r="F1246" s="25" t="s">
        <v>1348</v>
      </c>
      <c r="G1246" s="25" t="s">
        <v>2728</v>
      </c>
      <c r="H1246" s="25" t="s">
        <v>56</v>
      </c>
      <c r="J1246"/>
    </row>
    <row r="1247" spans="1:29" ht="18" hidden="1" customHeight="1" outlineLevel="2" x14ac:dyDescent="0.25">
      <c r="A1247" s="25"/>
      <c r="B1247" s="25" t="s">
        <v>3485</v>
      </c>
      <c r="C1247" s="25" t="s">
        <v>2726</v>
      </c>
      <c r="D1247" s="25" t="s">
        <v>3907</v>
      </c>
      <c r="E1247" s="25" t="s">
        <v>2740</v>
      </c>
      <c r="F1247" s="25" t="s">
        <v>1348</v>
      </c>
      <c r="G1247" s="25" t="s">
        <v>2728</v>
      </c>
      <c r="H1247" s="25" t="s">
        <v>56</v>
      </c>
      <c r="J1247"/>
    </row>
    <row r="1248" spans="1:29" ht="18" hidden="1" customHeight="1" outlineLevel="2" x14ac:dyDescent="0.25">
      <c r="A1248" s="25"/>
      <c r="B1248" s="25" t="s">
        <v>3486</v>
      </c>
      <c r="C1248" s="25" t="s">
        <v>2726</v>
      </c>
      <c r="D1248" s="25" t="s">
        <v>3908</v>
      </c>
      <c r="E1248" s="25" t="s">
        <v>2741</v>
      </c>
      <c r="F1248" s="25" t="s">
        <v>1348</v>
      </c>
      <c r="G1248" s="25" t="s">
        <v>2728</v>
      </c>
      <c r="H1248" s="25" t="s">
        <v>56</v>
      </c>
      <c r="J1248"/>
    </row>
    <row r="1249" spans="1:10" customFormat="1" ht="18" hidden="1" customHeight="1" outlineLevel="2" x14ac:dyDescent="0.25">
      <c r="A1249" s="25"/>
      <c r="B1249" s="25"/>
      <c r="C1249" s="25"/>
      <c r="D1249" s="25"/>
      <c r="E1249" s="25"/>
      <c r="F1249" s="25"/>
      <c r="G1249" s="25"/>
      <c r="H1249" s="25"/>
    </row>
    <row r="1250" spans="1:10" customFormat="1" ht="18" hidden="1" customHeight="1" outlineLevel="1" x14ac:dyDescent="0.25">
      <c r="A1250" s="119" t="s">
        <v>3852</v>
      </c>
      <c r="B1250" s="120"/>
      <c r="C1250" s="120"/>
      <c r="D1250" s="120" t="s">
        <v>3710</v>
      </c>
      <c r="E1250" s="120"/>
      <c r="F1250" s="120"/>
      <c r="G1250" s="120"/>
      <c r="H1250" s="120"/>
      <c r="J1250" s="9"/>
    </row>
    <row r="1251" spans="1:10" ht="18" hidden="1" customHeight="1" outlineLevel="2" x14ac:dyDescent="0.2">
      <c r="A1251" s="25"/>
      <c r="B1251" s="25" t="s">
        <v>3487</v>
      </c>
      <c r="C1251" s="25" t="s">
        <v>2742</v>
      </c>
      <c r="D1251" s="25" t="s">
        <v>1199</v>
      </c>
      <c r="E1251" s="25" t="s">
        <v>2743</v>
      </c>
      <c r="F1251" s="25" t="s">
        <v>1348</v>
      </c>
      <c r="G1251" s="25" t="s">
        <v>2728</v>
      </c>
      <c r="H1251" s="25" t="s">
        <v>3108</v>
      </c>
    </row>
    <row r="1252" spans="1:10" ht="18" hidden="1" customHeight="1" outlineLevel="2" x14ac:dyDescent="0.2">
      <c r="A1252" s="25"/>
      <c r="B1252" s="25" t="s">
        <v>3488</v>
      </c>
      <c r="C1252" s="25" t="s">
        <v>2742</v>
      </c>
      <c r="D1252" s="25" t="s">
        <v>1200</v>
      </c>
      <c r="E1252" s="25" t="s">
        <v>2744</v>
      </c>
      <c r="F1252" s="25" t="s">
        <v>1348</v>
      </c>
      <c r="G1252" s="25" t="s">
        <v>2728</v>
      </c>
      <c r="H1252" s="25" t="s">
        <v>3108</v>
      </c>
    </row>
    <row r="1253" spans="1:10" ht="18" hidden="1" customHeight="1" outlineLevel="2" x14ac:dyDescent="0.2">
      <c r="A1253" s="25"/>
      <c r="B1253" s="25" t="s">
        <v>3489</v>
      </c>
      <c r="C1253" s="25" t="s">
        <v>2742</v>
      </c>
      <c r="D1253" s="25" t="s">
        <v>1201</v>
      </c>
      <c r="E1253" s="25" t="s">
        <v>2745</v>
      </c>
      <c r="F1253" s="25" t="s">
        <v>1348</v>
      </c>
      <c r="G1253" s="25" t="s">
        <v>2728</v>
      </c>
      <c r="H1253" s="25" t="s">
        <v>3108</v>
      </c>
    </row>
    <row r="1254" spans="1:10" ht="18" hidden="1" customHeight="1" outlineLevel="2" x14ac:dyDescent="0.2">
      <c r="A1254" s="25"/>
      <c r="B1254" s="25" t="s">
        <v>3490</v>
      </c>
      <c r="C1254" s="25" t="s">
        <v>2742</v>
      </c>
      <c r="D1254" s="25" t="s">
        <v>1202</v>
      </c>
      <c r="E1254" s="25" t="s">
        <v>2746</v>
      </c>
      <c r="F1254" s="25" t="s">
        <v>1348</v>
      </c>
      <c r="G1254" s="25" t="s">
        <v>2728</v>
      </c>
      <c r="H1254" s="25" t="s">
        <v>3108</v>
      </c>
    </row>
    <row r="1255" spans="1:10" ht="18" hidden="1" customHeight="1" outlineLevel="2" x14ac:dyDescent="0.2">
      <c r="A1255" s="25"/>
      <c r="B1255" s="25" t="s">
        <v>3491</v>
      </c>
      <c r="C1255" s="25" t="s">
        <v>2742</v>
      </c>
      <c r="D1255" s="25" t="s">
        <v>2368</v>
      </c>
      <c r="E1255" s="25" t="s">
        <v>2747</v>
      </c>
      <c r="F1255" s="25" t="s">
        <v>1348</v>
      </c>
      <c r="G1255" s="25" t="s">
        <v>2728</v>
      </c>
      <c r="H1255" s="25" t="s">
        <v>3108</v>
      </c>
    </row>
    <row r="1256" spans="1:10" ht="18" hidden="1" customHeight="1" outlineLevel="2" x14ac:dyDescent="0.2">
      <c r="A1256" s="25"/>
      <c r="B1256" s="25" t="s">
        <v>352</v>
      </c>
      <c r="C1256" s="25" t="s">
        <v>2742</v>
      </c>
      <c r="D1256" s="25" t="s">
        <v>517</v>
      </c>
      <c r="E1256" s="25" t="s">
        <v>2748</v>
      </c>
      <c r="F1256" s="25" t="s">
        <v>1348</v>
      </c>
      <c r="G1256" s="25" t="s">
        <v>2728</v>
      </c>
      <c r="H1256" s="25" t="s">
        <v>3108</v>
      </c>
    </row>
    <row r="1257" spans="1:10" ht="18" hidden="1" customHeight="1" outlineLevel="2" x14ac:dyDescent="0.2">
      <c r="A1257" s="25"/>
      <c r="B1257" s="25" t="s">
        <v>3487</v>
      </c>
      <c r="C1257" s="25" t="s">
        <v>2742</v>
      </c>
      <c r="D1257" s="25" t="s">
        <v>1199</v>
      </c>
      <c r="E1257" s="25" t="s">
        <v>2749</v>
      </c>
      <c r="F1257" s="25" t="s">
        <v>1348</v>
      </c>
      <c r="G1257" s="25" t="s">
        <v>2728</v>
      </c>
      <c r="H1257" s="25" t="s">
        <v>3109</v>
      </c>
    </row>
    <row r="1258" spans="1:10" ht="18" hidden="1" customHeight="1" outlineLevel="2" x14ac:dyDescent="0.2">
      <c r="A1258" s="25"/>
      <c r="B1258" s="25" t="s">
        <v>3488</v>
      </c>
      <c r="C1258" s="25" t="s">
        <v>2742</v>
      </c>
      <c r="D1258" s="25" t="s">
        <v>1200</v>
      </c>
      <c r="E1258" s="25" t="s">
        <v>2750</v>
      </c>
      <c r="F1258" s="25" t="s">
        <v>1348</v>
      </c>
      <c r="G1258" s="25" t="s">
        <v>2728</v>
      </c>
      <c r="H1258" s="25" t="s">
        <v>3109</v>
      </c>
    </row>
    <row r="1259" spans="1:10" ht="18" hidden="1" customHeight="1" outlineLevel="2" x14ac:dyDescent="0.2">
      <c r="A1259" s="25"/>
      <c r="B1259" s="25" t="s">
        <v>3489</v>
      </c>
      <c r="C1259" s="25" t="s">
        <v>2742</v>
      </c>
      <c r="D1259" s="25" t="s">
        <v>1201</v>
      </c>
      <c r="E1259" s="25" t="s">
        <v>2751</v>
      </c>
      <c r="F1259" s="25" t="s">
        <v>1348</v>
      </c>
      <c r="G1259" s="25" t="s">
        <v>2728</v>
      </c>
      <c r="H1259" s="25" t="s">
        <v>3109</v>
      </c>
    </row>
    <row r="1260" spans="1:10" ht="18" hidden="1" customHeight="1" outlineLevel="2" x14ac:dyDescent="0.2">
      <c r="A1260" s="25"/>
      <c r="B1260" s="25" t="s">
        <v>3490</v>
      </c>
      <c r="C1260" s="25" t="s">
        <v>2742</v>
      </c>
      <c r="D1260" s="25" t="s">
        <v>1202</v>
      </c>
      <c r="E1260" s="25" t="s">
        <v>2752</v>
      </c>
      <c r="F1260" s="25" t="s">
        <v>1348</v>
      </c>
      <c r="G1260" s="25" t="s">
        <v>2728</v>
      </c>
      <c r="H1260" s="25" t="s">
        <v>3109</v>
      </c>
    </row>
    <row r="1261" spans="1:10" ht="18" hidden="1" customHeight="1" outlineLevel="2" x14ac:dyDescent="0.2">
      <c r="A1261" s="25"/>
      <c r="B1261" s="25" t="s">
        <v>3491</v>
      </c>
      <c r="C1261" s="25" t="s">
        <v>2742</v>
      </c>
      <c r="D1261" s="25" t="s">
        <v>2368</v>
      </c>
      <c r="E1261" s="25" t="s">
        <v>2753</v>
      </c>
      <c r="F1261" s="25" t="s">
        <v>1348</v>
      </c>
      <c r="G1261" s="25" t="s">
        <v>2728</v>
      </c>
      <c r="H1261" s="25" t="s">
        <v>3109</v>
      </c>
    </row>
    <row r="1262" spans="1:10" customFormat="1" ht="18" hidden="1" customHeight="1" outlineLevel="2" x14ac:dyDescent="0.25">
      <c r="A1262" s="25"/>
      <c r="B1262" s="25"/>
      <c r="C1262" s="25"/>
      <c r="D1262" s="25"/>
      <c r="E1262" s="25"/>
      <c r="F1262" s="25"/>
      <c r="G1262" s="25"/>
      <c r="H1262" s="25"/>
    </row>
    <row r="1263" spans="1:10" customFormat="1" ht="18" hidden="1" customHeight="1" outlineLevel="1" x14ac:dyDescent="0.25">
      <c r="A1263" s="119" t="s">
        <v>3909</v>
      </c>
      <c r="B1263" s="120"/>
      <c r="C1263" s="120"/>
      <c r="D1263" s="120" t="s">
        <v>164</v>
      </c>
      <c r="E1263" s="120"/>
      <c r="F1263" s="120"/>
      <c r="G1263" s="120"/>
      <c r="H1263" s="120"/>
    </row>
    <row r="1264" spans="1:10" ht="18" hidden="1" customHeight="1" outlineLevel="2" x14ac:dyDescent="0.2">
      <c r="A1264" s="25"/>
      <c r="B1264" s="25" t="s">
        <v>3517</v>
      </c>
      <c r="C1264" s="25" t="s">
        <v>2781</v>
      </c>
      <c r="D1264" s="25" t="s">
        <v>1199</v>
      </c>
      <c r="E1264" s="25" t="s">
        <v>2782</v>
      </c>
      <c r="F1264" s="25" t="s">
        <v>1348</v>
      </c>
      <c r="G1264" s="25" t="s">
        <v>2728</v>
      </c>
      <c r="H1264" s="25" t="s">
        <v>375</v>
      </c>
    </row>
    <row r="1265" spans="1:8" ht="18" hidden="1" customHeight="1" outlineLevel="2" x14ac:dyDescent="0.2">
      <c r="A1265" s="25"/>
      <c r="B1265" s="25" t="s">
        <v>3518</v>
      </c>
      <c r="C1265" s="25" t="s">
        <v>2781</v>
      </c>
      <c r="D1265" s="25" t="s">
        <v>1200</v>
      </c>
      <c r="E1265" s="25" t="s">
        <v>2783</v>
      </c>
      <c r="F1265" s="25" t="s">
        <v>1348</v>
      </c>
      <c r="G1265" s="25" t="s">
        <v>2728</v>
      </c>
      <c r="H1265" s="25" t="s">
        <v>375</v>
      </c>
    </row>
    <row r="1266" spans="1:8" ht="18" hidden="1" customHeight="1" outlineLevel="2" x14ac:dyDescent="0.2">
      <c r="A1266" s="25"/>
      <c r="B1266" s="25" t="s">
        <v>3519</v>
      </c>
      <c r="C1266" s="25" t="s">
        <v>2781</v>
      </c>
      <c r="D1266" s="25" t="s">
        <v>1201</v>
      </c>
      <c r="E1266" s="25" t="s">
        <v>2784</v>
      </c>
      <c r="F1266" s="25" t="s">
        <v>1348</v>
      </c>
      <c r="G1266" s="25" t="s">
        <v>2728</v>
      </c>
      <c r="H1266" s="25" t="s">
        <v>375</v>
      </c>
    </row>
    <row r="1267" spans="1:8" ht="18" hidden="1" customHeight="1" outlineLevel="2" x14ac:dyDescent="0.2">
      <c r="A1267" s="25"/>
      <c r="B1267" s="25" t="s">
        <v>3520</v>
      </c>
      <c r="C1267" s="25" t="s">
        <v>2781</v>
      </c>
      <c r="D1267" s="25" t="s">
        <v>1202</v>
      </c>
      <c r="E1267" s="25" t="s">
        <v>2785</v>
      </c>
      <c r="F1267" s="25" t="s">
        <v>1348</v>
      </c>
      <c r="G1267" s="25" t="s">
        <v>2728</v>
      </c>
      <c r="H1267" s="25" t="s">
        <v>375</v>
      </c>
    </row>
    <row r="1268" spans="1:8" ht="18" hidden="1" customHeight="1" outlineLevel="2" x14ac:dyDescent="0.2">
      <c r="A1268" s="25"/>
      <c r="B1268" s="25" t="s">
        <v>3521</v>
      </c>
      <c r="C1268" s="25" t="s">
        <v>2781</v>
      </c>
      <c r="D1268" s="25" t="s">
        <v>2368</v>
      </c>
      <c r="E1268" s="25" t="s">
        <v>2786</v>
      </c>
      <c r="F1268" s="25" t="s">
        <v>1348</v>
      </c>
      <c r="G1268" s="25" t="s">
        <v>2728</v>
      </c>
      <c r="H1268" s="25" t="s">
        <v>375</v>
      </c>
    </row>
    <row r="1269" spans="1:8" ht="18" hidden="1" customHeight="1" outlineLevel="2" x14ac:dyDescent="0.2">
      <c r="A1269" s="25"/>
      <c r="B1269" s="25" t="s">
        <v>3522</v>
      </c>
      <c r="C1269" s="25" t="s">
        <v>2781</v>
      </c>
      <c r="D1269" s="25" t="s">
        <v>517</v>
      </c>
      <c r="E1269" s="25" t="s">
        <v>2787</v>
      </c>
      <c r="F1269" s="25" t="s">
        <v>1348</v>
      </c>
      <c r="G1269" s="25" t="s">
        <v>2728</v>
      </c>
      <c r="H1269" s="25" t="s">
        <v>375</v>
      </c>
    </row>
    <row r="1270" spans="1:8" ht="18" hidden="1" customHeight="1" outlineLevel="2" x14ac:dyDescent="0.2">
      <c r="A1270" s="25"/>
      <c r="B1270" s="25" t="s">
        <v>3523</v>
      </c>
      <c r="C1270" s="25" t="s">
        <v>2781</v>
      </c>
      <c r="D1270" s="25" t="s">
        <v>3901</v>
      </c>
      <c r="E1270" s="25" t="s">
        <v>2788</v>
      </c>
      <c r="F1270" s="25" t="s">
        <v>1348</v>
      </c>
      <c r="G1270" s="25" t="s">
        <v>2728</v>
      </c>
      <c r="H1270" s="25" t="s">
        <v>375</v>
      </c>
    </row>
    <row r="1271" spans="1:8" ht="18" hidden="1" customHeight="1" outlineLevel="2" x14ac:dyDescent="0.2">
      <c r="A1271" s="25"/>
      <c r="B1271" s="25" t="s">
        <v>3524</v>
      </c>
      <c r="C1271" s="25" t="s">
        <v>2781</v>
      </c>
      <c r="D1271" s="25" t="s">
        <v>3902</v>
      </c>
      <c r="E1271" s="25" t="s">
        <v>2789</v>
      </c>
      <c r="F1271" s="25" t="s">
        <v>1348</v>
      </c>
      <c r="G1271" s="25" t="s">
        <v>2728</v>
      </c>
      <c r="H1271" s="25" t="s">
        <v>375</v>
      </c>
    </row>
    <row r="1272" spans="1:8" ht="18" hidden="1" customHeight="1" outlineLevel="2" x14ac:dyDescent="0.2">
      <c r="A1272" s="25"/>
      <c r="B1272" s="25" t="s">
        <v>3525</v>
      </c>
      <c r="C1272" s="25" t="s">
        <v>2781</v>
      </c>
      <c r="D1272" s="25" t="s">
        <v>3903</v>
      </c>
      <c r="E1272" s="25" t="s">
        <v>2790</v>
      </c>
      <c r="F1272" s="25" t="s">
        <v>1348</v>
      </c>
      <c r="G1272" s="25" t="s">
        <v>2728</v>
      </c>
      <c r="H1272" s="25" t="s">
        <v>375</v>
      </c>
    </row>
    <row r="1273" spans="1:8" ht="18" hidden="1" customHeight="1" outlineLevel="2" x14ac:dyDescent="0.2">
      <c r="A1273" s="25"/>
      <c r="B1273" s="25" t="s">
        <v>3526</v>
      </c>
      <c r="C1273" s="25" t="s">
        <v>2781</v>
      </c>
      <c r="D1273" s="25" t="s">
        <v>3904</v>
      </c>
      <c r="E1273" s="25" t="s">
        <v>2791</v>
      </c>
      <c r="F1273" s="25" t="s">
        <v>1348</v>
      </c>
      <c r="G1273" s="25" t="s">
        <v>2728</v>
      </c>
      <c r="H1273" s="25" t="s">
        <v>375</v>
      </c>
    </row>
    <row r="1274" spans="1:8" ht="18" hidden="1" customHeight="1" outlineLevel="2" x14ac:dyDescent="0.2">
      <c r="A1274" s="25"/>
      <c r="B1274" s="25" t="s">
        <v>3527</v>
      </c>
      <c r="C1274" s="25" t="s">
        <v>2781</v>
      </c>
      <c r="D1274" s="25" t="s">
        <v>3905</v>
      </c>
      <c r="E1274" s="25" t="s">
        <v>2792</v>
      </c>
      <c r="F1274" s="25" t="s">
        <v>1348</v>
      </c>
      <c r="G1274" s="25" t="s">
        <v>2728</v>
      </c>
      <c r="H1274" s="25" t="s">
        <v>375</v>
      </c>
    </row>
    <row r="1275" spans="1:8" ht="18" hidden="1" customHeight="1" outlineLevel="2" x14ac:dyDescent="0.2">
      <c r="A1275" s="25"/>
      <c r="B1275" s="25" t="s">
        <v>3528</v>
      </c>
      <c r="C1275" s="25" t="s">
        <v>2781</v>
      </c>
      <c r="D1275" s="25" t="s">
        <v>3906</v>
      </c>
      <c r="E1275" s="25" t="s">
        <v>2793</v>
      </c>
      <c r="F1275" s="25" t="s">
        <v>1348</v>
      </c>
      <c r="G1275" s="25" t="s">
        <v>2728</v>
      </c>
      <c r="H1275" s="25" t="s">
        <v>375</v>
      </c>
    </row>
    <row r="1276" spans="1:8" ht="18" hidden="1" customHeight="1" outlineLevel="2" x14ac:dyDescent="0.2">
      <c r="A1276" s="25"/>
      <c r="B1276" s="25" t="s">
        <v>3529</v>
      </c>
      <c r="C1276" s="25" t="s">
        <v>2781</v>
      </c>
      <c r="D1276" s="25" t="s">
        <v>3907</v>
      </c>
      <c r="E1276" s="25" t="s">
        <v>2794</v>
      </c>
      <c r="F1276" s="25" t="s">
        <v>1348</v>
      </c>
      <c r="G1276" s="25" t="s">
        <v>2728</v>
      </c>
      <c r="H1276" s="25" t="s">
        <v>375</v>
      </c>
    </row>
    <row r="1277" spans="1:8" ht="18" hidden="1" customHeight="1" outlineLevel="2" x14ac:dyDescent="0.2">
      <c r="A1277" s="25"/>
      <c r="B1277" s="25" t="s">
        <v>3530</v>
      </c>
      <c r="C1277" s="25" t="s">
        <v>2781</v>
      </c>
      <c r="D1277" s="25" t="s">
        <v>3908</v>
      </c>
      <c r="E1277" s="25" t="s">
        <v>2795</v>
      </c>
      <c r="F1277" s="25" t="s">
        <v>1348</v>
      </c>
      <c r="G1277" s="25" t="s">
        <v>2728</v>
      </c>
      <c r="H1277" s="25" t="s">
        <v>375</v>
      </c>
    </row>
    <row r="1278" spans="1:8" ht="18" hidden="1" customHeight="1" outlineLevel="2" x14ac:dyDescent="0.2">
      <c r="A1278" s="25"/>
      <c r="B1278" s="25"/>
      <c r="C1278" s="25"/>
      <c r="D1278" s="25"/>
      <c r="E1278" s="25"/>
      <c r="F1278" s="25"/>
      <c r="G1278" s="25"/>
    </row>
    <row r="1279" spans="1:8" ht="18" hidden="1" customHeight="1" outlineLevel="2" x14ac:dyDescent="0.2">
      <c r="A1279" s="25"/>
      <c r="B1279" s="25" t="s">
        <v>3531</v>
      </c>
      <c r="C1279" s="25" t="s">
        <v>2796</v>
      </c>
      <c r="D1279" s="25" t="s">
        <v>1200</v>
      </c>
      <c r="E1279" s="25" t="s">
        <v>2797</v>
      </c>
      <c r="F1279" s="25" t="s">
        <v>1348</v>
      </c>
      <c r="G1279" s="25" t="s">
        <v>2728</v>
      </c>
      <c r="H1279" s="25" t="s">
        <v>375</v>
      </c>
    </row>
    <row r="1280" spans="1:8" ht="18" hidden="1" customHeight="1" outlineLevel="2" x14ac:dyDescent="0.2">
      <c r="A1280" s="25"/>
      <c r="B1280" s="25" t="s">
        <v>3532</v>
      </c>
      <c r="C1280" s="25" t="s">
        <v>2796</v>
      </c>
      <c r="D1280" s="25" t="s">
        <v>1201</v>
      </c>
      <c r="E1280" s="25" t="s">
        <v>2798</v>
      </c>
      <c r="F1280" s="25" t="s">
        <v>1348</v>
      </c>
      <c r="G1280" s="25" t="s">
        <v>2728</v>
      </c>
      <c r="H1280" s="25" t="s">
        <v>375</v>
      </c>
    </row>
    <row r="1281" spans="1:8" ht="18" hidden="1" customHeight="1" outlineLevel="2" x14ac:dyDescent="0.2">
      <c r="A1281" s="25"/>
      <c r="B1281" s="25" t="s">
        <v>3533</v>
      </c>
      <c r="C1281" s="25" t="s">
        <v>2796</v>
      </c>
      <c r="D1281" s="25" t="s">
        <v>1202</v>
      </c>
      <c r="E1281" s="25" t="s">
        <v>2799</v>
      </c>
      <c r="F1281" s="25" t="s">
        <v>1348</v>
      </c>
      <c r="G1281" s="25" t="s">
        <v>2728</v>
      </c>
      <c r="H1281" s="25" t="s">
        <v>375</v>
      </c>
    </row>
    <row r="1282" spans="1:8" ht="18" hidden="1" customHeight="1" outlineLevel="2" x14ac:dyDescent="0.2">
      <c r="A1282" s="25"/>
      <c r="B1282" s="25" t="s">
        <v>3534</v>
      </c>
      <c r="C1282" s="25" t="s">
        <v>2796</v>
      </c>
      <c r="D1282" s="25" t="s">
        <v>2368</v>
      </c>
      <c r="E1282" s="25" t="s">
        <v>2800</v>
      </c>
      <c r="F1282" s="25" t="s">
        <v>1348</v>
      </c>
      <c r="G1282" s="25" t="s">
        <v>2728</v>
      </c>
      <c r="H1282" s="25" t="s">
        <v>375</v>
      </c>
    </row>
    <row r="1283" spans="1:8" ht="18" hidden="1" customHeight="1" outlineLevel="2" x14ac:dyDescent="0.2">
      <c r="A1283" s="25"/>
      <c r="B1283" s="25" t="s">
        <v>3535</v>
      </c>
      <c r="C1283" s="25" t="s">
        <v>2796</v>
      </c>
      <c r="D1283" s="25" t="s">
        <v>517</v>
      </c>
      <c r="E1283" s="25" t="s">
        <v>2801</v>
      </c>
      <c r="F1283" s="25" t="s">
        <v>1348</v>
      </c>
      <c r="G1283" s="25" t="s">
        <v>2728</v>
      </c>
      <c r="H1283" s="25" t="s">
        <v>375</v>
      </c>
    </row>
    <row r="1284" spans="1:8" ht="18" hidden="1" customHeight="1" outlineLevel="2" x14ac:dyDescent="0.2">
      <c r="A1284" s="25"/>
      <c r="B1284" s="25" t="s">
        <v>3536</v>
      </c>
      <c r="C1284" s="25" t="s">
        <v>2796</v>
      </c>
      <c r="D1284" s="25" t="s">
        <v>3901</v>
      </c>
      <c r="E1284" s="25" t="s">
        <v>2802</v>
      </c>
      <c r="F1284" s="25" t="s">
        <v>1348</v>
      </c>
      <c r="G1284" s="25" t="s">
        <v>2728</v>
      </c>
      <c r="H1284" s="25" t="s">
        <v>375</v>
      </c>
    </row>
    <row r="1285" spans="1:8" ht="18" hidden="1" customHeight="1" outlineLevel="2" x14ac:dyDescent="0.2">
      <c r="A1285" s="25"/>
      <c r="B1285" s="25" t="s">
        <v>3537</v>
      </c>
      <c r="C1285" s="25" t="s">
        <v>2796</v>
      </c>
      <c r="D1285" s="25" t="s">
        <v>3902</v>
      </c>
      <c r="E1285" s="25" t="s">
        <v>2803</v>
      </c>
      <c r="F1285" s="25" t="s">
        <v>1348</v>
      </c>
      <c r="G1285" s="25" t="s">
        <v>2728</v>
      </c>
      <c r="H1285" s="25" t="s">
        <v>375</v>
      </c>
    </row>
    <row r="1286" spans="1:8" ht="18" hidden="1" customHeight="1" outlineLevel="2" x14ac:dyDescent="0.2">
      <c r="A1286" s="25"/>
      <c r="B1286" s="25" t="s">
        <v>3538</v>
      </c>
      <c r="C1286" s="25" t="s">
        <v>2796</v>
      </c>
      <c r="D1286" s="25" t="s">
        <v>3903</v>
      </c>
      <c r="E1286" s="25" t="s">
        <v>2804</v>
      </c>
      <c r="F1286" s="25" t="s">
        <v>1348</v>
      </c>
      <c r="G1286" s="25" t="s">
        <v>2728</v>
      </c>
      <c r="H1286" s="25" t="s">
        <v>375</v>
      </c>
    </row>
    <row r="1287" spans="1:8" ht="18" hidden="1" customHeight="1" outlineLevel="2" x14ac:dyDescent="0.2">
      <c r="A1287" s="25"/>
      <c r="B1287" s="25" t="s">
        <v>3539</v>
      </c>
      <c r="C1287" s="25" t="s">
        <v>2796</v>
      </c>
      <c r="D1287" s="25" t="s">
        <v>3904</v>
      </c>
      <c r="E1287" s="25" t="s">
        <v>2805</v>
      </c>
      <c r="F1287" s="25" t="s">
        <v>1348</v>
      </c>
      <c r="G1287" s="25" t="s">
        <v>2728</v>
      </c>
      <c r="H1287" s="25" t="s">
        <v>375</v>
      </c>
    </row>
    <row r="1288" spans="1:8" ht="18" hidden="1" customHeight="1" outlineLevel="2" x14ac:dyDescent="0.2">
      <c r="A1288" s="25"/>
      <c r="B1288" s="25" t="s">
        <v>3540</v>
      </c>
      <c r="C1288" s="25" t="s">
        <v>2796</v>
      </c>
      <c r="D1288" s="25" t="s">
        <v>3905</v>
      </c>
      <c r="E1288" s="25" t="s">
        <v>2806</v>
      </c>
      <c r="F1288" s="25" t="s">
        <v>1348</v>
      </c>
      <c r="G1288" s="25" t="s">
        <v>2728</v>
      </c>
      <c r="H1288" s="25" t="s">
        <v>375</v>
      </c>
    </row>
    <row r="1289" spans="1:8" ht="18" hidden="1" customHeight="1" outlineLevel="2" x14ac:dyDescent="0.2">
      <c r="A1289" s="25"/>
      <c r="B1289" s="25" t="s">
        <v>3541</v>
      </c>
      <c r="C1289" s="25" t="s">
        <v>2796</v>
      </c>
      <c r="D1289" s="25" t="s">
        <v>3906</v>
      </c>
      <c r="E1289" s="25" t="s">
        <v>2807</v>
      </c>
      <c r="F1289" s="25" t="s">
        <v>1348</v>
      </c>
      <c r="G1289" s="25" t="s">
        <v>2728</v>
      </c>
      <c r="H1289" s="25" t="s">
        <v>375</v>
      </c>
    </row>
    <row r="1290" spans="1:8" ht="18" hidden="1" customHeight="1" outlineLevel="2" x14ac:dyDescent="0.2">
      <c r="A1290" s="25"/>
      <c r="B1290" s="25" t="s">
        <v>3542</v>
      </c>
      <c r="C1290" s="25" t="s">
        <v>2796</v>
      </c>
      <c r="D1290" s="25" t="s">
        <v>3907</v>
      </c>
      <c r="E1290" s="25" t="s">
        <v>2808</v>
      </c>
      <c r="F1290" s="25" t="s">
        <v>1348</v>
      </c>
      <c r="G1290" s="25" t="s">
        <v>2728</v>
      </c>
      <c r="H1290" s="25" t="s">
        <v>375</v>
      </c>
    </row>
    <row r="1291" spans="1:8" ht="18" hidden="1" customHeight="1" outlineLevel="2" x14ac:dyDescent="0.2">
      <c r="A1291" s="25"/>
      <c r="B1291" s="25" t="s">
        <v>3543</v>
      </c>
      <c r="C1291" s="25" t="s">
        <v>2796</v>
      </c>
      <c r="D1291" s="25" t="s">
        <v>3908</v>
      </c>
      <c r="E1291" s="25" t="s">
        <v>2809</v>
      </c>
      <c r="F1291" s="25" t="s">
        <v>1348</v>
      </c>
      <c r="G1291" s="25" t="s">
        <v>2728</v>
      </c>
      <c r="H1291" s="25" t="s">
        <v>375</v>
      </c>
    </row>
    <row r="1292" spans="1:8" customFormat="1" ht="18" hidden="1" customHeight="1" outlineLevel="2" x14ac:dyDescent="0.25">
      <c r="A1292" s="25"/>
      <c r="B1292" s="25"/>
      <c r="C1292" s="25"/>
      <c r="D1292" s="25"/>
      <c r="E1292" s="25"/>
      <c r="F1292" s="25"/>
      <c r="G1292" s="25"/>
      <c r="H1292" s="25"/>
    </row>
    <row r="1293" spans="1:8" customFormat="1" ht="18" hidden="1" customHeight="1" outlineLevel="1" x14ac:dyDescent="0.25">
      <c r="A1293" s="119" t="s">
        <v>3910</v>
      </c>
      <c r="B1293" s="120"/>
      <c r="C1293" s="120"/>
      <c r="D1293" s="120" t="s">
        <v>163</v>
      </c>
      <c r="E1293" s="120"/>
      <c r="F1293" s="120"/>
      <c r="G1293" s="120"/>
      <c r="H1293" s="120"/>
    </row>
    <row r="1294" spans="1:8" ht="18" hidden="1" customHeight="1" outlineLevel="2" x14ac:dyDescent="0.2">
      <c r="A1294" s="25"/>
      <c r="B1294" s="25" t="s">
        <v>352</v>
      </c>
      <c r="C1294" s="25" t="s">
        <v>2754</v>
      </c>
      <c r="D1294" s="25" t="s">
        <v>1199</v>
      </c>
      <c r="E1294" s="25" t="s">
        <v>2755</v>
      </c>
      <c r="F1294" s="25" t="s">
        <v>1348</v>
      </c>
      <c r="G1294" s="25" t="s">
        <v>2728</v>
      </c>
      <c r="H1294" s="25" t="s">
        <v>375</v>
      </c>
    </row>
    <row r="1295" spans="1:8" ht="18" hidden="1" customHeight="1" outlineLevel="2" x14ac:dyDescent="0.2">
      <c r="A1295" s="25"/>
      <c r="B1295" s="25" t="s">
        <v>3492</v>
      </c>
      <c r="C1295" s="25" t="s">
        <v>2754</v>
      </c>
      <c r="D1295" s="25" t="s">
        <v>1200</v>
      </c>
      <c r="E1295" s="25" t="s">
        <v>2756</v>
      </c>
      <c r="F1295" s="25" t="s">
        <v>1348</v>
      </c>
      <c r="G1295" s="25" t="s">
        <v>2728</v>
      </c>
      <c r="H1295" s="25" t="s">
        <v>375</v>
      </c>
    </row>
    <row r="1296" spans="1:8" ht="18" hidden="1" customHeight="1" outlineLevel="2" x14ac:dyDescent="0.2">
      <c r="A1296" s="25"/>
      <c r="B1296" s="25" t="s">
        <v>3493</v>
      </c>
      <c r="C1296" s="25" t="s">
        <v>2754</v>
      </c>
      <c r="D1296" s="25" t="s">
        <v>1201</v>
      </c>
      <c r="E1296" s="25" t="s">
        <v>2757</v>
      </c>
      <c r="F1296" s="25" t="s">
        <v>1348</v>
      </c>
      <c r="G1296" s="25" t="s">
        <v>2728</v>
      </c>
      <c r="H1296" s="25" t="s">
        <v>375</v>
      </c>
    </row>
    <row r="1297" spans="1:8" ht="18" hidden="1" customHeight="1" outlineLevel="2" x14ac:dyDescent="0.2">
      <c r="A1297" s="25"/>
      <c r="B1297" s="25" t="s">
        <v>3494</v>
      </c>
      <c r="C1297" s="25" t="s">
        <v>2754</v>
      </c>
      <c r="D1297" s="25" t="s">
        <v>1202</v>
      </c>
      <c r="E1297" s="25" t="s">
        <v>2758</v>
      </c>
      <c r="F1297" s="25" t="s">
        <v>1348</v>
      </c>
      <c r="G1297" s="25" t="s">
        <v>2728</v>
      </c>
      <c r="H1297" s="25" t="s">
        <v>375</v>
      </c>
    </row>
    <row r="1298" spans="1:8" ht="18" hidden="1" customHeight="1" outlineLevel="2" x14ac:dyDescent="0.2">
      <c r="A1298" s="25"/>
      <c r="B1298" s="25" t="s">
        <v>3495</v>
      </c>
      <c r="C1298" s="25" t="s">
        <v>2754</v>
      </c>
      <c r="D1298" s="25" t="s">
        <v>2368</v>
      </c>
      <c r="E1298" s="25" t="s">
        <v>2759</v>
      </c>
      <c r="F1298" s="25" t="s">
        <v>1348</v>
      </c>
      <c r="G1298" s="25" t="s">
        <v>2728</v>
      </c>
      <c r="H1298" s="25" t="s">
        <v>375</v>
      </c>
    </row>
    <row r="1299" spans="1:8" ht="18" hidden="1" customHeight="1" outlineLevel="2" x14ac:dyDescent="0.2">
      <c r="A1299" s="25"/>
      <c r="B1299" s="25" t="s">
        <v>3496</v>
      </c>
      <c r="C1299" s="25" t="s">
        <v>2754</v>
      </c>
      <c r="D1299" s="25" t="s">
        <v>517</v>
      </c>
      <c r="E1299" s="25" t="s">
        <v>2760</v>
      </c>
      <c r="F1299" s="25" t="s">
        <v>1348</v>
      </c>
      <c r="G1299" s="25" t="s">
        <v>2728</v>
      </c>
      <c r="H1299" s="25" t="s">
        <v>375</v>
      </c>
    </row>
    <row r="1300" spans="1:8" ht="18" hidden="1" customHeight="1" outlineLevel="2" x14ac:dyDescent="0.2">
      <c r="A1300" s="25"/>
      <c r="B1300" s="25" t="s">
        <v>3497</v>
      </c>
      <c r="C1300" s="25" t="s">
        <v>2754</v>
      </c>
      <c r="D1300" s="25" t="s">
        <v>3901</v>
      </c>
      <c r="E1300" s="25" t="s">
        <v>2761</v>
      </c>
      <c r="F1300" s="25" t="s">
        <v>1348</v>
      </c>
      <c r="G1300" s="25" t="s">
        <v>2728</v>
      </c>
      <c r="H1300" s="25" t="s">
        <v>375</v>
      </c>
    </row>
    <row r="1301" spans="1:8" ht="18" hidden="1" customHeight="1" outlineLevel="2" x14ac:dyDescent="0.2">
      <c r="A1301" s="25"/>
      <c r="B1301" s="25" t="s">
        <v>3498</v>
      </c>
      <c r="C1301" s="25" t="s">
        <v>2754</v>
      </c>
      <c r="D1301" s="25" t="s">
        <v>3902</v>
      </c>
      <c r="E1301" s="25" t="s">
        <v>2762</v>
      </c>
      <c r="F1301" s="25" t="s">
        <v>1348</v>
      </c>
      <c r="G1301" s="25" t="s">
        <v>2728</v>
      </c>
      <c r="H1301" s="25" t="s">
        <v>375</v>
      </c>
    </row>
    <row r="1302" spans="1:8" ht="18" hidden="1" customHeight="1" outlineLevel="2" x14ac:dyDescent="0.2">
      <c r="A1302" s="25"/>
      <c r="B1302" s="25" t="s">
        <v>3499</v>
      </c>
      <c r="C1302" s="25" t="s">
        <v>2754</v>
      </c>
      <c r="D1302" s="25" t="s">
        <v>3903</v>
      </c>
      <c r="E1302" s="25" t="s">
        <v>2763</v>
      </c>
      <c r="F1302" s="25" t="s">
        <v>1348</v>
      </c>
      <c r="G1302" s="25" t="s">
        <v>2728</v>
      </c>
      <c r="H1302" s="25" t="s">
        <v>375</v>
      </c>
    </row>
    <row r="1303" spans="1:8" ht="18" hidden="1" customHeight="1" outlineLevel="2" x14ac:dyDescent="0.2">
      <c r="A1303" s="25"/>
      <c r="B1303" s="25" t="s">
        <v>3500</v>
      </c>
      <c r="C1303" s="25" t="s">
        <v>2754</v>
      </c>
      <c r="D1303" s="25" t="s">
        <v>3904</v>
      </c>
      <c r="E1303" s="25" t="s">
        <v>2764</v>
      </c>
      <c r="F1303" s="25" t="s">
        <v>1348</v>
      </c>
      <c r="G1303" s="25" t="s">
        <v>2728</v>
      </c>
      <c r="H1303" s="25" t="s">
        <v>375</v>
      </c>
    </row>
    <row r="1304" spans="1:8" ht="18" hidden="1" customHeight="1" outlineLevel="2" x14ac:dyDescent="0.2">
      <c r="A1304" s="25"/>
      <c r="B1304" s="25" t="s">
        <v>3501</v>
      </c>
      <c r="C1304" s="25" t="s">
        <v>2754</v>
      </c>
      <c r="D1304" s="25" t="s">
        <v>3905</v>
      </c>
      <c r="E1304" s="25" t="s">
        <v>2765</v>
      </c>
      <c r="F1304" s="25" t="s">
        <v>1348</v>
      </c>
      <c r="G1304" s="25" t="s">
        <v>2728</v>
      </c>
      <c r="H1304" s="25" t="s">
        <v>375</v>
      </c>
    </row>
    <row r="1305" spans="1:8" ht="18" hidden="1" customHeight="1" outlineLevel="2" x14ac:dyDescent="0.2">
      <c r="A1305" s="25"/>
      <c r="B1305" s="25" t="s">
        <v>3502</v>
      </c>
      <c r="C1305" s="25" t="s">
        <v>2754</v>
      </c>
      <c r="D1305" s="25" t="s">
        <v>3906</v>
      </c>
      <c r="E1305" s="25" t="s">
        <v>2766</v>
      </c>
      <c r="F1305" s="25" t="s">
        <v>1348</v>
      </c>
      <c r="G1305" s="25" t="s">
        <v>2728</v>
      </c>
      <c r="H1305" s="25" t="s">
        <v>375</v>
      </c>
    </row>
    <row r="1306" spans="1:8" ht="18" hidden="1" customHeight="1" outlineLevel="2" x14ac:dyDescent="0.2">
      <c r="A1306" s="25"/>
      <c r="B1306" s="25" t="s">
        <v>3503</v>
      </c>
      <c r="C1306" s="25" t="s">
        <v>2754</v>
      </c>
      <c r="D1306" s="25" t="s">
        <v>3907</v>
      </c>
      <c r="E1306" s="25" t="s">
        <v>2767</v>
      </c>
      <c r="F1306" s="25" t="s">
        <v>1348</v>
      </c>
      <c r="G1306" s="25" t="s">
        <v>2728</v>
      </c>
      <c r="H1306" s="25" t="s">
        <v>375</v>
      </c>
    </row>
    <row r="1307" spans="1:8" ht="18" hidden="1" customHeight="1" outlineLevel="2" x14ac:dyDescent="0.2">
      <c r="A1307" s="25"/>
      <c r="B1307" s="25" t="s">
        <v>3504</v>
      </c>
      <c r="C1307" s="25" t="s">
        <v>2754</v>
      </c>
      <c r="D1307" s="25" t="s">
        <v>3908</v>
      </c>
      <c r="E1307" s="25" t="s">
        <v>2768</v>
      </c>
      <c r="F1307" s="25" t="s">
        <v>1348</v>
      </c>
      <c r="G1307" s="25" t="s">
        <v>2728</v>
      </c>
      <c r="H1307" s="25" t="s">
        <v>375</v>
      </c>
    </row>
    <row r="1308" spans="1:8" ht="18" hidden="1" customHeight="1" outlineLevel="2" x14ac:dyDescent="0.2">
      <c r="A1308" s="25"/>
      <c r="B1308" s="25"/>
      <c r="C1308" s="25"/>
      <c r="D1308" s="25"/>
      <c r="E1308" s="25"/>
      <c r="F1308" s="25"/>
      <c r="G1308" s="25"/>
    </row>
    <row r="1309" spans="1:8" ht="18" hidden="1" customHeight="1" outlineLevel="2" x14ac:dyDescent="0.2">
      <c r="A1309" s="25"/>
      <c r="B1309" s="25" t="s">
        <v>352</v>
      </c>
      <c r="C1309" s="25" t="s">
        <v>2769</v>
      </c>
      <c r="D1309" s="25" t="s">
        <v>1200</v>
      </c>
      <c r="E1309" s="25" t="s">
        <v>547</v>
      </c>
      <c r="F1309" s="25" t="s">
        <v>1348</v>
      </c>
      <c r="G1309" s="25" t="s">
        <v>2728</v>
      </c>
      <c r="H1309" s="25" t="s">
        <v>375</v>
      </c>
    </row>
    <row r="1310" spans="1:8" ht="18" hidden="1" customHeight="1" outlineLevel="2" x14ac:dyDescent="0.2">
      <c r="A1310" s="25"/>
      <c r="B1310" s="25" t="s">
        <v>3505</v>
      </c>
      <c r="C1310" s="25" t="s">
        <v>2769</v>
      </c>
      <c r="D1310" s="25" t="s">
        <v>1201</v>
      </c>
      <c r="E1310" s="25" t="s">
        <v>2770</v>
      </c>
      <c r="F1310" s="25" t="s">
        <v>1348</v>
      </c>
      <c r="G1310" s="25" t="s">
        <v>2728</v>
      </c>
      <c r="H1310" s="25" t="s">
        <v>375</v>
      </c>
    </row>
    <row r="1311" spans="1:8" ht="18" hidden="1" customHeight="1" outlineLevel="2" x14ac:dyDescent="0.2">
      <c r="A1311" s="25"/>
      <c r="B1311" s="25" t="s">
        <v>3506</v>
      </c>
      <c r="C1311" s="25" t="s">
        <v>2769</v>
      </c>
      <c r="D1311" s="25" t="s">
        <v>1202</v>
      </c>
      <c r="E1311" s="25" t="s">
        <v>2771</v>
      </c>
      <c r="F1311" s="25" t="s">
        <v>1348</v>
      </c>
      <c r="G1311" s="25" t="s">
        <v>2728</v>
      </c>
      <c r="H1311" s="25" t="s">
        <v>375</v>
      </c>
    </row>
    <row r="1312" spans="1:8" ht="18" hidden="1" customHeight="1" outlineLevel="2" x14ac:dyDescent="0.2">
      <c r="A1312" s="25"/>
      <c r="B1312" s="25" t="s">
        <v>3507</v>
      </c>
      <c r="C1312" s="25" t="s">
        <v>2769</v>
      </c>
      <c r="D1312" s="25" t="s">
        <v>2368</v>
      </c>
      <c r="E1312" s="25" t="s">
        <v>2772</v>
      </c>
      <c r="F1312" s="25" t="s">
        <v>1348</v>
      </c>
      <c r="G1312" s="25" t="s">
        <v>2728</v>
      </c>
      <c r="H1312" s="25" t="s">
        <v>375</v>
      </c>
    </row>
    <row r="1313" spans="1:8" ht="18" hidden="1" customHeight="1" outlineLevel="2" x14ac:dyDescent="0.2">
      <c r="A1313" s="25"/>
      <c r="B1313" s="25" t="s">
        <v>3508</v>
      </c>
      <c r="C1313" s="25" t="s">
        <v>2769</v>
      </c>
      <c r="D1313" s="25" t="s">
        <v>517</v>
      </c>
      <c r="E1313" s="25" t="s">
        <v>2773</v>
      </c>
      <c r="F1313" s="25" t="s">
        <v>1348</v>
      </c>
      <c r="G1313" s="25" t="s">
        <v>2728</v>
      </c>
      <c r="H1313" s="25" t="s">
        <v>375</v>
      </c>
    </row>
    <row r="1314" spans="1:8" ht="18" hidden="1" customHeight="1" outlineLevel="2" x14ac:dyDescent="0.2">
      <c r="A1314" s="25"/>
      <c r="B1314" s="25" t="s">
        <v>3509</v>
      </c>
      <c r="C1314" s="25" t="s">
        <v>2769</v>
      </c>
      <c r="D1314" s="25" t="s">
        <v>3901</v>
      </c>
      <c r="E1314" s="25" t="s">
        <v>2774</v>
      </c>
      <c r="F1314" s="25" t="s">
        <v>1348</v>
      </c>
      <c r="G1314" s="25" t="s">
        <v>2728</v>
      </c>
      <c r="H1314" s="25" t="s">
        <v>375</v>
      </c>
    </row>
    <row r="1315" spans="1:8" ht="18" hidden="1" customHeight="1" outlineLevel="2" x14ac:dyDescent="0.2">
      <c r="A1315" s="25"/>
      <c r="B1315" s="25" t="s">
        <v>3510</v>
      </c>
      <c r="C1315" s="25" t="s">
        <v>2769</v>
      </c>
      <c r="D1315" s="25" t="s">
        <v>3902</v>
      </c>
      <c r="E1315" s="25" t="s">
        <v>2775</v>
      </c>
      <c r="F1315" s="25" t="s">
        <v>1348</v>
      </c>
      <c r="G1315" s="25" t="s">
        <v>2728</v>
      </c>
      <c r="H1315" s="25" t="s">
        <v>375</v>
      </c>
    </row>
    <row r="1316" spans="1:8" ht="18" hidden="1" customHeight="1" outlineLevel="2" x14ac:dyDescent="0.2">
      <c r="A1316" s="25"/>
      <c r="B1316" s="25" t="s">
        <v>3511</v>
      </c>
      <c r="C1316" s="25" t="s">
        <v>2769</v>
      </c>
      <c r="D1316" s="25" t="s">
        <v>3903</v>
      </c>
      <c r="E1316" s="25" t="s">
        <v>2776</v>
      </c>
      <c r="F1316" s="25" t="s">
        <v>1348</v>
      </c>
      <c r="G1316" s="25" t="s">
        <v>2728</v>
      </c>
      <c r="H1316" s="25" t="s">
        <v>375</v>
      </c>
    </row>
    <row r="1317" spans="1:8" ht="18" hidden="1" customHeight="1" outlineLevel="2" x14ac:dyDescent="0.2">
      <c r="A1317" s="25"/>
      <c r="B1317" s="25" t="s">
        <v>3512</v>
      </c>
      <c r="C1317" s="25" t="s">
        <v>2769</v>
      </c>
      <c r="D1317" s="25" t="s">
        <v>3904</v>
      </c>
      <c r="E1317" s="25" t="s">
        <v>2777</v>
      </c>
      <c r="F1317" s="25" t="s">
        <v>1348</v>
      </c>
      <c r="G1317" s="25" t="s">
        <v>2728</v>
      </c>
      <c r="H1317" s="25" t="s">
        <v>375</v>
      </c>
    </row>
    <row r="1318" spans="1:8" ht="18" hidden="1" customHeight="1" outlineLevel="2" x14ac:dyDescent="0.2">
      <c r="A1318" s="25"/>
      <c r="B1318" s="25" t="s">
        <v>3513</v>
      </c>
      <c r="C1318" s="25" t="s">
        <v>2769</v>
      </c>
      <c r="D1318" s="25" t="s">
        <v>3905</v>
      </c>
      <c r="E1318" s="25" t="s">
        <v>2778</v>
      </c>
      <c r="F1318" s="25" t="s">
        <v>1348</v>
      </c>
      <c r="G1318" s="25" t="s">
        <v>2728</v>
      </c>
      <c r="H1318" s="25" t="s">
        <v>375</v>
      </c>
    </row>
    <row r="1319" spans="1:8" ht="18" hidden="1" customHeight="1" outlineLevel="2" x14ac:dyDescent="0.2">
      <c r="A1319" s="25"/>
      <c r="B1319" s="25" t="s">
        <v>3514</v>
      </c>
      <c r="C1319" s="25" t="s">
        <v>2769</v>
      </c>
      <c r="D1319" s="25" t="s">
        <v>3906</v>
      </c>
      <c r="E1319" s="25" t="s">
        <v>547</v>
      </c>
      <c r="F1319" s="25" t="s">
        <v>1348</v>
      </c>
      <c r="G1319" s="25" t="s">
        <v>2728</v>
      </c>
      <c r="H1319" s="25" t="s">
        <v>375</v>
      </c>
    </row>
    <row r="1320" spans="1:8" ht="18" hidden="1" customHeight="1" outlineLevel="2" x14ac:dyDescent="0.2">
      <c r="A1320" s="25"/>
      <c r="B1320" s="25" t="s">
        <v>3515</v>
      </c>
      <c r="C1320" s="25" t="s">
        <v>2769</v>
      </c>
      <c r="D1320" s="25" t="s">
        <v>3907</v>
      </c>
      <c r="E1320" s="25" t="s">
        <v>2779</v>
      </c>
      <c r="F1320" s="25" t="s">
        <v>1348</v>
      </c>
      <c r="G1320" s="25" t="s">
        <v>2728</v>
      </c>
      <c r="H1320" s="25" t="s">
        <v>375</v>
      </c>
    </row>
    <row r="1321" spans="1:8" ht="18" hidden="1" customHeight="1" outlineLevel="2" x14ac:dyDescent="0.2">
      <c r="A1321" s="25"/>
      <c r="B1321" s="25" t="s">
        <v>3516</v>
      </c>
      <c r="C1321" s="25" t="s">
        <v>2769</v>
      </c>
      <c r="D1321" s="25" t="s">
        <v>3908</v>
      </c>
      <c r="E1321" s="25" t="s">
        <v>2780</v>
      </c>
      <c r="F1321" s="25" t="s">
        <v>1348</v>
      </c>
      <c r="G1321" s="25" t="s">
        <v>2728</v>
      </c>
      <c r="H1321" s="25" t="s">
        <v>375</v>
      </c>
    </row>
    <row r="1322" spans="1:8" customFormat="1" ht="18" hidden="1" customHeight="1" outlineLevel="2" x14ac:dyDescent="0.25">
      <c r="A1322" s="25"/>
      <c r="B1322" s="25"/>
      <c r="C1322" s="25"/>
      <c r="D1322" s="25"/>
      <c r="E1322" s="25"/>
      <c r="F1322" s="25"/>
      <c r="G1322" s="25"/>
      <c r="H1322" s="25"/>
    </row>
    <row r="1323" spans="1:8" customFormat="1" ht="18" hidden="1" customHeight="1" outlineLevel="1" x14ac:dyDescent="0.25">
      <c r="A1323" s="119" t="s">
        <v>167</v>
      </c>
      <c r="B1323" s="120"/>
      <c r="C1323" s="120"/>
      <c r="D1323" s="120" t="s">
        <v>167</v>
      </c>
      <c r="E1323" s="120"/>
      <c r="F1323" s="120"/>
      <c r="G1323" s="120"/>
      <c r="H1323" s="120"/>
    </row>
    <row r="1324" spans="1:8" ht="18" hidden="1" customHeight="1" outlineLevel="2" x14ac:dyDescent="0.2">
      <c r="A1324" s="25"/>
      <c r="B1324" s="25" t="s">
        <v>3544</v>
      </c>
      <c r="C1324" s="25" t="s">
        <v>2810</v>
      </c>
      <c r="D1324" s="25" t="s">
        <v>2368</v>
      </c>
      <c r="E1324" s="25" t="s">
        <v>2811</v>
      </c>
      <c r="F1324" s="25" t="s">
        <v>1348</v>
      </c>
      <c r="G1324" s="25" t="s">
        <v>2728</v>
      </c>
      <c r="H1324" s="25" t="s">
        <v>375</v>
      </c>
    </row>
    <row r="1325" spans="1:8" ht="18" hidden="1" customHeight="1" outlineLevel="2" x14ac:dyDescent="0.2">
      <c r="A1325" s="25"/>
      <c r="B1325" s="25" t="s">
        <v>3545</v>
      </c>
      <c r="C1325" s="25" t="s">
        <v>2810</v>
      </c>
      <c r="D1325" s="25" t="s">
        <v>517</v>
      </c>
      <c r="E1325" s="25" t="s">
        <v>2812</v>
      </c>
      <c r="F1325" s="25" t="s">
        <v>1348</v>
      </c>
      <c r="G1325" s="25" t="s">
        <v>2728</v>
      </c>
      <c r="H1325" s="25" t="s">
        <v>375</v>
      </c>
    </row>
    <row r="1326" spans="1:8" ht="18" hidden="1" customHeight="1" outlineLevel="2" x14ac:dyDescent="0.2">
      <c r="A1326" s="25"/>
      <c r="B1326" s="25" t="s">
        <v>3546</v>
      </c>
      <c r="C1326" s="25" t="s">
        <v>2810</v>
      </c>
      <c r="D1326" s="25" t="s">
        <v>3901</v>
      </c>
      <c r="E1326" s="25" t="s">
        <v>2813</v>
      </c>
      <c r="F1326" s="25" t="s">
        <v>1348</v>
      </c>
      <c r="G1326" s="25" t="s">
        <v>2728</v>
      </c>
      <c r="H1326" s="25" t="s">
        <v>375</v>
      </c>
    </row>
    <row r="1327" spans="1:8" ht="18" hidden="1" customHeight="1" outlineLevel="2" x14ac:dyDescent="0.2">
      <c r="A1327" s="25"/>
      <c r="B1327" s="25" t="s">
        <v>3547</v>
      </c>
      <c r="C1327" s="25" t="s">
        <v>2810</v>
      </c>
      <c r="D1327" s="25" t="s">
        <v>3902</v>
      </c>
      <c r="E1327" s="25" t="s">
        <v>2814</v>
      </c>
      <c r="F1327" s="25" t="s">
        <v>1348</v>
      </c>
      <c r="G1327" s="25" t="s">
        <v>2728</v>
      </c>
      <c r="H1327" s="25" t="s">
        <v>375</v>
      </c>
    </row>
    <row r="1328" spans="1:8" ht="18" hidden="1" customHeight="1" outlineLevel="2" x14ac:dyDescent="0.2">
      <c r="A1328" s="25"/>
      <c r="B1328" s="25" t="s">
        <v>3548</v>
      </c>
      <c r="C1328" s="25" t="s">
        <v>2810</v>
      </c>
      <c r="D1328" s="25" t="s">
        <v>3903</v>
      </c>
      <c r="E1328" s="25" t="s">
        <v>2815</v>
      </c>
      <c r="F1328" s="25" t="s">
        <v>1348</v>
      </c>
      <c r="G1328" s="25" t="s">
        <v>2728</v>
      </c>
      <c r="H1328" s="25" t="s">
        <v>375</v>
      </c>
    </row>
    <row r="1329" spans="1:8" ht="18" hidden="1" customHeight="1" outlineLevel="2" x14ac:dyDescent="0.2">
      <c r="A1329" s="25"/>
      <c r="B1329" s="25" t="s">
        <v>3549</v>
      </c>
      <c r="C1329" s="25" t="s">
        <v>2810</v>
      </c>
      <c r="D1329" s="25" t="s">
        <v>3904</v>
      </c>
      <c r="E1329" s="25" t="s">
        <v>2816</v>
      </c>
      <c r="F1329" s="25" t="s">
        <v>1348</v>
      </c>
      <c r="G1329" s="25" t="s">
        <v>2728</v>
      </c>
      <c r="H1329" s="25" t="s">
        <v>375</v>
      </c>
    </row>
    <row r="1330" spans="1:8" ht="18" hidden="1" customHeight="1" outlineLevel="2" x14ac:dyDescent="0.2">
      <c r="A1330" s="25"/>
      <c r="B1330" s="25" t="s">
        <v>3550</v>
      </c>
      <c r="C1330" s="25" t="s">
        <v>2810</v>
      </c>
      <c r="D1330" s="25" t="s">
        <v>3905</v>
      </c>
      <c r="E1330" s="25" t="s">
        <v>2817</v>
      </c>
      <c r="F1330" s="25" t="s">
        <v>1348</v>
      </c>
      <c r="G1330" s="25" t="s">
        <v>2728</v>
      </c>
      <c r="H1330" s="25" t="s">
        <v>375</v>
      </c>
    </row>
    <row r="1331" spans="1:8" ht="18" hidden="1" customHeight="1" outlineLevel="2" x14ac:dyDescent="0.2">
      <c r="A1331" s="25"/>
      <c r="B1331" s="25" t="s">
        <v>3551</v>
      </c>
      <c r="C1331" s="25" t="s">
        <v>2810</v>
      </c>
      <c r="D1331" s="25" t="s">
        <v>3906</v>
      </c>
      <c r="E1331" s="25" t="s">
        <v>2818</v>
      </c>
      <c r="F1331" s="25" t="s">
        <v>1348</v>
      </c>
      <c r="G1331" s="25" t="s">
        <v>2728</v>
      </c>
      <c r="H1331" s="25" t="s">
        <v>375</v>
      </c>
    </row>
    <row r="1332" spans="1:8" ht="18" hidden="1" customHeight="1" outlineLevel="2" x14ac:dyDescent="0.2">
      <c r="A1332" s="25"/>
      <c r="B1332" s="25" t="s">
        <v>3552</v>
      </c>
      <c r="C1332" s="25" t="s">
        <v>2810</v>
      </c>
      <c r="D1332" s="25" t="s">
        <v>3907</v>
      </c>
      <c r="E1332" s="25" t="s">
        <v>547</v>
      </c>
      <c r="F1332" s="25" t="s">
        <v>1348</v>
      </c>
      <c r="G1332" s="25" t="s">
        <v>2728</v>
      </c>
      <c r="H1332" s="25" t="s">
        <v>375</v>
      </c>
    </row>
    <row r="1333" spans="1:8" ht="18" hidden="1" customHeight="1" outlineLevel="2" x14ac:dyDescent="0.2">
      <c r="A1333" s="25"/>
      <c r="B1333" s="25" t="s">
        <v>352</v>
      </c>
      <c r="C1333" s="25" t="s">
        <v>2810</v>
      </c>
      <c r="D1333" s="25" t="s">
        <v>3908</v>
      </c>
      <c r="E1333" s="25" t="s">
        <v>2819</v>
      </c>
      <c r="F1333" s="25" t="s">
        <v>1348</v>
      </c>
      <c r="G1333" s="25" t="s">
        <v>2728</v>
      </c>
      <c r="H1333" s="25" t="s">
        <v>375</v>
      </c>
    </row>
    <row r="1334" spans="1:8" customFormat="1" ht="18" hidden="1" customHeight="1" outlineLevel="2" x14ac:dyDescent="0.25">
      <c r="A1334" s="25"/>
      <c r="B1334" s="25"/>
      <c r="C1334" s="25"/>
      <c r="D1334" s="25"/>
      <c r="E1334" s="25"/>
      <c r="F1334" s="25"/>
      <c r="G1334" s="25"/>
      <c r="H1334" s="25"/>
    </row>
    <row r="1335" spans="1:8" customFormat="1" ht="18" hidden="1" customHeight="1" outlineLevel="1" x14ac:dyDescent="0.25">
      <c r="A1335" s="119" t="s">
        <v>168</v>
      </c>
      <c r="B1335" s="120"/>
      <c r="C1335" s="120"/>
      <c r="D1335" s="120" t="s">
        <v>168</v>
      </c>
      <c r="E1335" s="120"/>
      <c r="F1335" s="120"/>
      <c r="G1335" s="120"/>
      <c r="H1335" s="120"/>
    </row>
    <row r="1336" spans="1:8" ht="18" hidden="1" customHeight="1" outlineLevel="2" x14ac:dyDescent="0.2">
      <c r="A1336" s="25"/>
      <c r="B1336" s="25" t="s">
        <v>3640</v>
      </c>
      <c r="C1336" s="25" t="s">
        <v>842</v>
      </c>
      <c r="D1336" s="25" t="s">
        <v>1199</v>
      </c>
      <c r="E1336" s="25" t="s">
        <v>2950</v>
      </c>
      <c r="F1336" s="25" t="s">
        <v>1348</v>
      </c>
      <c r="G1336" s="25" t="s">
        <v>2728</v>
      </c>
      <c r="H1336" s="25" t="s">
        <v>375</v>
      </c>
    </row>
    <row r="1337" spans="1:8" ht="18" hidden="1" customHeight="1" outlineLevel="2" x14ac:dyDescent="0.2">
      <c r="A1337" s="25"/>
      <c r="B1337" s="25" t="s">
        <v>3641</v>
      </c>
      <c r="C1337" s="25" t="s">
        <v>842</v>
      </c>
      <c r="D1337" s="25" t="s">
        <v>1200</v>
      </c>
      <c r="E1337" s="25" t="s">
        <v>2951</v>
      </c>
      <c r="F1337" s="25" t="s">
        <v>1348</v>
      </c>
      <c r="G1337" s="25" t="s">
        <v>2728</v>
      </c>
      <c r="H1337" s="25" t="s">
        <v>375</v>
      </c>
    </row>
    <row r="1338" spans="1:8" ht="18" hidden="1" customHeight="1" outlineLevel="2" x14ac:dyDescent="0.2">
      <c r="A1338" s="25"/>
      <c r="B1338" s="25" t="s">
        <v>3642</v>
      </c>
      <c r="C1338" s="25" t="s">
        <v>842</v>
      </c>
      <c r="D1338" s="25" t="s">
        <v>1201</v>
      </c>
      <c r="E1338" s="25" t="s">
        <v>2952</v>
      </c>
      <c r="F1338" s="25" t="s">
        <v>1348</v>
      </c>
      <c r="G1338" s="25" t="s">
        <v>2728</v>
      </c>
      <c r="H1338" s="25" t="s">
        <v>375</v>
      </c>
    </row>
    <row r="1339" spans="1:8" ht="18" hidden="1" customHeight="1" outlineLevel="2" x14ac:dyDescent="0.2">
      <c r="A1339" s="25"/>
      <c r="B1339" s="25" t="s">
        <v>3643</v>
      </c>
      <c r="C1339" s="25" t="s">
        <v>842</v>
      </c>
      <c r="D1339" s="25" t="s">
        <v>1202</v>
      </c>
      <c r="E1339" s="25" t="s">
        <v>2953</v>
      </c>
      <c r="F1339" s="25" t="s">
        <v>1348</v>
      </c>
      <c r="G1339" s="25" t="s">
        <v>2728</v>
      </c>
      <c r="H1339" s="25" t="s">
        <v>375</v>
      </c>
    </row>
    <row r="1340" spans="1:8" ht="18" hidden="1" customHeight="1" outlineLevel="2" x14ac:dyDescent="0.2">
      <c r="A1340" s="25"/>
      <c r="B1340" s="25" t="s">
        <v>3644</v>
      </c>
      <c r="C1340" s="25" t="s">
        <v>842</v>
      </c>
      <c r="D1340" s="25" t="s">
        <v>2368</v>
      </c>
      <c r="E1340" s="25" t="s">
        <v>2954</v>
      </c>
      <c r="F1340" s="25" t="s">
        <v>1348</v>
      </c>
      <c r="G1340" s="25" t="s">
        <v>2728</v>
      </c>
      <c r="H1340" s="25" t="s">
        <v>375</v>
      </c>
    </row>
    <row r="1341" spans="1:8" ht="18" hidden="1" customHeight="1" outlineLevel="2" x14ac:dyDescent="0.2">
      <c r="A1341" s="25"/>
      <c r="B1341" s="25" t="s">
        <v>3645</v>
      </c>
      <c r="C1341" s="25" t="s">
        <v>842</v>
      </c>
      <c r="D1341" s="25" t="s">
        <v>517</v>
      </c>
      <c r="E1341" s="25" t="s">
        <v>2955</v>
      </c>
      <c r="F1341" s="25" t="s">
        <v>1348</v>
      </c>
      <c r="G1341" s="25" t="s">
        <v>2728</v>
      </c>
      <c r="H1341" s="25" t="s">
        <v>375</v>
      </c>
    </row>
    <row r="1342" spans="1:8" ht="18" hidden="1" customHeight="1" outlineLevel="2" x14ac:dyDescent="0.2">
      <c r="A1342" s="25"/>
      <c r="B1342" s="25" t="s">
        <v>3646</v>
      </c>
      <c r="C1342" s="25" t="s">
        <v>842</v>
      </c>
      <c r="D1342" s="25" t="s">
        <v>3901</v>
      </c>
      <c r="E1342" s="25" t="s">
        <v>2956</v>
      </c>
      <c r="F1342" s="25" t="s">
        <v>1348</v>
      </c>
      <c r="G1342" s="25" t="s">
        <v>2728</v>
      </c>
      <c r="H1342" s="25" t="s">
        <v>375</v>
      </c>
    </row>
    <row r="1343" spans="1:8" ht="18" hidden="1" customHeight="1" outlineLevel="2" x14ac:dyDescent="0.2">
      <c r="A1343" s="25"/>
      <c r="B1343" s="25" t="s">
        <v>3647</v>
      </c>
      <c r="C1343" s="25" t="s">
        <v>842</v>
      </c>
      <c r="D1343" s="25" t="s">
        <v>3902</v>
      </c>
      <c r="E1343" s="25" t="s">
        <v>2957</v>
      </c>
      <c r="F1343" s="25" t="s">
        <v>1348</v>
      </c>
      <c r="G1343" s="25" t="s">
        <v>2728</v>
      </c>
      <c r="H1343" s="25" t="s">
        <v>375</v>
      </c>
    </row>
    <row r="1344" spans="1:8" ht="18" hidden="1" customHeight="1" outlineLevel="2" x14ac:dyDescent="0.2">
      <c r="A1344" s="25"/>
      <c r="B1344" s="25" t="s">
        <v>3648</v>
      </c>
      <c r="C1344" s="25" t="s">
        <v>842</v>
      </c>
      <c r="D1344" s="25" t="s">
        <v>3903</v>
      </c>
      <c r="E1344" s="25" t="s">
        <v>2958</v>
      </c>
      <c r="F1344" s="25" t="s">
        <v>1348</v>
      </c>
      <c r="G1344" s="25" t="s">
        <v>2728</v>
      </c>
      <c r="H1344" s="25" t="s">
        <v>375</v>
      </c>
    </row>
    <row r="1345" spans="1:8" ht="18" hidden="1" customHeight="1" outlineLevel="2" x14ac:dyDescent="0.2">
      <c r="A1345" s="25"/>
      <c r="B1345" s="25" t="s">
        <v>3649</v>
      </c>
      <c r="C1345" s="25" t="s">
        <v>842</v>
      </c>
      <c r="D1345" s="25" t="s">
        <v>3904</v>
      </c>
      <c r="E1345" s="25" t="s">
        <v>2959</v>
      </c>
      <c r="F1345" s="25" t="s">
        <v>1348</v>
      </c>
      <c r="G1345" s="25" t="s">
        <v>2728</v>
      </c>
      <c r="H1345" s="25" t="s">
        <v>375</v>
      </c>
    </row>
    <row r="1346" spans="1:8" ht="18" hidden="1" customHeight="1" outlineLevel="2" x14ac:dyDescent="0.2">
      <c r="A1346" s="25"/>
      <c r="B1346" s="25" t="s">
        <v>3650</v>
      </c>
      <c r="C1346" s="25" t="s">
        <v>842</v>
      </c>
      <c r="D1346" s="25" t="s">
        <v>3905</v>
      </c>
      <c r="E1346" s="25" t="s">
        <v>2960</v>
      </c>
      <c r="F1346" s="25" t="s">
        <v>1348</v>
      </c>
      <c r="G1346" s="25" t="s">
        <v>2728</v>
      </c>
      <c r="H1346" s="25" t="s">
        <v>375</v>
      </c>
    </row>
    <row r="1347" spans="1:8" ht="18" hidden="1" customHeight="1" outlineLevel="2" x14ac:dyDescent="0.2">
      <c r="A1347" s="25"/>
      <c r="B1347" s="25" t="s">
        <v>3651</v>
      </c>
      <c r="C1347" s="25" t="s">
        <v>842</v>
      </c>
      <c r="D1347" s="25" t="s">
        <v>3906</v>
      </c>
      <c r="E1347" s="25" t="s">
        <v>2961</v>
      </c>
      <c r="F1347" s="25" t="s">
        <v>1348</v>
      </c>
      <c r="G1347" s="25" t="s">
        <v>2728</v>
      </c>
      <c r="H1347" s="25" t="s">
        <v>375</v>
      </c>
    </row>
    <row r="1348" spans="1:8" ht="18" hidden="1" customHeight="1" outlineLevel="2" x14ac:dyDescent="0.2">
      <c r="A1348" s="25"/>
      <c r="B1348" s="25" t="s">
        <v>3652</v>
      </c>
      <c r="C1348" s="25" t="s">
        <v>842</v>
      </c>
      <c r="D1348" s="25" t="s">
        <v>3907</v>
      </c>
      <c r="E1348" s="25" t="s">
        <v>2962</v>
      </c>
      <c r="F1348" s="25" t="s">
        <v>1348</v>
      </c>
      <c r="G1348" s="25" t="s">
        <v>2728</v>
      </c>
      <c r="H1348" s="25" t="s">
        <v>375</v>
      </c>
    </row>
    <row r="1349" spans="1:8" ht="18" hidden="1" customHeight="1" outlineLevel="2" x14ac:dyDescent="0.2">
      <c r="A1349" s="25"/>
      <c r="B1349" s="25" t="s">
        <v>3653</v>
      </c>
      <c r="C1349" s="25" t="s">
        <v>842</v>
      </c>
      <c r="D1349" s="25" t="s">
        <v>3908</v>
      </c>
      <c r="E1349" s="25" t="s">
        <v>2963</v>
      </c>
      <c r="F1349" s="25" t="s">
        <v>1348</v>
      </c>
      <c r="G1349" s="25" t="s">
        <v>2728</v>
      </c>
      <c r="H1349" s="25" t="s">
        <v>375</v>
      </c>
    </row>
    <row r="1350" spans="1:8" customFormat="1" ht="18" hidden="1" customHeight="1" outlineLevel="2" x14ac:dyDescent="0.25">
      <c r="A1350" s="25"/>
      <c r="B1350" s="25"/>
      <c r="C1350" s="25"/>
      <c r="D1350" s="25"/>
      <c r="E1350" s="25"/>
      <c r="F1350" s="25"/>
      <c r="G1350" s="25"/>
      <c r="H1350" s="25"/>
    </row>
    <row r="1351" spans="1:8" customFormat="1" ht="18" hidden="1" customHeight="1" outlineLevel="1" x14ac:dyDescent="0.25">
      <c r="A1351" s="119" t="s">
        <v>3911</v>
      </c>
      <c r="B1351" s="120"/>
      <c r="C1351" s="120"/>
      <c r="D1351" s="120" t="s">
        <v>169</v>
      </c>
      <c r="E1351" s="120"/>
      <c r="F1351" s="120"/>
      <c r="G1351" s="120"/>
      <c r="H1351" s="120"/>
    </row>
    <row r="1352" spans="1:8" ht="18" hidden="1" customHeight="1" outlineLevel="2" x14ac:dyDescent="0.2">
      <c r="A1352" s="25"/>
      <c r="B1352" s="25" t="s">
        <v>352</v>
      </c>
      <c r="C1352" s="25" t="s">
        <v>2820</v>
      </c>
      <c r="D1352" s="25" t="s">
        <v>2821</v>
      </c>
      <c r="E1352" s="25" t="s">
        <v>2822</v>
      </c>
      <c r="F1352" s="25" t="s">
        <v>1348</v>
      </c>
      <c r="G1352" s="25" t="s">
        <v>2728</v>
      </c>
      <c r="H1352" s="25" t="s">
        <v>375</v>
      </c>
    </row>
    <row r="1353" spans="1:8" ht="18" hidden="1" customHeight="1" outlineLevel="2" x14ac:dyDescent="0.2">
      <c r="A1353" s="25"/>
      <c r="B1353" s="25" t="s">
        <v>3553</v>
      </c>
      <c r="C1353" s="25" t="s">
        <v>2820</v>
      </c>
      <c r="D1353" s="25" t="s">
        <v>2823</v>
      </c>
      <c r="E1353" s="25" t="s">
        <v>2824</v>
      </c>
      <c r="F1353" s="25" t="s">
        <v>1348</v>
      </c>
      <c r="G1353" s="25" t="s">
        <v>2728</v>
      </c>
      <c r="H1353" s="25" t="s">
        <v>375</v>
      </c>
    </row>
    <row r="1354" spans="1:8" ht="18" hidden="1" customHeight="1" outlineLevel="2" x14ac:dyDescent="0.2">
      <c r="A1354" s="25"/>
      <c r="B1354" s="25" t="s">
        <v>3554</v>
      </c>
      <c r="C1354" s="25" t="s">
        <v>2820</v>
      </c>
      <c r="D1354" s="25" t="s">
        <v>2825</v>
      </c>
      <c r="E1354" s="25" t="s">
        <v>2826</v>
      </c>
      <c r="F1354" s="25" t="s">
        <v>1348</v>
      </c>
      <c r="G1354" s="25" t="s">
        <v>2728</v>
      </c>
      <c r="H1354" s="25" t="s">
        <v>375</v>
      </c>
    </row>
    <row r="1355" spans="1:8" ht="18" hidden="1" customHeight="1" outlineLevel="2" x14ac:dyDescent="0.2">
      <c r="A1355" s="25"/>
      <c r="B1355" s="25" t="s">
        <v>352</v>
      </c>
      <c r="C1355" s="25" t="s">
        <v>2820</v>
      </c>
      <c r="D1355" s="25" t="s">
        <v>2827</v>
      </c>
      <c r="E1355" s="25" t="s">
        <v>547</v>
      </c>
      <c r="F1355" s="25" t="s">
        <v>1348</v>
      </c>
      <c r="G1355" s="25" t="s">
        <v>2728</v>
      </c>
      <c r="H1355" s="25" t="s">
        <v>375</v>
      </c>
    </row>
    <row r="1356" spans="1:8" ht="18" hidden="1" customHeight="1" outlineLevel="2" x14ac:dyDescent="0.2">
      <c r="A1356" s="25"/>
      <c r="B1356" s="25" t="s">
        <v>3555</v>
      </c>
      <c r="C1356" s="25" t="s">
        <v>2820</v>
      </c>
      <c r="D1356" s="25" t="s">
        <v>2828</v>
      </c>
      <c r="E1356" s="25" t="s">
        <v>2829</v>
      </c>
      <c r="F1356" s="25" t="s">
        <v>1348</v>
      </c>
      <c r="G1356" s="25" t="s">
        <v>2728</v>
      </c>
      <c r="H1356" s="25" t="s">
        <v>375</v>
      </c>
    </row>
    <row r="1357" spans="1:8" ht="18" hidden="1" customHeight="1" outlineLevel="2" x14ac:dyDescent="0.2">
      <c r="A1357" s="25"/>
      <c r="B1357" s="25" t="s">
        <v>3556</v>
      </c>
      <c r="C1357" s="25" t="s">
        <v>2820</v>
      </c>
      <c r="D1357" s="25" t="s">
        <v>2830</v>
      </c>
      <c r="E1357" s="25" t="s">
        <v>2831</v>
      </c>
      <c r="F1357" s="25" t="s">
        <v>1348</v>
      </c>
      <c r="G1357" s="25" t="s">
        <v>2728</v>
      </c>
      <c r="H1357" s="25" t="s">
        <v>375</v>
      </c>
    </row>
    <row r="1358" spans="1:8" ht="18" hidden="1" customHeight="1" outlineLevel="2" x14ac:dyDescent="0.2">
      <c r="A1358" s="25"/>
      <c r="B1358" s="25" t="s">
        <v>3557</v>
      </c>
      <c r="C1358" s="25" t="s">
        <v>2820</v>
      </c>
      <c r="D1358" s="25" t="s">
        <v>2832</v>
      </c>
      <c r="E1358" s="25" t="s">
        <v>2833</v>
      </c>
      <c r="F1358" s="25" t="s">
        <v>1348</v>
      </c>
      <c r="G1358" s="25" t="s">
        <v>2728</v>
      </c>
      <c r="H1358" s="25" t="s">
        <v>375</v>
      </c>
    </row>
    <row r="1359" spans="1:8" ht="18" hidden="1" customHeight="1" outlineLevel="2" x14ac:dyDescent="0.2">
      <c r="A1359" s="25"/>
      <c r="B1359" s="25" t="s">
        <v>3558</v>
      </c>
      <c r="C1359" s="25" t="s">
        <v>2820</v>
      </c>
      <c r="D1359" s="25" t="s">
        <v>2834</v>
      </c>
      <c r="E1359" s="25" t="s">
        <v>2835</v>
      </c>
      <c r="F1359" s="25" t="s">
        <v>1348</v>
      </c>
      <c r="G1359" s="25" t="s">
        <v>2728</v>
      </c>
      <c r="H1359" s="25" t="s">
        <v>375</v>
      </c>
    </row>
    <row r="1360" spans="1:8" ht="18" hidden="1" customHeight="1" outlineLevel="2" x14ac:dyDescent="0.2">
      <c r="A1360" s="25"/>
      <c r="B1360" s="25" t="s">
        <v>3559</v>
      </c>
      <c r="C1360" s="25" t="s">
        <v>2820</v>
      </c>
      <c r="D1360" s="25" t="s">
        <v>2836</v>
      </c>
      <c r="E1360" s="25" t="s">
        <v>2837</v>
      </c>
      <c r="F1360" s="25" t="s">
        <v>1348</v>
      </c>
      <c r="G1360" s="25" t="s">
        <v>2728</v>
      </c>
      <c r="H1360" s="25" t="s">
        <v>375</v>
      </c>
    </row>
    <row r="1361" spans="1:8" ht="18" hidden="1" customHeight="1" outlineLevel="2" x14ac:dyDescent="0.2">
      <c r="A1361" s="25"/>
      <c r="B1361" s="25" t="s">
        <v>3560</v>
      </c>
      <c r="C1361" s="25" t="s">
        <v>2820</v>
      </c>
      <c r="D1361" s="25" t="s">
        <v>2838</v>
      </c>
      <c r="E1361" s="25" t="s">
        <v>2839</v>
      </c>
      <c r="F1361" s="25" t="s">
        <v>1348</v>
      </c>
      <c r="G1361" s="25" t="s">
        <v>2728</v>
      </c>
      <c r="H1361" s="25" t="s">
        <v>375</v>
      </c>
    </row>
    <row r="1362" spans="1:8" ht="18" hidden="1" customHeight="1" outlineLevel="2" x14ac:dyDescent="0.2">
      <c r="A1362" s="25"/>
      <c r="B1362" s="25" t="s">
        <v>3561</v>
      </c>
      <c r="C1362" s="25" t="s">
        <v>2820</v>
      </c>
      <c r="D1362" s="25" t="s">
        <v>2840</v>
      </c>
      <c r="E1362" s="25" t="s">
        <v>2841</v>
      </c>
      <c r="F1362" s="25" t="s">
        <v>1348</v>
      </c>
      <c r="G1362" s="25" t="s">
        <v>2728</v>
      </c>
      <c r="H1362" s="25" t="s">
        <v>375</v>
      </c>
    </row>
    <row r="1363" spans="1:8" ht="18" hidden="1" customHeight="1" outlineLevel="2" x14ac:dyDescent="0.2">
      <c r="A1363" s="25"/>
      <c r="B1363" s="25" t="s">
        <v>3562</v>
      </c>
      <c r="C1363" s="25" t="s">
        <v>2820</v>
      </c>
      <c r="D1363" s="25" t="s">
        <v>2842</v>
      </c>
      <c r="E1363" s="25" t="s">
        <v>2843</v>
      </c>
      <c r="F1363" s="25" t="s">
        <v>1348</v>
      </c>
      <c r="G1363" s="25" t="s">
        <v>2728</v>
      </c>
      <c r="H1363" s="25" t="s">
        <v>375</v>
      </c>
    </row>
    <row r="1364" spans="1:8" ht="18" hidden="1" customHeight="1" outlineLevel="2" x14ac:dyDescent="0.2">
      <c r="A1364" s="25"/>
      <c r="B1364" s="25" t="s">
        <v>3563</v>
      </c>
      <c r="C1364" s="25" t="s">
        <v>2820</v>
      </c>
      <c r="D1364" s="25" t="s">
        <v>2844</v>
      </c>
      <c r="E1364" s="25" t="s">
        <v>2845</v>
      </c>
      <c r="F1364" s="25" t="s">
        <v>1348</v>
      </c>
      <c r="G1364" s="25" t="s">
        <v>2728</v>
      </c>
      <c r="H1364" s="25" t="s">
        <v>375</v>
      </c>
    </row>
    <row r="1365" spans="1:8" ht="18" hidden="1" customHeight="1" outlineLevel="2" x14ac:dyDescent="0.2">
      <c r="A1365" s="25"/>
      <c r="B1365" s="25" t="s">
        <v>3564</v>
      </c>
      <c r="C1365" s="25" t="s">
        <v>2820</v>
      </c>
      <c r="D1365" s="25" t="s">
        <v>2846</v>
      </c>
      <c r="E1365" s="25" t="s">
        <v>2847</v>
      </c>
      <c r="F1365" s="25" t="s">
        <v>1348</v>
      </c>
      <c r="G1365" s="25" t="s">
        <v>2728</v>
      </c>
      <c r="H1365" s="25" t="s">
        <v>375</v>
      </c>
    </row>
    <row r="1366" spans="1:8" ht="18" hidden="1" customHeight="1" outlineLevel="2" x14ac:dyDescent="0.2">
      <c r="A1366" s="25"/>
      <c r="B1366" s="25" t="s">
        <v>3565</v>
      </c>
      <c r="C1366" s="25" t="s">
        <v>2820</v>
      </c>
      <c r="D1366" s="25" t="s">
        <v>2848</v>
      </c>
      <c r="E1366" s="25" t="s">
        <v>2849</v>
      </c>
      <c r="F1366" s="25" t="s">
        <v>1348</v>
      </c>
      <c r="G1366" s="25" t="s">
        <v>2728</v>
      </c>
      <c r="H1366" s="25" t="s">
        <v>375</v>
      </c>
    </row>
    <row r="1367" spans="1:8" ht="18" hidden="1" customHeight="1" outlineLevel="2" x14ac:dyDescent="0.2">
      <c r="A1367" s="25"/>
      <c r="B1367" s="25" t="s">
        <v>3566</v>
      </c>
      <c r="C1367" s="25" t="s">
        <v>2820</v>
      </c>
      <c r="D1367" s="25" t="s">
        <v>2850</v>
      </c>
      <c r="E1367" s="25" t="s">
        <v>2851</v>
      </c>
      <c r="F1367" s="25" t="s">
        <v>1348</v>
      </c>
      <c r="G1367" s="25" t="s">
        <v>2728</v>
      </c>
      <c r="H1367" s="25" t="s">
        <v>375</v>
      </c>
    </row>
    <row r="1368" spans="1:8" ht="18" hidden="1" customHeight="1" outlineLevel="2" x14ac:dyDescent="0.2">
      <c r="A1368" s="25"/>
      <c r="B1368" s="25" t="s">
        <v>3567</v>
      </c>
      <c r="C1368" s="25" t="s">
        <v>2820</v>
      </c>
      <c r="D1368" s="25" t="s">
        <v>2852</v>
      </c>
      <c r="E1368" s="25" t="s">
        <v>2853</v>
      </c>
      <c r="F1368" s="25" t="s">
        <v>1348</v>
      </c>
      <c r="G1368" s="25" t="s">
        <v>2728</v>
      </c>
      <c r="H1368" s="25" t="s">
        <v>375</v>
      </c>
    </row>
    <row r="1369" spans="1:8" ht="18" hidden="1" customHeight="1" outlineLevel="2" x14ac:dyDescent="0.2">
      <c r="A1369" s="25"/>
      <c r="B1369" s="25" t="s">
        <v>3568</v>
      </c>
      <c r="C1369" s="25" t="s">
        <v>2820</v>
      </c>
      <c r="D1369" s="25" t="s">
        <v>2854</v>
      </c>
      <c r="E1369" s="25" t="s">
        <v>2855</v>
      </c>
      <c r="F1369" s="25" t="s">
        <v>1348</v>
      </c>
      <c r="G1369" s="25" t="s">
        <v>2728</v>
      </c>
      <c r="H1369" s="25" t="s">
        <v>375</v>
      </c>
    </row>
    <row r="1370" spans="1:8" ht="18" hidden="1" customHeight="1" outlineLevel="2" x14ac:dyDescent="0.2">
      <c r="A1370" s="25"/>
      <c r="B1370" s="25" t="s">
        <v>3569</v>
      </c>
      <c r="C1370" s="25" t="s">
        <v>2820</v>
      </c>
      <c r="D1370" s="25" t="s">
        <v>2856</v>
      </c>
      <c r="E1370" s="25" t="s">
        <v>2857</v>
      </c>
      <c r="F1370" s="25" t="s">
        <v>1348</v>
      </c>
      <c r="G1370" s="25" t="s">
        <v>2728</v>
      </c>
      <c r="H1370" s="25" t="s">
        <v>375</v>
      </c>
    </row>
    <row r="1371" spans="1:8" ht="18" hidden="1" customHeight="1" outlineLevel="2" x14ac:dyDescent="0.2">
      <c r="A1371" s="25"/>
      <c r="B1371" s="25" t="s">
        <v>3570</v>
      </c>
      <c r="C1371" s="25" t="s">
        <v>2820</v>
      </c>
      <c r="D1371" s="25" t="s">
        <v>2858</v>
      </c>
      <c r="E1371" s="25" t="s">
        <v>2859</v>
      </c>
      <c r="F1371" s="25" t="s">
        <v>1348</v>
      </c>
      <c r="G1371" s="25" t="s">
        <v>2728</v>
      </c>
      <c r="H1371" s="25" t="s">
        <v>375</v>
      </c>
    </row>
    <row r="1372" spans="1:8" ht="18" hidden="1" customHeight="1" outlineLevel="2" x14ac:dyDescent="0.2">
      <c r="A1372" s="25"/>
      <c r="B1372" s="25" t="s">
        <v>3571</v>
      </c>
      <c r="C1372" s="25" t="s">
        <v>2820</v>
      </c>
      <c r="D1372" s="25" t="s">
        <v>2860</v>
      </c>
      <c r="E1372" s="25" t="s">
        <v>2857</v>
      </c>
      <c r="F1372" s="25" t="s">
        <v>1348</v>
      </c>
      <c r="G1372" s="25" t="s">
        <v>2728</v>
      </c>
      <c r="H1372" s="25" t="s">
        <v>375</v>
      </c>
    </row>
    <row r="1373" spans="1:8" ht="18" hidden="1" customHeight="1" outlineLevel="2" x14ac:dyDescent="0.2">
      <c r="A1373" s="25"/>
      <c r="B1373" s="25" t="s">
        <v>3572</v>
      </c>
      <c r="C1373" s="25" t="s">
        <v>2820</v>
      </c>
      <c r="D1373" s="25" t="s">
        <v>2861</v>
      </c>
      <c r="E1373" s="25" t="s">
        <v>2862</v>
      </c>
      <c r="F1373" s="25" t="s">
        <v>1348</v>
      </c>
      <c r="G1373" s="25" t="s">
        <v>2728</v>
      </c>
      <c r="H1373" s="25" t="s">
        <v>375</v>
      </c>
    </row>
    <row r="1374" spans="1:8" ht="18" hidden="1" customHeight="1" outlineLevel="2" x14ac:dyDescent="0.2">
      <c r="A1374" s="25"/>
      <c r="B1374" s="25" t="s">
        <v>3573</v>
      </c>
      <c r="C1374" s="25" t="s">
        <v>2820</v>
      </c>
      <c r="D1374" s="25" t="s">
        <v>2863</v>
      </c>
      <c r="E1374" s="25" t="s">
        <v>2864</v>
      </c>
      <c r="F1374" s="25" t="s">
        <v>1348</v>
      </c>
      <c r="G1374" s="25" t="s">
        <v>2728</v>
      </c>
      <c r="H1374" s="25" t="s">
        <v>375</v>
      </c>
    </row>
    <row r="1375" spans="1:8" ht="18" hidden="1" customHeight="1" outlineLevel="2" x14ac:dyDescent="0.2">
      <c r="A1375" s="25"/>
      <c r="B1375" s="25" t="s">
        <v>3574</v>
      </c>
      <c r="C1375" s="25" t="s">
        <v>2820</v>
      </c>
      <c r="D1375" s="25" t="s">
        <v>2865</v>
      </c>
      <c r="E1375" s="25" t="s">
        <v>2866</v>
      </c>
      <c r="F1375" s="25" t="s">
        <v>1348</v>
      </c>
      <c r="G1375" s="25" t="s">
        <v>2728</v>
      </c>
      <c r="H1375" s="25" t="s">
        <v>375</v>
      </c>
    </row>
    <row r="1376" spans="1:8" ht="18" hidden="1" customHeight="1" outlineLevel="2" x14ac:dyDescent="0.2">
      <c r="A1376" s="25"/>
      <c r="B1376" s="25" t="s">
        <v>3575</v>
      </c>
      <c r="C1376" s="25" t="s">
        <v>2820</v>
      </c>
      <c r="D1376" s="25" t="s">
        <v>2867</v>
      </c>
      <c r="E1376" s="25" t="s">
        <v>2868</v>
      </c>
      <c r="F1376" s="25" t="s">
        <v>1348</v>
      </c>
      <c r="G1376" s="25" t="s">
        <v>2728</v>
      </c>
      <c r="H1376" s="25" t="s">
        <v>375</v>
      </c>
    </row>
    <row r="1377" spans="1:8" ht="18" hidden="1" customHeight="1" outlineLevel="2" x14ac:dyDescent="0.2">
      <c r="A1377" s="25"/>
      <c r="B1377" s="25" t="s">
        <v>3576</v>
      </c>
      <c r="C1377" s="25" t="s">
        <v>2820</v>
      </c>
      <c r="D1377" s="25" t="s">
        <v>2869</v>
      </c>
      <c r="E1377" s="25" t="s">
        <v>2870</v>
      </c>
      <c r="F1377" s="25" t="s">
        <v>1348</v>
      </c>
      <c r="G1377" s="25" t="s">
        <v>2728</v>
      </c>
      <c r="H1377" s="25" t="s">
        <v>375</v>
      </c>
    </row>
    <row r="1378" spans="1:8" ht="18" hidden="1" customHeight="1" outlineLevel="2" x14ac:dyDescent="0.2">
      <c r="A1378" s="25"/>
      <c r="B1378" s="25" t="s">
        <v>3577</v>
      </c>
      <c r="C1378" s="25" t="s">
        <v>2820</v>
      </c>
      <c r="D1378" s="25" t="s">
        <v>2871</v>
      </c>
      <c r="E1378" s="25" t="s">
        <v>2872</v>
      </c>
      <c r="F1378" s="25" t="s">
        <v>1348</v>
      </c>
      <c r="G1378" s="25" t="s">
        <v>2728</v>
      </c>
      <c r="H1378" s="25" t="s">
        <v>375</v>
      </c>
    </row>
    <row r="1379" spans="1:8" ht="18" hidden="1" customHeight="1" outlineLevel="2" x14ac:dyDescent="0.2">
      <c r="A1379" s="25"/>
      <c r="B1379" s="25" t="s">
        <v>3578</v>
      </c>
      <c r="C1379" s="25" t="s">
        <v>2820</v>
      </c>
      <c r="D1379" s="25" t="s">
        <v>2873</v>
      </c>
      <c r="E1379" s="25" t="s">
        <v>2874</v>
      </c>
      <c r="F1379" s="25" t="s">
        <v>1348</v>
      </c>
      <c r="G1379" s="25" t="s">
        <v>2728</v>
      </c>
      <c r="H1379" s="25" t="s">
        <v>375</v>
      </c>
    </row>
    <row r="1380" spans="1:8" ht="18" hidden="1" customHeight="1" outlineLevel="2" x14ac:dyDescent="0.2">
      <c r="A1380" s="25"/>
      <c r="B1380" s="25" t="s">
        <v>3579</v>
      </c>
      <c r="C1380" s="25" t="s">
        <v>2820</v>
      </c>
      <c r="D1380" s="25" t="s">
        <v>2875</v>
      </c>
      <c r="E1380" s="25" t="s">
        <v>2876</v>
      </c>
      <c r="F1380" s="25" t="s">
        <v>1348</v>
      </c>
      <c r="G1380" s="25" t="s">
        <v>2728</v>
      </c>
      <c r="H1380" s="25" t="s">
        <v>375</v>
      </c>
    </row>
    <row r="1381" spans="1:8" ht="18" hidden="1" customHeight="1" outlineLevel="2" x14ac:dyDescent="0.2">
      <c r="A1381" s="25"/>
      <c r="B1381" s="25" t="s">
        <v>3580</v>
      </c>
      <c r="C1381" s="25" t="s">
        <v>2820</v>
      </c>
      <c r="D1381" s="25" t="s">
        <v>2877</v>
      </c>
      <c r="E1381" s="25" t="s">
        <v>2878</v>
      </c>
      <c r="F1381" s="25" t="s">
        <v>1348</v>
      </c>
      <c r="G1381" s="25" t="s">
        <v>2728</v>
      </c>
      <c r="H1381" s="25" t="s">
        <v>375</v>
      </c>
    </row>
    <row r="1382" spans="1:8" ht="18" hidden="1" customHeight="1" outlineLevel="2" x14ac:dyDescent="0.2">
      <c r="A1382" s="25"/>
      <c r="B1382" s="25" t="s">
        <v>3581</v>
      </c>
      <c r="C1382" s="25" t="s">
        <v>2820</v>
      </c>
      <c r="D1382" s="25" t="s">
        <v>2879</v>
      </c>
      <c r="E1382" s="25" t="s">
        <v>2880</v>
      </c>
      <c r="F1382" s="25" t="s">
        <v>1348</v>
      </c>
      <c r="G1382" s="25" t="s">
        <v>2728</v>
      </c>
      <c r="H1382" s="25" t="s">
        <v>375</v>
      </c>
    </row>
    <row r="1383" spans="1:8" ht="18" hidden="1" customHeight="1" outlineLevel="2" x14ac:dyDescent="0.2">
      <c r="A1383" s="25"/>
      <c r="B1383" s="25" t="s">
        <v>3582</v>
      </c>
      <c r="C1383" s="25" t="s">
        <v>2820</v>
      </c>
      <c r="D1383" s="25" t="s">
        <v>2881</v>
      </c>
      <c r="E1383" s="25" t="s">
        <v>547</v>
      </c>
      <c r="F1383" s="25" t="s">
        <v>1348</v>
      </c>
      <c r="G1383" s="25" t="s">
        <v>2728</v>
      </c>
      <c r="H1383" s="25" t="s">
        <v>375</v>
      </c>
    </row>
    <row r="1384" spans="1:8" ht="18" hidden="1" customHeight="1" outlineLevel="2" x14ac:dyDescent="0.2">
      <c r="A1384" s="25"/>
      <c r="B1384" s="25" t="s">
        <v>3583</v>
      </c>
      <c r="C1384" s="25" t="s">
        <v>2820</v>
      </c>
      <c r="D1384" s="25" t="s">
        <v>2882</v>
      </c>
      <c r="E1384" s="25" t="s">
        <v>2883</v>
      </c>
      <c r="F1384" s="25" t="s">
        <v>1348</v>
      </c>
      <c r="G1384" s="25" t="s">
        <v>2728</v>
      </c>
      <c r="H1384" s="25" t="s">
        <v>375</v>
      </c>
    </row>
    <row r="1385" spans="1:8" ht="18" hidden="1" customHeight="1" outlineLevel="2" x14ac:dyDescent="0.2">
      <c r="A1385" s="25"/>
      <c r="B1385" s="25" t="s">
        <v>3584</v>
      </c>
      <c r="C1385" s="25" t="s">
        <v>2820</v>
      </c>
      <c r="D1385" s="25" t="s">
        <v>2884</v>
      </c>
      <c r="E1385" s="25" t="s">
        <v>2885</v>
      </c>
      <c r="F1385" s="25" t="s">
        <v>1348</v>
      </c>
      <c r="G1385" s="25" t="s">
        <v>2728</v>
      </c>
      <c r="H1385" s="25" t="s">
        <v>375</v>
      </c>
    </row>
    <row r="1386" spans="1:8" ht="18" hidden="1" customHeight="1" outlineLevel="2" x14ac:dyDescent="0.2">
      <c r="A1386" s="25"/>
      <c r="B1386" s="25" t="s">
        <v>3585</v>
      </c>
      <c r="C1386" s="25" t="s">
        <v>2820</v>
      </c>
      <c r="D1386" s="25" t="s">
        <v>2886</v>
      </c>
      <c r="E1386" s="25" t="s">
        <v>2887</v>
      </c>
      <c r="F1386" s="25" t="s">
        <v>1348</v>
      </c>
      <c r="G1386" s="25" t="s">
        <v>2728</v>
      </c>
      <c r="H1386" s="25" t="s">
        <v>375</v>
      </c>
    </row>
    <row r="1387" spans="1:8" ht="18" hidden="1" customHeight="1" outlineLevel="2" x14ac:dyDescent="0.2">
      <c r="A1387" s="25"/>
      <c r="B1387" s="25" t="s">
        <v>3586</v>
      </c>
      <c r="C1387" s="25" t="s">
        <v>2820</v>
      </c>
      <c r="D1387" s="25" t="s">
        <v>2888</v>
      </c>
      <c r="E1387" s="25" t="s">
        <v>547</v>
      </c>
      <c r="F1387" s="25" t="s">
        <v>1348</v>
      </c>
      <c r="G1387" s="25" t="s">
        <v>2728</v>
      </c>
      <c r="H1387" s="25" t="s">
        <v>375</v>
      </c>
    </row>
    <row r="1388" spans="1:8" ht="18" hidden="1" customHeight="1" outlineLevel="2" x14ac:dyDescent="0.2">
      <c r="A1388" s="25"/>
      <c r="B1388" s="25" t="s">
        <v>3586</v>
      </c>
      <c r="C1388" s="25" t="s">
        <v>2820</v>
      </c>
      <c r="D1388" s="25" t="s">
        <v>2889</v>
      </c>
      <c r="E1388" s="25" t="s">
        <v>547</v>
      </c>
      <c r="F1388" s="25" t="s">
        <v>1348</v>
      </c>
      <c r="G1388" s="25" t="s">
        <v>2728</v>
      </c>
      <c r="H1388" s="25" t="s">
        <v>375</v>
      </c>
    </row>
    <row r="1389" spans="1:8" ht="18" hidden="1" customHeight="1" outlineLevel="2" x14ac:dyDescent="0.2">
      <c r="A1389" s="25"/>
      <c r="B1389" s="25" t="s">
        <v>3586</v>
      </c>
      <c r="C1389" s="25" t="s">
        <v>2820</v>
      </c>
      <c r="D1389" s="25" t="s">
        <v>2890</v>
      </c>
      <c r="E1389" s="25" t="s">
        <v>2891</v>
      </c>
      <c r="F1389" s="25" t="s">
        <v>1348</v>
      </c>
      <c r="G1389" s="25" t="s">
        <v>2728</v>
      </c>
      <c r="H1389" s="25" t="s">
        <v>375</v>
      </c>
    </row>
    <row r="1390" spans="1:8" ht="18" hidden="1" customHeight="1" outlineLevel="2" x14ac:dyDescent="0.2">
      <c r="A1390" s="25"/>
      <c r="B1390" s="25" t="s">
        <v>352</v>
      </c>
      <c r="C1390" s="25" t="s">
        <v>2820</v>
      </c>
      <c r="D1390" s="25" t="s">
        <v>2892</v>
      </c>
      <c r="E1390" s="25" t="s">
        <v>547</v>
      </c>
      <c r="F1390" s="25" t="s">
        <v>1348</v>
      </c>
      <c r="G1390" s="25" t="s">
        <v>2728</v>
      </c>
      <c r="H1390" s="25" t="s">
        <v>375</v>
      </c>
    </row>
    <row r="1391" spans="1:8" ht="18" hidden="1" customHeight="1" outlineLevel="2" x14ac:dyDescent="0.2">
      <c r="A1391" s="25"/>
      <c r="B1391" s="25" t="s">
        <v>352</v>
      </c>
      <c r="C1391" s="25" t="s">
        <v>2820</v>
      </c>
      <c r="D1391" s="25" t="s">
        <v>2893</v>
      </c>
      <c r="E1391" s="25" t="s">
        <v>547</v>
      </c>
      <c r="F1391" s="25" t="s">
        <v>1348</v>
      </c>
      <c r="G1391" s="25" t="s">
        <v>2728</v>
      </c>
      <c r="H1391" s="25" t="s">
        <v>375</v>
      </c>
    </row>
    <row r="1392" spans="1:8" ht="18" hidden="1" customHeight="1" outlineLevel="2" x14ac:dyDescent="0.2">
      <c r="A1392" s="25"/>
      <c r="B1392" s="25" t="s">
        <v>3587</v>
      </c>
      <c r="C1392" s="25" t="s">
        <v>2820</v>
      </c>
      <c r="D1392" s="25" t="s">
        <v>2894</v>
      </c>
      <c r="E1392" s="25" t="s">
        <v>547</v>
      </c>
      <c r="F1392" s="25" t="s">
        <v>1348</v>
      </c>
      <c r="G1392" s="25" t="s">
        <v>2728</v>
      </c>
      <c r="H1392" s="25" t="s">
        <v>375</v>
      </c>
    </row>
    <row r="1393" spans="1:8" ht="18" hidden="1" customHeight="1" outlineLevel="2" x14ac:dyDescent="0.2">
      <c r="A1393" s="25"/>
      <c r="B1393" s="25" t="s">
        <v>3588</v>
      </c>
      <c r="C1393" s="25" t="s">
        <v>2820</v>
      </c>
      <c r="D1393" s="25" t="s">
        <v>2895</v>
      </c>
      <c r="E1393" s="25" t="s">
        <v>547</v>
      </c>
      <c r="F1393" s="25" t="s">
        <v>1348</v>
      </c>
      <c r="G1393" s="25" t="s">
        <v>2728</v>
      </c>
      <c r="H1393" s="25" t="s">
        <v>375</v>
      </c>
    </row>
    <row r="1394" spans="1:8" ht="18" hidden="1" customHeight="1" outlineLevel="2" x14ac:dyDescent="0.2">
      <c r="A1394" s="25"/>
      <c r="B1394" s="25"/>
      <c r="C1394" s="25"/>
      <c r="D1394" s="25"/>
      <c r="E1394" s="25"/>
      <c r="F1394" s="25"/>
      <c r="G1394" s="25"/>
    </row>
    <row r="1395" spans="1:8" ht="18" hidden="1" customHeight="1" outlineLevel="2" x14ac:dyDescent="0.2">
      <c r="A1395" s="25"/>
      <c r="B1395" s="25" t="s">
        <v>352</v>
      </c>
      <c r="C1395" s="25" t="s">
        <v>2911</v>
      </c>
      <c r="D1395" s="25" t="s">
        <v>2821</v>
      </c>
      <c r="E1395" s="25" t="s">
        <v>2912</v>
      </c>
      <c r="F1395" s="25" t="s">
        <v>1348</v>
      </c>
      <c r="G1395" s="25" t="s">
        <v>2728</v>
      </c>
      <c r="H1395" s="25" t="s">
        <v>375</v>
      </c>
    </row>
    <row r="1396" spans="1:8" ht="18" hidden="1" customHeight="1" outlineLevel="2" x14ac:dyDescent="0.2">
      <c r="A1396" s="25"/>
      <c r="B1396" s="25" t="s">
        <v>352</v>
      </c>
      <c r="C1396" s="25" t="s">
        <v>2911</v>
      </c>
      <c r="D1396" s="25" t="s">
        <v>2823</v>
      </c>
      <c r="E1396" s="25" t="s">
        <v>2913</v>
      </c>
      <c r="F1396" s="25" t="s">
        <v>1348</v>
      </c>
      <c r="G1396" s="25" t="s">
        <v>2728</v>
      </c>
      <c r="H1396" s="25" t="s">
        <v>375</v>
      </c>
    </row>
    <row r="1397" spans="1:8" ht="18" hidden="1" customHeight="1" outlineLevel="2" x14ac:dyDescent="0.2">
      <c r="A1397" s="25"/>
      <c r="B1397" s="25" t="s">
        <v>3603</v>
      </c>
      <c r="C1397" s="25" t="s">
        <v>2911</v>
      </c>
      <c r="D1397" s="25" t="s">
        <v>2825</v>
      </c>
      <c r="E1397" s="25" t="s">
        <v>2914</v>
      </c>
      <c r="F1397" s="25" t="s">
        <v>1348</v>
      </c>
      <c r="G1397" s="25" t="s">
        <v>2728</v>
      </c>
      <c r="H1397" s="25" t="s">
        <v>375</v>
      </c>
    </row>
    <row r="1398" spans="1:8" ht="18" hidden="1" customHeight="1" outlineLevel="2" x14ac:dyDescent="0.2">
      <c r="A1398" s="25"/>
      <c r="B1398" s="25" t="s">
        <v>3604</v>
      </c>
      <c r="C1398" s="25" t="s">
        <v>2911</v>
      </c>
      <c r="D1398" s="25" t="s">
        <v>2827</v>
      </c>
      <c r="E1398" s="25" t="s">
        <v>547</v>
      </c>
      <c r="F1398" s="25" t="s">
        <v>1348</v>
      </c>
      <c r="G1398" s="25" t="s">
        <v>2728</v>
      </c>
      <c r="H1398" s="25" t="s">
        <v>375</v>
      </c>
    </row>
    <row r="1399" spans="1:8" ht="18" hidden="1" customHeight="1" outlineLevel="2" x14ac:dyDescent="0.2">
      <c r="A1399" s="25"/>
      <c r="B1399" s="25" t="s">
        <v>3605</v>
      </c>
      <c r="C1399" s="25" t="s">
        <v>2911</v>
      </c>
      <c r="D1399" s="25" t="s">
        <v>2828</v>
      </c>
      <c r="E1399" s="25" t="s">
        <v>2915</v>
      </c>
      <c r="F1399" s="25" t="s">
        <v>1348</v>
      </c>
      <c r="G1399" s="25" t="s">
        <v>2728</v>
      </c>
      <c r="H1399" s="25" t="s">
        <v>375</v>
      </c>
    </row>
    <row r="1400" spans="1:8" ht="18" hidden="1" customHeight="1" outlineLevel="2" x14ac:dyDescent="0.2">
      <c r="A1400" s="25"/>
      <c r="B1400" s="25" t="s">
        <v>3606</v>
      </c>
      <c r="C1400" s="25" t="s">
        <v>2911</v>
      </c>
      <c r="D1400" s="25" t="s">
        <v>2830</v>
      </c>
      <c r="E1400" s="25" t="s">
        <v>2916</v>
      </c>
      <c r="F1400" s="25" t="s">
        <v>1348</v>
      </c>
      <c r="G1400" s="25" t="s">
        <v>2728</v>
      </c>
      <c r="H1400" s="25" t="s">
        <v>375</v>
      </c>
    </row>
    <row r="1401" spans="1:8" ht="18" hidden="1" customHeight="1" outlineLevel="2" x14ac:dyDescent="0.2">
      <c r="A1401" s="25"/>
      <c r="B1401" s="25" t="s">
        <v>3607</v>
      </c>
      <c r="C1401" s="25" t="s">
        <v>2911</v>
      </c>
      <c r="D1401" s="25" t="s">
        <v>2832</v>
      </c>
      <c r="E1401" s="25" t="s">
        <v>2917</v>
      </c>
      <c r="F1401" s="25" t="s">
        <v>1348</v>
      </c>
      <c r="G1401" s="25" t="s">
        <v>2728</v>
      </c>
      <c r="H1401" s="25" t="s">
        <v>375</v>
      </c>
    </row>
    <row r="1402" spans="1:8" ht="18" hidden="1" customHeight="1" outlineLevel="2" x14ac:dyDescent="0.2">
      <c r="A1402" s="25"/>
      <c r="B1402" s="25" t="s">
        <v>3608</v>
      </c>
      <c r="C1402" s="25" t="s">
        <v>2911</v>
      </c>
      <c r="D1402" s="25" t="s">
        <v>2834</v>
      </c>
      <c r="E1402" s="25" t="s">
        <v>2918</v>
      </c>
      <c r="F1402" s="25" t="s">
        <v>1348</v>
      </c>
      <c r="G1402" s="25" t="s">
        <v>2728</v>
      </c>
      <c r="H1402" s="25" t="s">
        <v>375</v>
      </c>
    </row>
    <row r="1403" spans="1:8" ht="18" hidden="1" customHeight="1" outlineLevel="2" x14ac:dyDescent="0.2">
      <c r="A1403" s="25"/>
      <c r="B1403" s="25" t="s">
        <v>3609</v>
      </c>
      <c r="C1403" s="25" t="s">
        <v>2911</v>
      </c>
      <c r="D1403" s="25" t="s">
        <v>2836</v>
      </c>
      <c r="E1403" s="25" t="s">
        <v>2919</v>
      </c>
      <c r="F1403" s="25" t="s">
        <v>1348</v>
      </c>
      <c r="G1403" s="25" t="s">
        <v>2728</v>
      </c>
      <c r="H1403" s="25" t="s">
        <v>375</v>
      </c>
    </row>
    <row r="1404" spans="1:8" ht="18" hidden="1" customHeight="1" outlineLevel="2" x14ac:dyDescent="0.2">
      <c r="A1404" s="25"/>
      <c r="B1404" s="25" t="s">
        <v>3610</v>
      </c>
      <c r="C1404" s="25" t="s">
        <v>2911</v>
      </c>
      <c r="D1404" s="25" t="s">
        <v>2838</v>
      </c>
      <c r="E1404" s="25" t="s">
        <v>2920</v>
      </c>
      <c r="F1404" s="25" t="s">
        <v>1348</v>
      </c>
      <c r="G1404" s="25" t="s">
        <v>2728</v>
      </c>
      <c r="H1404" s="25" t="s">
        <v>375</v>
      </c>
    </row>
    <row r="1405" spans="1:8" ht="18" hidden="1" customHeight="1" outlineLevel="2" x14ac:dyDescent="0.2">
      <c r="A1405" s="25"/>
      <c r="B1405" s="25" t="s">
        <v>3611</v>
      </c>
      <c r="C1405" s="25" t="s">
        <v>2911</v>
      </c>
      <c r="D1405" s="25" t="s">
        <v>2840</v>
      </c>
      <c r="E1405" s="25" t="s">
        <v>2921</v>
      </c>
      <c r="F1405" s="25" t="s">
        <v>1348</v>
      </c>
      <c r="G1405" s="25" t="s">
        <v>2728</v>
      </c>
      <c r="H1405" s="25" t="s">
        <v>375</v>
      </c>
    </row>
    <row r="1406" spans="1:8" ht="18" hidden="1" customHeight="1" outlineLevel="2" x14ac:dyDescent="0.2">
      <c r="A1406" s="25"/>
      <c r="B1406" s="25" t="s">
        <v>3612</v>
      </c>
      <c r="C1406" s="25" t="s">
        <v>2911</v>
      </c>
      <c r="D1406" s="25" t="s">
        <v>2842</v>
      </c>
      <c r="E1406" s="25" t="s">
        <v>2922</v>
      </c>
      <c r="F1406" s="25" t="s">
        <v>1348</v>
      </c>
      <c r="G1406" s="25" t="s">
        <v>2728</v>
      </c>
      <c r="H1406" s="25" t="s">
        <v>375</v>
      </c>
    </row>
    <row r="1407" spans="1:8" ht="18" hidden="1" customHeight="1" outlineLevel="2" x14ac:dyDescent="0.2">
      <c r="A1407" s="25"/>
      <c r="B1407" s="25" t="s">
        <v>3613</v>
      </c>
      <c r="C1407" s="25" t="s">
        <v>2911</v>
      </c>
      <c r="D1407" s="25" t="s">
        <v>2844</v>
      </c>
      <c r="E1407" s="25" t="s">
        <v>2923</v>
      </c>
      <c r="F1407" s="25" t="s">
        <v>1348</v>
      </c>
      <c r="G1407" s="25" t="s">
        <v>2728</v>
      </c>
      <c r="H1407" s="25" t="s">
        <v>375</v>
      </c>
    </row>
    <row r="1408" spans="1:8" ht="18" hidden="1" customHeight="1" outlineLevel="2" x14ac:dyDescent="0.2">
      <c r="A1408" s="25"/>
      <c r="B1408" s="25" t="s">
        <v>3614</v>
      </c>
      <c r="C1408" s="25" t="s">
        <v>2911</v>
      </c>
      <c r="D1408" s="25" t="s">
        <v>2846</v>
      </c>
      <c r="E1408" s="25" t="s">
        <v>2924</v>
      </c>
      <c r="F1408" s="25" t="s">
        <v>1348</v>
      </c>
      <c r="G1408" s="25" t="s">
        <v>2728</v>
      </c>
      <c r="H1408" s="25" t="s">
        <v>375</v>
      </c>
    </row>
    <row r="1409" spans="1:8" ht="18" hidden="1" customHeight="1" outlineLevel="2" x14ac:dyDescent="0.2">
      <c r="A1409" s="25"/>
      <c r="B1409" s="25" t="s">
        <v>3615</v>
      </c>
      <c r="C1409" s="25" t="s">
        <v>2911</v>
      </c>
      <c r="D1409" s="25" t="s">
        <v>2848</v>
      </c>
      <c r="E1409" s="25" t="s">
        <v>2925</v>
      </c>
      <c r="F1409" s="25" t="s">
        <v>1348</v>
      </c>
      <c r="G1409" s="25" t="s">
        <v>2728</v>
      </c>
      <c r="H1409" s="25" t="s">
        <v>375</v>
      </c>
    </row>
    <row r="1410" spans="1:8" ht="18" hidden="1" customHeight="1" outlineLevel="2" x14ac:dyDescent="0.2">
      <c r="A1410" s="25"/>
      <c r="B1410" s="25" t="s">
        <v>3616</v>
      </c>
      <c r="C1410" s="25" t="s">
        <v>2911</v>
      </c>
      <c r="D1410" s="25" t="s">
        <v>2850</v>
      </c>
      <c r="E1410" s="25" t="s">
        <v>2926</v>
      </c>
      <c r="F1410" s="25" t="s">
        <v>1348</v>
      </c>
      <c r="G1410" s="25" t="s">
        <v>2728</v>
      </c>
      <c r="H1410" s="25" t="s">
        <v>375</v>
      </c>
    </row>
    <row r="1411" spans="1:8" ht="18" hidden="1" customHeight="1" outlineLevel="2" x14ac:dyDescent="0.2">
      <c r="A1411" s="25"/>
      <c r="B1411" s="25" t="s">
        <v>3617</v>
      </c>
      <c r="C1411" s="25" t="s">
        <v>2911</v>
      </c>
      <c r="D1411" s="25" t="s">
        <v>2852</v>
      </c>
      <c r="E1411" s="25" t="s">
        <v>2927</v>
      </c>
      <c r="F1411" s="25" t="s">
        <v>1348</v>
      </c>
      <c r="G1411" s="25" t="s">
        <v>2728</v>
      </c>
      <c r="H1411" s="25" t="s">
        <v>375</v>
      </c>
    </row>
    <row r="1412" spans="1:8" ht="18" hidden="1" customHeight="1" outlineLevel="2" x14ac:dyDescent="0.2">
      <c r="A1412" s="25"/>
      <c r="B1412" s="25" t="s">
        <v>3618</v>
      </c>
      <c r="C1412" s="25" t="s">
        <v>2911</v>
      </c>
      <c r="D1412" s="25" t="s">
        <v>2854</v>
      </c>
      <c r="E1412" s="25" t="s">
        <v>2928</v>
      </c>
      <c r="F1412" s="25" t="s">
        <v>1348</v>
      </c>
      <c r="G1412" s="25" t="s">
        <v>2728</v>
      </c>
      <c r="H1412" s="25" t="s">
        <v>375</v>
      </c>
    </row>
    <row r="1413" spans="1:8" ht="18" hidden="1" customHeight="1" outlineLevel="2" x14ac:dyDescent="0.2">
      <c r="A1413" s="25"/>
      <c r="B1413" s="25" t="s">
        <v>3619</v>
      </c>
      <c r="C1413" s="25" t="s">
        <v>2911</v>
      </c>
      <c r="D1413" s="25" t="s">
        <v>2856</v>
      </c>
      <c r="E1413" s="25" t="s">
        <v>2929</v>
      </c>
      <c r="F1413" s="25" t="s">
        <v>1348</v>
      </c>
      <c r="G1413" s="25" t="s">
        <v>2728</v>
      </c>
      <c r="H1413" s="25" t="s">
        <v>375</v>
      </c>
    </row>
    <row r="1414" spans="1:8" ht="18" hidden="1" customHeight="1" outlineLevel="2" x14ac:dyDescent="0.2">
      <c r="A1414" s="25"/>
      <c r="B1414" s="25" t="s">
        <v>3620</v>
      </c>
      <c r="C1414" s="25" t="s">
        <v>2911</v>
      </c>
      <c r="D1414" s="25" t="s">
        <v>2858</v>
      </c>
      <c r="E1414" s="25" t="s">
        <v>2930</v>
      </c>
      <c r="F1414" s="25" t="s">
        <v>1348</v>
      </c>
      <c r="G1414" s="25" t="s">
        <v>2728</v>
      </c>
      <c r="H1414" s="25" t="s">
        <v>375</v>
      </c>
    </row>
    <row r="1415" spans="1:8" ht="18" hidden="1" customHeight="1" outlineLevel="2" x14ac:dyDescent="0.2">
      <c r="A1415" s="25"/>
      <c r="B1415" s="25" t="s">
        <v>3621</v>
      </c>
      <c r="C1415" s="25" t="s">
        <v>2911</v>
      </c>
      <c r="D1415" s="25" t="s">
        <v>2860</v>
      </c>
      <c r="E1415" s="25" t="s">
        <v>2931</v>
      </c>
      <c r="F1415" s="25" t="s">
        <v>1348</v>
      </c>
      <c r="G1415" s="25" t="s">
        <v>2728</v>
      </c>
      <c r="H1415" s="25" t="s">
        <v>375</v>
      </c>
    </row>
    <row r="1416" spans="1:8" ht="18" hidden="1" customHeight="1" outlineLevel="2" x14ac:dyDescent="0.2">
      <c r="A1416" s="25"/>
      <c r="B1416" s="25" t="s">
        <v>3622</v>
      </c>
      <c r="C1416" s="25" t="s">
        <v>2911</v>
      </c>
      <c r="D1416" s="25" t="s">
        <v>2861</v>
      </c>
      <c r="E1416" s="25" t="s">
        <v>2932</v>
      </c>
      <c r="F1416" s="25" t="s">
        <v>1348</v>
      </c>
      <c r="G1416" s="25" t="s">
        <v>2728</v>
      </c>
      <c r="H1416" s="25" t="s">
        <v>375</v>
      </c>
    </row>
    <row r="1417" spans="1:8" ht="18" hidden="1" customHeight="1" outlineLevel="2" x14ac:dyDescent="0.2">
      <c r="A1417" s="25"/>
      <c r="B1417" s="25" t="s">
        <v>3623</v>
      </c>
      <c r="C1417" s="25" t="s">
        <v>2911</v>
      </c>
      <c r="D1417" s="25" t="s">
        <v>2863</v>
      </c>
      <c r="E1417" s="25" t="s">
        <v>2933</v>
      </c>
      <c r="F1417" s="25" t="s">
        <v>1348</v>
      </c>
      <c r="G1417" s="25" t="s">
        <v>2728</v>
      </c>
      <c r="H1417" s="25" t="s">
        <v>375</v>
      </c>
    </row>
    <row r="1418" spans="1:8" ht="18" hidden="1" customHeight="1" outlineLevel="2" x14ac:dyDescent="0.2">
      <c r="A1418" s="25"/>
      <c r="B1418" s="25" t="s">
        <v>3624</v>
      </c>
      <c r="C1418" s="25" t="s">
        <v>2911</v>
      </c>
      <c r="D1418" s="25" t="s">
        <v>2865</v>
      </c>
      <c r="E1418" s="25" t="s">
        <v>2934</v>
      </c>
      <c r="F1418" s="25" t="s">
        <v>1348</v>
      </c>
      <c r="G1418" s="25" t="s">
        <v>2728</v>
      </c>
      <c r="H1418" s="25" t="s">
        <v>375</v>
      </c>
    </row>
    <row r="1419" spans="1:8" ht="18" hidden="1" customHeight="1" outlineLevel="2" x14ac:dyDescent="0.2">
      <c r="A1419" s="25"/>
      <c r="B1419" s="25" t="s">
        <v>3625</v>
      </c>
      <c r="C1419" s="25" t="s">
        <v>2911</v>
      </c>
      <c r="D1419" s="25" t="s">
        <v>2867</v>
      </c>
      <c r="E1419" s="25" t="s">
        <v>2935</v>
      </c>
      <c r="F1419" s="25" t="s">
        <v>1348</v>
      </c>
      <c r="G1419" s="25" t="s">
        <v>2728</v>
      </c>
      <c r="H1419" s="25" t="s">
        <v>375</v>
      </c>
    </row>
    <row r="1420" spans="1:8" ht="18" hidden="1" customHeight="1" outlineLevel="2" x14ac:dyDescent="0.2">
      <c r="A1420" s="25"/>
      <c r="B1420" s="25" t="s">
        <v>3626</v>
      </c>
      <c r="C1420" s="25" t="s">
        <v>2911</v>
      </c>
      <c r="D1420" s="25" t="s">
        <v>2869</v>
      </c>
      <c r="E1420" s="25" t="s">
        <v>2936</v>
      </c>
      <c r="F1420" s="25" t="s">
        <v>1348</v>
      </c>
      <c r="G1420" s="25" t="s">
        <v>2728</v>
      </c>
      <c r="H1420" s="25" t="s">
        <v>375</v>
      </c>
    </row>
    <row r="1421" spans="1:8" ht="18" hidden="1" customHeight="1" outlineLevel="2" x14ac:dyDescent="0.2">
      <c r="A1421" s="25"/>
      <c r="B1421" s="25" t="s">
        <v>3627</v>
      </c>
      <c r="C1421" s="25" t="s">
        <v>2911</v>
      </c>
      <c r="D1421" s="25" t="s">
        <v>2871</v>
      </c>
      <c r="E1421" s="25" t="s">
        <v>2937</v>
      </c>
      <c r="F1421" s="25" t="s">
        <v>1348</v>
      </c>
      <c r="G1421" s="25" t="s">
        <v>2728</v>
      </c>
      <c r="H1421" s="25" t="s">
        <v>375</v>
      </c>
    </row>
    <row r="1422" spans="1:8" ht="18" hidden="1" customHeight="1" outlineLevel="2" x14ac:dyDescent="0.2">
      <c r="A1422" s="25"/>
      <c r="B1422" s="25" t="s">
        <v>3628</v>
      </c>
      <c r="C1422" s="25" t="s">
        <v>2911</v>
      </c>
      <c r="D1422" s="25" t="s">
        <v>2873</v>
      </c>
      <c r="E1422" s="25" t="s">
        <v>2938</v>
      </c>
      <c r="F1422" s="25" t="s">
        <v>1348</v>
      </c>
      <c r="G1422" s="25" t="s">
        <v>2728</v>
      </c>
      <c r="H1422" s="25" t="s">
        <v>375</v>
      </c>
    </row>
    <row r="1423" spans="1:8" ht="18" hidden="1" customHeight="1" outlineLevel="2" x14ac:dyDescent="0.2">
      <c r="A1423" s="25"/>
      <c r="B1423" s="25" t="s">
        <v>3629</v>
      </c>
      <c r="C1423" s="25" t="s">
        <v>2911</v>
      </c>
      <c r="D1423" s="25" t="s">
        <v>2875</v>
      </c>
      <c r="E1423" s="25" t="s">
        <v>2939</v>
      </c>
      <c r="F1423" s="25" t="s">
        <v>1348</v>
      </c>
      <c r="G1423" s="25" t="s">
        <v>2728</v>
      </c>
      <c r="H1423" s="25" t="s">
        <v>375</v>
      </c>
    </row>
    <row r="1424" spans="1:8" ht="18" hidden="1" customHeight="1" outlineLevel="2" x14ac:dyDescent="0.2">
      <c r="A1424" s="25"/>
      <c r="B1424" s="25" t="s">
        <v>3630</v>
      </c>
      <c r="C1424" s="25" t="s">
        <v>2911</v>
      </c>
      <c r="D1424" s="25" t="s">
        <v>2877</v>
      </c>
      <c r="E1424" s="25" t="s">
        <v>2940</v>
      </c>
      <c r="F1424" s="25" t="s">
        <v>1348</v>
      </c>
      <c r="G1424" s="25" t="s">
        <v>2728</v>
      </c>
      <c r="H1424" s="25" t="s">
        <v>375</v>
      </c>
    </row>
    <row r="1425" spans="1:8" ht="18" hidden="1" customHeight="1" outlineLevel="2" x14ac:dyDescent="0.2">
      <c r="A1425" s="25"/>
      <c r="B1425" s="25" t="s">
        <v>3631</v>
      </c>
      <c r="C1425" s="25" t="s">
        <v>2911</v>
      </c>
      <c r="D1425" s="25" t="s">
        <v>2879</v>
      </c>
      <c r="E1425" s="25" t="s">
        <v>2941</v>
      </c>
      <c r="F1425" s="25" t="s">
        <v>1348</v>
      </c>
      <c r="G1425" s="25" t="s">
        <v>2728</v>
      </c>
      <c r="H1425" s="25" t="s">
        <v>375</v>
      </c>
    </row>
    <row r="1426" spans="1:8" ht="18" hidden="1" customHeight="1" outlineLevel="2" x14ac:dyDescent="0.2">
      <c r="A1426" s="25"/>
      <c r="B1426" s="25" t="s">
        <v>3632</v>
      </c>
      <c r="C1426" s="25" t="s">
        <v>2911</v>
      </c>
      <c r="D1426" s="25" t="s">
        <v>2881</v>
      </c>
      <c r="E1426" s="25" t="s">
        <v>547</v>
      </c>
      <c r="F1426" s="25" t="s">
        <v>1348</v>
      </c>
      <c r="G1426" s="25" t="s">
        <v>2728</v>
      </c>
      <c r="H1426" s="25" t="s">
        <v>375</v>
      </c>
    </row>
    <row r="1427" spans="1:8" ht="18" hidden="1" customHeight="1" outlineLevel="2" x14ac:dyDescent="0.2">
      <c r="A1427" s="25"/>
      <c r="B1427" s="25" t="s">
        <v>3633</v>
      </c>
      <c r="C1427" s="25" t="s">
        <v>2911</v>
      </c>
      <c r="D1427" s="25" t="s">
        <v>2882</v>
      </c>
      <c r="E1427" s="25" t="s">
        <v>2942</v>
      </c>
      <c r="F1427" s="25" t="s">
        <v>1348</v>
      </c>
      <c r="G1427" s="25" t="s">
        <v>2728</v>
      </c>
      <c r="H1427" s="25" t="s">
        <v>375</v>
      </c>
    </row>
    <row r="1428" spans="1:8" ht="18" hidden="1" customHeight="1" outlineLevel="2" x14ac:dyDescent="0.2">
      <c r="A1428" s="25"/>
      <c r="B1428" s="25" t="s">
        <v>3634</v>
      </c>
      <c r="C1428" s="25" t="s">
        <v>2911</v>
      </c>
      <c r="D1428" s="25" t="s">
        <v>2884</v>
      </c>
      <c r="E1428" s="25" t="s">
        <v>2943</v>
      </c>
      <c r="F1428" s="25" t="s">
        <v>1348</v>
      </c>
      <c r="G1428" s="25" t="s">
        <v>2728</v>
      </c>
      <c r="H1428" s="25" t="s">
        <v>375</v>
      </c>
    </row>
    <row r="1429" spans="1:8" ht="18" hidden="1" customHeight="1" outlineLevel="2" x14ac:dyDescent="0.2">
      <c r="A1429" s="25"/>
      <c r="B1429" s="25" t="s">
        <v>3635</v>
      </c>
      <c r="C1429" s="25" t="s">
        <v>2911</v>
      </c>
      <c r="D1429" s="25" t="s">
        <v>2886</v>
      </c>
      <c r="E1429" s="25" t="s">
        <v>2944</v>
      </c>
      <c r="F1429" s="25" t="s">
        <v>1348</v>
      </c>
      <c r="G1429" s="25" t="s">
        <v>2728</v>
      </c>
      <c r="H1429" s="25" t="s">
        <v>375</v>
      </c>
    </row>
    <row r="1430" spans="1:8" ht="18" hidden="1" customHeight="1" outlineLevel="2" x14ac:dyDescent="0.2">
      <c r="A1430" s="25"/>
      <c r="B1430" s="25" t="s">
        <v>3636</v>
      </c>
      <c r="C1430" s="25" t="s">
        <v>2911</v>
      </c>
      <c r="D1430" s="25" t="s">
        <v>2888</v>
      </c>
      <c r="E1430" s="25" t="s">
        <v>2945</v>
      </c>
      <c r="F1430" s="25" t="s">
        <v>1348</v>
      </c>
      <c r="G1430" s="25" t="s">
        <v>2728</v>
      </c>
      <c r="H1430" s="25" t="s">
        <v>375</v>
      </c>
    </row>
    <row r="1431" spans="1:8" ht="18" hidden="1" customHeight="1" outlineLevel="2" x14ac:dyDescent="0.2">
      <c r="A1431" s="25"/>
      <c r="B1431" s="25" t="s">
        <v>3637</v>
      </c>
      <c r="C1431" s="25" t="s">
        <v>2911</v>
      </c>
      <c r="D1431" s="25" t="s">
        <v>2889</v>
      </c>
      <c r="E1431" s="25" t="s">
        <v>2946</v>
      </c>
      <c r="F1431" s="25" t="s">
        <v>1348</v>
      </c>
      <c r="G1431" s="25" t="s">
        <v>2728</v>
      </c>
      <c r="H1431" s="25" t="s">
        <v>375</v>
      </c>
    </row>
    <row r="1432" spans="1:8" ht="18" hidden="1" customHeight="1" outlineLevel="2" x14ac:dyDescent="0.2">
      <c r="A1432" s="25"/>
      <c r="B1432" s="25" t="s">
        <v>3638</v>
      </c>
      <c r="C1432" s="25" t="s">
        <v>2911</v>
      </c>
      <c r="D1432" s="25" t="s">
        <v>2890</v>
      </c>
      <c r="E1432" s="25" t="s">
        <v>2947</v>
      </c>
      <c r="F1432" s="25" t="s">
        <v>1348</v>
      </c>
      <c r="G1432" s="25" t="s">
        <v>2728</v>
      </c>
      <c r="H1432" s="25" t="s">
        <v>375</v>
      </c>
    </row>
    <row r="1433" spans="1:8" ht="18" hidden="1" customHeight="1" outlineLevel="2" x14ac:dyDescent="0.2">
      <c r="A1433" s="25"/>
      <c r="B1433" s="25" t="s">
        <v>352</v>
      </c>
      <c r="C1433" s="25" t="s">
        <v>2911</v>
      </c>
      <c r="D1433" s="25" t="s">
        <v>2892</v>
      </c>
      <c r="E1433" s="25" t="s">
        <v>547</v>
      </c>
      <c r="F1433" s="25" t="s">
        <v>1348</v>
      </c>
      <c r="G1433" s="25" t="s">
        <v>2728</v>
      </c>
      <c r="H1433" s="25" t="s">
        <v>375</v>
      </c>
    </row>
    <row r="1434" spans="1:8" ht="18" hidden="1" customHeight="1" outlineLevel="2" x14ac:dyDescent="0.2">
      <c r="A1434" s="25"/>
      <c r="B1434" s="25" t="s">
        <v>352</v>
      </c>
      <c r="C1434" s="25" t="s">
        <v>2911</v>
      </c>
      <c r="D1434" s="25" t="s">
        <v>2893</v>
      </c>
      <c r="E1434" s="25" t="s">
        <v>547</v>
      </c>
      <c r="F1434" s="25" t="s">
        <v>1348</v>
      </c>
      <c r="G1434" s="25" t="s">
        <v>2728</v>
      </c>
      <c r="H1434" s="25" t="s">
        <v>375</v>
      </c>
    </row>
    <row r="1435" spans="1:8" ht="18" hidden="1" customHeight="1" outlineLevel="2" x14ac:dyDescent="0.2">
      <c r="A1435" s="25"/>
      <c r="B1435" s="25" t="s">
        <v>3639</v>
      </c>
      <c r="C1435" s="25" t="s">
        <v>2911</v>
      </c>
      <c r="D1435" s="25" t="s">
        <v>2894</v>
      </c>
      <c r="E1435" s="25" t="s">
        <v>2948</v>
      </c>
      <c r="F1435" s="25" t="s">
        <v>1348</v>
      </c>
      <c r="G1435" s="25" t="s">
        <v>2728</v>
      </c>
      <c r="H1435" s="25" t="s">
        <v>375</v>
      </c>
    </row>
    <row r="1436" spans="1:8" ht="18" hidden="1" customHeight="1" outlineLevel="2" x14ac:dyDescent="0.2">
      <c r="A1436" s="25"/>
      <c r="B1436" s="25" t="s">
        <v>352</v>
      </c>
      <c r="C1436" s="25" t="s">
        <v>2911</v>
      </c>
      <c r="D1436" s="25" t="s">
        <v>2895</v>
      </c>
      <c r="E1436" s="25" t="s">
        <v>2949</v>
      </c>
      <c r="F1436" s="25" t="s">
        <v>1348</v>
      </c>
      <c r="G1436" s="25" t="s">
        <v>2728</v>
      </c>
      <c r="H1436" s="25" t="s">
        <v>375</v>
      </c>
    </row>
    <row r="1437" spans="1:8" customFormat="1" ht="18" hidden="1" customHeight="1" outlineLevel="2" x14ac:dyDescent="0.25">
      <c r="A1437" s="25"/>
      <c r="B1437" s="25"/>
      <c r="C1437" s="25"/>
      <c r="D1437" s="25"/>
      <c r="E1437" s="25"/>
      <c r="F1437" s="25"/>
      <c r="G1437" s="25"/>
      <c r="H1437" s="25"/>
    </row>
    <row r="1438" spans="1:8" customFormat="1" ht="18" hidden="1" customHeight="1" outlineLevel="1" x14ac:dyDescent="0.25">
      <c r="A1438" s="119" t="s">
        <v>3912</v>
      </c>
      <c r="B1438" s="120"/>
      <c r="C1438" s="120"/>
      <c r="D1438" s="120" t="s">
        <v>147</v>
      </c>
      <c r="E1438" s="120"/>
      <c r="F1438" s="120"/>
      <c r="G1438" s="120"/>
      <c r="H1438" s="120"/>
    </row>
    <row r="1439" spans="1:8" ht="18" hidden="1" customHeight="1" outlineLevel="2" x14ac:dyDescent="0.2">
      <c r="A1439" s="25"/>
      <c r="B1439" s="25" t="s">
        <v>3589</v>
      </c>
      <c r="C1439" s="25" t="s">
        <v>2896</v>
      </c>
      <c r="D1439" s="25" t="s">
        <v>1199</v>
      </c>
      <c r="E1439" s="25" t="s">
        <v>2897</v>
      </c>
      <c r="F1439" s="25" t="s">
        <v>1348</v>
      </c>
      <c r="G1439" s="25" t="s">
        <v>2728</v>
      </c>
      <c r="H1439" s="25" t="s">
        <v>375</v>
      </c>
    </row>
    <row r="1440" spans="1:8" ht="18" hidden="1" customHeight="1" outlineLevel="2" x14ac:dyDescent="0.2">
      <c r="A1440" s="25"/>
      <c r="B1440" s="25" t="s">
        <v>3590</v>
      </c>
      <c r="C1440" s="25" t="s">
        <v>2896</v>
      </c>
      <c r="D1440" s="25" t="s">
        <v>1200</v>
      </c>
      <c r="E1440" s="25" t="s">
        <v>2898</v>
      </c>
      <c r="F1440" s="25" t="s">
        <v>1348</v>
      </c>
      <c r="G1440" s="25" t="s">
        <v>2728</v>
      </c>
      <c r="H1440" s="25" t="s">
        <v>375</v>
      </c>
    </row>
    <row r="1441" spans="1:8" ht="18" hidden="1" customHeight="1" outlineLevel="2" x14ac:dyDescent="0.2">
      <c r="A1441" s="25"/>
      <c r="B1441" s="25" t="s">
        <v>3591</v>
      </c>
      <c r="C1441" s="25" t="s">
        <v>2896</v>
      </c>
      <c r="D1441" s="25" t="s">
        <v>1201</v>
      </c>
      <c r="E1441" s="25" t="s">
        <v>2899</v>
      </c>
      <c r="F1441" s="25" t="s">
        <v>1348</v>
      </c>
      <c r="G1441" s="25" t="s">
        <v>2728</v>
      </c>
      <c r="H1441" s="25" t="s">
        <v>375</v>
      </c>
    </row>
    <row r="1442" spans="1:8" ht="18" hidden="1" customHeight="1" outlineLevel="2" x14ac:dyDescent="0.2">
      <c r="A1442" s="25"/>
      <c r="B1442" s="25" t="s">
        <v>3592</v>
      </c>
      <c r="C1442" s="25" t="s">
        <v>2896</v>
      </c>
      <c r="D1442" s="25" t="s">
        <v>1202</v>
      </c>
      <c r="E1442" s="25" t="s">
        <v>2900</v>
      </c>
      <c r="F1442" s="25" t="s">
        <v>1348</v>
      </c>
      <c r="G1442" s="25" t="s">
        <v>2728</v>
      </c>
      <c r="H1442" s="25" t="s">
        <v>375</v>
      </c>
    </row>
    <row r="1443" spans="1:8" ht="18" hidden="1" customHeight="1" outlineLevel="2" x14ac:dyDescent="0.2">
      <c r="A1443" s="25"/>
      <c r="B1443" s="25" t="s">
        <v>3593</v>
      </c>
      <c r="C1443" s="25" t="s">
        <v>2896</v>
      </c>
      <c r="D1443" s="25" t="s">
        <v>2368</v>
      </c>
      <c r="E1443" s="25" t="s">
        <v>2901</v>
      </c>
      <c r="F1443" s="25" t="s">
        <v>1348</v>
      </c>
      <c r="G1443" s="25" t="s">
        <v>2728</v>
      </c>
      <c r="H1443" s="25" t="s">
        <v>375</v>
      </c>
    </row>
    <row r="1444" spans="1:8" ht="18" hidden="1" customHeight="1" outlineLevel="2" x14ac:dyDescent="0.2">
      <c r="A1444" s="25"/>
      <c r="B1444" s="25" t="s">
        <v>3594</v>
      </c>
      <c r="C1444" s="25" t="s">
        <v>2896</v>
      </c>
      <c r="D1444" s="25" t="s">
        <v>517</v>
      </c>
      <c r="E1444" s="25" t="s">
        <v>2902</v>
      </c>
      <c r="F1444" s="25" t="s">
        <v>1348</v>
      </c>
      <c r="G1444" s="25" t="s">
        <v>2728</v>
      </c>
      <c r="H1444" s="25" t="s">
        <v>375</v>
      </c>
    </row>
    <row r="1445" spans="1:8" ht="18" hidden="1" customHeight="1" outlineLevel="2" x14ac:dyDescent="0.2">
      <c r="A1445" s="25"/>
      <c r="B1445" s="25" t="s">
        <v>3595</v>
      </c>
      <c r="C1445" s="25" t="s">
        <v>2896</v>
      </c>
      <c r="D1445" s="25" t="s">
        <v>3901</v>
      </c>
      <c r="E1445" s="25" t="s">
        <v>2903</v>
      </c>
      <c r="F1445" s="25" t="s">
        <v>1348</v>
      </c>
      <c r="G1445" s="25" t="s">
        <v>2728</v>
      </c>
      <c r="H1445" s="25" t="s">
        <v>375</v>
      </c>
    </row>
    <row r="1446" spans="1:8" ht="18" hidden="1" customHeight="1" outlineLevel="2" x14ac:dyDescent="0.2">
      <c r="A1446" s="25"/>
      <c r="B1446" s="25" t="s">
        <v>3596</v>
      </c>
      <c r="C1446" s="25" t="s">
        <v>2896</v>
      </c>
      <c r="D1446" s="25" t="s">
        <v>3902</v>
      </c>
      <c r="E1446" s="25" t="s">
        <v>2904</v>
      </c>
      <c r="F1446" s="25" t="s">
        <v>1348</v>
      </c>
      <c r="G1446" s="25" t="s">
        <v>2728</v>
      </c>
      <c r="H1446" s="25" t="s">
        <v>375</v>
      </c>
    </row>
    <row r="1447" spans="1:8" ht="18" hidden="1" customHeight="1" outlineLevel="2" x14ac:dyDescent="0.2">
      <c r="A1447" s="25"/>
      <c r="B1447" s="25" t="s">
        <v>3597</v>
      </c>
      <c r="C1447" s="25" t="s">
        <v>2896</v>
      </c>
      <c r="D1447" s="25" t="s">
        <v>3903</v>
      </c>
      <c r="E1447" s="25" t="s">
        <v>2905</v>
      </c>
      <c r="F1447" s="25" t="s">
        <v>1348</v>
      </c>
      <c r="G1447" s="25" t="s">
        <v>2728</v>
      </c>
      <c r="H1447" s="25" t="s">
        <v>375</v>
      </c>
    </row>
    <row r="1448" spans="1:8" ht="18" hidden="1" customHeight="1" outlineLevel="2" x14ac:dyDescent="0.2">
      <c r="A1448" s="25"/>
      <c r="B1448" s="25" t="s">
        <v>3598</v>
      </c>
      <c r="C1448" s="25" t="s">
        <v>2896</v>
      </c>
      <c r="D1448" s="25" t="s">
        <v>3904</v>
      </c>
      <c r="E1448" s="25" t="s">
        <v>2906</v>
      </c>
      <c r="F1448" s="25" t="s">
        <v>1348</v>
      </c>
      <c r="G1448" s="25" t="s">
        <v>2728</v>
      </c>
      <c r="H1448" s="25" t="s">
        <v>375</v>
      </c>
    </row>
    <row r="1449" spans="1:8" ht="18" hidden="1" customHeight="1" outlineLevel="2" x14ac:dyDescent="0.2">
      <c r="A1449" s="25"/>
      <c r="B1449" s="25" t="s">
        <v>3599</v>
      </c>
      <c r="C1449" s="25" t="s">
        <v>2896</v>
      </c>
      <c r="D1449" s="25" t="s">
        <v>3905</v>
      </c>
      <c r="E1449" s="25" t="s">
        <v>2907</v>
      </c>
      <c r="F1449" s="25" t="s">
        <v>1348</v>
      </c>
      <c r="G1449" s="25" t="s">
        <v>2728</v>
      </c>
      <c r="H1449" s="25" t="s">
        <v>375</v>
      </c>
    </row>
    <row r="1450" spans="1:8" ht="18" hidden="1" customHeight="1" outlineLevel="2" x14ac:dyDescent="0.2">
      <c r="A1450" s="25"/>
      <c r="B1450" s="25" t="s">
        <v>3600</v>
      </c>
      <c r="C1450" s="25" t="s">
        <v>2896</v>
      </c>
      <c r="D1450" s="25" t="s">
        <v>3906</v>
      </c>
      <c r="E1450" s="25" t="s">
        <v>2908</v>
      </c>
      <c r="F1450" s="25" t="s">
        <v>1348</v>
      </c>
      <c r="G1450" s="25" t="s">
        <v>2728</v>
      </c>
      <c r="H1450" s="25" t="s">
        <v>375</v>
      </c>
    </row>
    <row r="1451" spans="1:8" ht="18" hidden="1" customHeight="1" outlineLevel="2" x14ac:dyDescent="0.2">
      <c r="A1451" s="25"/>
      <c r="B1451" s="25" t="s">
        <v>3601</v>
      </c>
      <c r="C1451" s="25" t="s">
        <v>2896</v>
      </c>
      <c r="D1451" s="25" t="s">
        <v>3907</v>
      </c>
      <c r="E1451" s="25" t="s">
        <v>2909</v>
      </c>
      <c r="F1451" s="25" t="s">
        <v>1348</v>
      </c>
      <c r="G1451" s="25" t="s">
        <v>2728</v>
      </c>
      <c r="H1451" s="25" t="s">
        <v>375</v>
      </c>
    </row>
    <row r="1452" spans="1:8" ht="18" hidden="1" customHeight="1" outlineLevel="2" x14ac:dyDescent="0.2">
      <c r="A1452" s="25"/>
      <c r="B1452" s="25" t="s">
        <v>3602</v>
      </c>
      <c r="C1452" s="25" t="s">
        <v>2896</v>
      </c>
      <c r="D1452" s="25" t="s">
        <v>3908</v>
      </c>
      <c r="E1452" s="25" t="s">
        <v>2910</v>
      </c>
      <c r="F1452" s="25" t="s">
        <v>1348</v>
      </c>
      <c r="G1452" s="25" t="s">
        <v>2728</v>
      </c>
      <c r="H1452" s="25" t="s">
        <v>375</v>
      </c>
    </row>
    <row r="1453" spans="1:8" customFormat="1" ht="18" hidden="1" customHeight="1" outlineLevel="2" x14ac:dyDescent="0.25">
      <c r="A1453" s="25"/>
      <c r="B1453" s="25"/>
      <c r="C1453" s="25"/>
      <c r="D1453" s="25"/>
      <c r="E1453" s="25"/>
      <c r="F1453" s="25"/>
      <c r="G1453" s="25"/>
      <c r="H1453" s="25"/>
    </row>
    <row r="1454" spans="1:8" customFormat="1" ht="18" hidden="1" customHeight="1" outlineLevel="1" x14ac:dyDescent="0.25">
      <c r="A1454" s="119" t="s">
        <v>148</v>
      </c>
      <c r="B1454" s="120"/>
      <c r="C1454" s="120"/>
      <c r="D1454" s="120" t="s">
        <v>148</v>
      </c>
      <c r="E1454" s="120"/>
      <c r="F1454" s="120"/>
      <c r="G1454" s="120"/>
      <c r="H1454" s="120"/>
    </row>
    <row r="1455" spans="1:8" ht="18" hidden="1" customHeight="1" outlineLevel="2" x14ac:dyDescent="0.2">
      <c r="A1455" s="25"/>
      <c r="B1455" s="25" t="s">
        <v>3654</v>
      </c>
      <c r="C1455" s="25" t="s">
        <v>2964</v>
      </c>
      <c r="D1455" s="25" t="s">
        <v>2965</v>
      </c>
      <c r="E1455" s="25" t="s">
        <v>2966</v>
      </c>
      <c r="F1455" s="25" t="s">
        <v>1348</v>
      </c>
      <c r="G1455" s="25" t="s">
        <v>2728</v>
      </c>
      <c r="H1455" s="25" t="s">
        <v>375</v>
      </c>
    </row>
    <row r="1456" spans="1:8" ht="18" hidden="1" customHeight="1" outlineLevel="2" x14ac:dyDescent="0.2">
      <c r="A1456" s="25"/>
      <c r="B1456" s="25" t="s">
        <v>3655</v>
      </c>
      <c r="C1456" s="25" t="s">
        <v>2964</v>
      </c>
      <c r="D1456" s="25" t="s">
        <v>2967</v>
      </c>
      <c r="E1456" s="25" t="s">
        <v>2968</v>
      </c>
      <c r="F1456" s="25" t="s">
        <v>1348</v>
      </c>
      <c r="G1456" s="25" t="s">
        <v>2728</v>
      </c>
      <c r="H1456" s="25" t="s">
        <v>375</v>
      </c>
    </row>
    <row r="1457" spans="1:8" ht="18" hidden="1" customHeight="1" outlineLevel="2" x14ac:dyDescent="0.2">
      <c r="A1457" s="25"/>
      <c r="B1457" s="25" t="s">
        <v>3656</v>
      </c>
      <c r="C1457" s="25" t="s">
        <v>2964</v>
      </c>
      <c r="D1457" s="25" t="s">
        <v>2969</v>
      </c>
      <c r="E1457" s="25" t="s">
        <v>2970</v>
      </c>
      <c r="F1457" s="25" t="s">
        <v>1348</v>
      </c>
      <c r="G1457" s="25" t="s">
        <v>2728</v>
      </c>
      <c r="H1457" s="25" t="s">
        <v>375</v>
      </c>
    </row>
    <row r="1458" spans="1:8" ht="18" hidden="1" customHeight="1" outlineLevel="2" x14ac:dyDescent="0.2">
      <c r="A1458" s="25"/>
      <c r="B1458" s="25"/>
      <c r="C1458" s="25"/>
      <c r="D1458" s="25"/>
      <c r="E1458" s="25"/>
      <c r="F1458" s="25"/>
      <c r="G1458" s="25"/>
    </row>
    <row r="1459" spans="1:8" ht="18" hidden="1" customHeight="1" outlineLevel="2" x14ac:dyDescent="0.2">
      <c r="A1459" s="25"/>
      <c r="B1459" s="25" t="s">
        <v>3657</v>
      </c>
      <c r="C1459" s="25" t="s">
        <v>2964</v>
      </c>
      <c r="D1459" s="25" t="s">
        <v>2971</v>
      </c>
      <c r="E1459" s="25" t="s">
        <v>2972</v>
      </c>
      <c r="F1459" s="25" t="s">
        <v>1348</v>
      </c>
      <c r="G1459" s="25" t="s">
        <v>2728</v>
      </c>
      <c r="H1459" s="25" t="s">
        <v>375</v>
      </c>
    </row>
    <row r="1460" spans="1:8" ht="18" hidden="1" customHeight="1" outlineLevel="2" x14ac:dyDescent="0.2">
      <c r="A1460" s="25"/>
      <c r="B1460" s="25" t="s">
        <v>3658</v>
      </c>
      <c r="C1460" s="25" t="s">
        <v>2964</v>
      </c>
      <c r="D1460" s="25" t="s">
        <v>2973</v>
      </c>
      <c r="E1460" s="25" t="s">
        <v>2974</v>
      </c>
      <c r="F1460" s="25" t="s">
        <v>1348</v>
      </c>
      <c r="G1460" s="25" t="s">
        <v>2728</v>
      </c>
      <c r="H1460" s="25" t="s">
        <v>375</v>
      </c>
    </row>
    <row r="1461" spans="1:8" ht="18" hidden="1" customHeight="1" outlineLevel="2" x14ac:dyDescent="0.2">
      <c r="A1461" s="25"/>
      <c r="B1461" s="25"/>
      <c r="C1461" s="25"/>
      <c r="D1461" s="25"/>
      <c r="E1461" s="25"/>
      <c r="F1461" s="25"/>
      <c r="G1461" s="25"/>
    </row>
    <row r="1462" spans="1:8" ht="18" hidden="1" customHeight="1" outlineLevel="2" x14ac:dyDescent="0.2">
      <c r="A1462" s="25"/>
      <c r="B1462" s="25" t="s">
        <v>3659</v>
      </c>
      <c r="C1462" s="25" t="s">
        <v>2964</v>
      </c>
      <c r="D1462" s="25" t="s">
        <v>2975</v>
      </c>
      <c r="E1462" s="25" t="s">
        <v>2976</v>
      </c>
      <c r="F1462" s="25" t="s">
        <v>1348</v>
      </c>
      <c r="G1462" s="25" t="s">
        <v>2728</v>
      </c>
      <c r="H1462" s="25" t="s">
        <v>375</v>
      </c>
    </row>
    <row r="1463" spans="1:8" ht="18" hidden="1" customHeight="1" outlineLevel="2" x14ac:dyDescent="0.2">
      <c r="A1463" s="25"/>
      <c r="B1463" s="25" t="s">
        <v>3660</v>
      </c>
      <c r="C1463" s="25" t="s">
        <v>2964</v>
      </c>
      <c r="D1463" s="25" t="s">
        <v>2977</v>
      </c>
      <c r="E1463" s="25" t="s">
        <v>2978</v>
      </c>
      <c r="F1463" s="25" t="s">
        <v>1348</v>
      </c>
      <c r="G1463" s="25" t="s">
        <v>2728</v>
      </c>
      <c r="H1463" s="25" t="s">
        <v>375</v>
      </c>
    </row>
    <row r="1464" spans="1:8" ht="18" hidden="1" customHeight="1" outlineLevel="2" x14ac:dyDescent="0.2">
      <c r="A1464" s="25"/>
      <c r="B1464" s="25" t="s">
        <v>3661</v>
      </c>
      <c r="C1464" s="25" t="s">
        <v>2964</v>
      </c>
      <c r="D1464" s="25" t="s">
        <v>2979</v>
      </c>
      <c r="E1464" s="25" t="s">
        <v>2980</v>
      </c>
      <c r="F1464" s="25" t="s">
        <v>1348</v>
      </c>
      <c r="G1464" s="25" t="s">
        <v>2728</v>
      </c>
      <c r="H1464" s="25" t="s">
        <v>375</v>
      </c>
    </row>
    <row r="1465" spans="1:8" ht="18" hidden="1" customHeight="1" outlineLevel="2" x14ac:dyDescent="0.2">
      <c r="A1465" s="25"/>
      <c r="B1465" s="25" t="s">
        <v>3662</v>
      </c>
      <c r="C1465" s="25" t="s">
        <v>2964</v>
      </c>
      <c r="D1465" s="25" t="s">
        <v>2981</v>
      </c>
      <c r="E1465" s="25" t="s">
        <v>2982</v>
      </c>
      <c r="F1465" s="25" t="s">
        <v>1348</v>
      </c>
      <c r="G1465" s="25" t="s">
        <v>2728</v>
      </c>
      <c r="H1465" s="25" t="s">
        <v>375</v>
      </c>
    </row>
    <row r="1466" spans="1:8" ht="18" hidden="1" customHeight="1" outlineLevel="2" x14ac:dyDescent="0.2">
      <c r="A1466" s="25"/>
      <c r="B1466" s="25"/>
      <c r="C1466" s="25"/>
      <c r="D1466" s="25"/>
      <c r="E1466" s="25"/>
      <c r="F1466" s="25"/>
      <c r="G1466" s="25"/>
    </row>
    <row r="1467" spans="1:8" ht="18" hidden="1" customHeight="1" outlineLevel="2" x14ac:dyDescent="0.2">
      <c r="A1467" s="25"/>
      <c r="B1467" s="25" t="s">
        <v>3663</v>
      </c>
      <c r="C1467" s="25" t="s">
        <v>2964</v>
      </c>
      <c r="D1467" s="25" t="s">
        <v>2983</v>
      </c>
      <c r="E1467" s="25" t="s">
        <v>547</v>
      </c>
      <c r="F1467" s="25" t="s">
        <v>1348</v>
      </c>
      <c r="G1467" s="25" t="s">
        <v>2728</v>
      </c>
      <c r="H1467" s="25" t="s">
        <v>375</v>
      </c>
    </row>
    <row r="1468" spans="1:8" ht="18" hidden="1" customHeight="1" outlineLevel="2" x14ac:dyDescent="0.2">
      <c r="A1468" s="25"/>
      <c r="B1468" s="25" t="s">
        <v>3664</v>
      </c>
      <c r="C1468" s="25" t="s">
        <v>2964</v>
      </c>
      <c r="D1468" s="25" t="s">
        <v>2984</v>
      </c>
      <c r="E1468" s="25" t="s">
        <v>2985</v>
      </c>
      <c r="F1468" s="25" t="s">
        <v>1348</v>
      </c>
      <c r="G1468" s="25" t="s">
        <v>2728</v>
      </c>
      <c r="H1468" s="25" t="s">
        <v>375</v>
      </c>
    </row>
    <row r="1469" spans="1:8" ht="18" hidden="1" customHeight="1" outlineLevel="2" x14ac:dyDescent="0.2">
      <c r="A1469" s="25"/>
      <c r="B1469" s="25" t="s">
        <v>3665</v>
      </c>
      <c r="C1469" s="25" t="s">
        <v>2964</v>
      </c>
      <c r="D1469" s="25" t="s">
        <v>2986</v>
      </c>
      <c r="E1469" s="25" t="s">
        <v>2987</v>
      </c>
      <c r="F1469" s="25" t="s">
        <v>1348</v>
      </c>
      <c r="G1469" s="25" t="s">
        <v>2728</v>
      </c>
      <c r="H1469" s="25" t="s">
        <v>375</v>
      </c>
    </row>
    <row r="1470" spans="1:8" ht="18" hidden="1" customHeight="1" outlineLevel="2" x14ac:dyDescent="0.2">
      <c r="A1470" s="25"/>
      <c r="B1470" s="25" t="s">
        <v>3666</v>
      </c>
      <c r="C1470" s="25" t="s">
        <v>2964</v>
      </c>
      <c r="D1470" s="25" t="s">
        <v>2988</v>
      </c>
      <c r="E1470" s="25" t="s">
        <v>2989</v>
      </c>
      <c r="F1470" s="25" t="s">
        <v>1348</v>
      </c>
      <c r="G1470" s="25" t="s">
        <v>2728</v>
      </c>
      <c r="H1470" s="25" t="s">
        <v>375</v>
      </c>
    </row>
    <row r="1471" spans="1:8" ht="18" hidden="1" customHeight="1" outlineLevel="2" x14ac:dyDescent="0.2">
      <c r="A1471" s="25"/>
      <c r="B1471" s="25"/>
      <c r="C1471" s="25"/>
      <c r="D1471" s="25"/>
      <c r="E1471" s="25"/>
      <c r="F1471" s="25"/>
      <c r="G1471" s="25"/>
    </row>
    <row r="1472" spans="1:8" ht="18" hidden="1" customHeight="1" outlineLevel="2" x14ac:dyDescent="0.2">
      <c r="A1472" s="25"/>
      <c r="B1472" s="25" t="s">
        <v>3667</v>
      </c>
      <c r="C1472" s="25" t="s">
        <v>2964</v>
      </c>
      <c r="D1472" s="25" t="s">
        <v>2990</v>
      </c>
      <c r="E1472" s="25" t="s">
        <v>2991</v>
      </c>
      <c r="F1472" s="25" t="s">
        <v>1348</v>
      </c>
      <c r="G1472" s="25" t="s">
        <v>2728</v>
      </c>
      <c r="H1472" s="25" t="s">
        <v>375</v>
      </c>
    </row>
    <row r="1473" spans="1:8" ht="18" hidden="1" customHeight="1" outlineLevel="2" x14ac:dyDescent="0.2">
      <c r="A1473" s="25"/>
      <c r="B1473" s="25" t="s">
        <v>3668</v>
      </c>
      <c r="C1473" s="25" t="s">
        <v>2964</v>
      </c>
      <c r="D1473" s="25" t="s">
        <v>2992</v>
      </c>
      <c r="E1473" s="25" t="s">
        <v>2993</v>
      </c>
      <c r="F1473" s="25" t="s">
        <v>1348</v>
      </c>
      <c r="G1473" s="25" t="s">
        <v>2728</v>
      </c>
      <c r="H1473" s="25" t="s">
        <v>375</v>
      </c>
    </row>
    <row r="1474" spans="1:8" ht="18" hidden="1" customHeight="1" outlineLevel="2" x14ac:dyDescent="0.2">
      <c r="A1474" s="25"/>
      <c r="B1474" s="25" t="s">
        <v>3669</v>
      </c>
      <c r="C1474" s="25" t="s">
        <v>2964</v>
      </c>
      <c r="D1474" s="25" t="s">
        <v>2994</v>
      </c>
      <c r="E1474" s="25" t="s">
        <v>2995</v>
      </c>
      <c r="F1474" s="25" t="s">
        <v>1348</v>
      </c>
      <c r="G1474" s="25" t="s">
        <v>2728</v>
      </c>
      <c r="H1474" s="25" t="s">
        <v>375</v>
      </c>
    </row>
    <row r="1475" spans="1:8" ht="18" hidden="1" customHeight="1" outlineLevel="2" x14ac:dyDescent="0.2">
      <c r="A1475" s="25"/>
      <c r="B1475" s="25" t="s">
        <v>3670</v>
      </c>
      <c r="C1475" s="25" t="s">
        <v>2964</v>
      </c>
      <c r="D1475" s="25" t="s">
        <v>2996</v>
      </c>
      <c r="E1475" s="25" t="s">
        <v>2997</v>
      </c>
      <c r="F1475" s="25" t="s">
        <v>1348</v>
      </c>
      <c r="G1475" s="25" t="s">
        <v>2728</v>
      </c>
      <c r="H1475" s="25" t="s">
        <v>375</v>
      </c>
    </row>
    <row r="1476" spans="1:8" ht="18" hidden="1" customHeight="1" outlineLevel="2" x14ac:dyDescent="0.2">
      <c r="A1476" s="25"/>
      <c r="B1476" s="25" t="s">
        <v>3671</v>
      </c>
      <c r="C1476" s="25" t="s">
        <v>2964</v>
      </c>
      <c r="D1476" s="25" t="s">
        <v>2998</v>
      </c>
      <c r="E1476" s="25" t="s">
        <v>2999</v>
      </c>
      <c r="F1476" s="25" t="s">
        <v>1348</v>
      </c>
      <c r="G1476" s="25" t="s">
        <v>2728</v>
      </c>
      <c r="H1476" s="25" t="s">
        <v>375</v>
      </c>
    </row>
    <row r="1477" spans="1:8" ht="18" hidden="1" customHeight="1" outlineLevel="2" x14ac:dyDescent="0.2">
      <c r="A1477" s="25"/>
      <c r="B1477" s="25"/>
      <c r="C1477" s="25"/>
      <c r="D1477" s="25"/>
      <c r="E1477" s="25"/>
      <c r="F1477" s="25"/>
      <c r="G1477" s="25"/>
    </row>
    <row r="1478" spans="1:8" ht="18" hidden="1" customHeight="1" outlineLevel="2" x14ac:dyDescent="0.2">
      <c r="A1478" s="25"/>
      <c r="B1478" s="25" t="s">
        <v>3672</v>
      </c>
      <c r="C1478" s="25" t="s">
        <v>2964</v>
      </c>
      <c r="D1478" s="25" t="s">
        <v>3000</v>
      </c>
      <c r="E1478" s="25" t="s">
        <v>3001</v>
      </c>
      <c r="F1478" s="25" t="s">
        <v>1348</v>
      </c>
      <c r="G1478" s="25" t="s">
        <v>2728</v>
      </c>
      <c r="H1478" s="25" t="s">
        <v>375</v>
      </c>
    </row>
    <row r="1479" spans="1:8" ht="18" hidden="1" customHeight="1" outlineLevel="2" x14ac:dyDescent="0.2">
      <c r="A1479" s="25"/>
      <c r="B1479" s="25" t="s">
        <v>3673</v>
      </c>
      <c r="C1479" s="25" t="s">
        <v>2964</v>
      </c>
      <c r="D1479" s="25" t="s">
        <v>3002</v>
      </c>
      <c r="E1479" s="25" t="s">
        <v>3003</v>
      </c>
      <c r="F1479" s="25" t="s">
        <v>1348</v>
      </c>
      <c r="G1479" s="25" t="s">
        <v>2728</v>
      </c>
      <c r="H1479" s="25" t="s">
        <v>375</v>
      </c>
    </row>
    <row r="1480" spans="1:8" ht="18" hidden="1" customHeight="1" outlineLevel="2" x14ac:dyDescent="0.2">
      <c r="A1480" s="25"/>
      <c r="B1480" s="25" t="s">
        <v>3674</v>
      </c>
      <c r="C1480" s="25" t="s">
        <v>2964</v>
      </c>
      <c r="D1480" s="25" t="s">
        <v>3004</v>
      </c>
      <c r="E1480" s="25" t="s">
        <v>3005</v>
      </c>
      <c r="F1480" s="25" t="s">
        <v>1348</v>
      </c>
      <c r="G1480" s="25" t="s">
        <v>2728</v>
      </c>
      <c r="H1480" s="25" t="s">
        <v>375</v>
      </c>
    </row>
    <row r="1481" spans="1:8" ht="18" hidden="1" customHeight="1" outlineLevel="2" x14ac:dyDescent="0.2">
      <c r="A1481" s="25"/>
      <c r="B1481" s="25" t="s">
        <v>3675</v>
      </c>
      <c r="C1481" s="25" t="s">
        <v>2964</v>
      </c>
      <c r="D1481" s="25" t="s">
        <v>3006</v>
      </c>
      <c r="E1481" s="25" t="s">
        <v>3007</v>
      </c>
      <c r="F1481" s="25" t="s">
        <v>1348</v>
      </c>
      <c r="G1481" s="25" t="s">
        <v>2728</v>
      </c>
      <c r="H1481" s="25" t="s">
        <v>375</v>
      </c>
    </row>
    <row r="1482" spans="1:8" ht="18" hidden="1" customHeight="1" outlineLevel="2" x14ac:dyDescent="0.2">
      <c r="A1482" s="25"/>
      <c r="B1482" s="25" t="s">
        <v>3676</v>
      </c>
      <c r="C1482" s="25" t="s">
        <v>2964</v>
      </c>
      <c r="D1482" s="25" t="s">
        <v>3008</v>
      </c>
      <c r="E1482" s="25" t="s">
        <v>3009</v>
      </c>
      <c r="F1482" s="25" t="s">
        <v>1348</v>
      </c>
      <c r="G1482" s="25" t="s">
        <v>2728</v>
      </c>
      <c r="H1482" s="25" t="s">
        <v>375</v>
      </c>
    </row>
    <row r="1483" spans="1:8" ht="18" hidden="1" customHeight="1" outlineLevel="2" x14ac:dyDescent="0.2">
      <c r="A1483" s="25"/>
      <c r="B1483" s="25"/>
      <c r="C1483" s="25"/>
      <c r="D1483" s="25"/>
      <c r="E1483" s="25"/>
      <c r="F1483" s="25"/>
      <c r="G1483" s="25"/>
      <c r="H1483" s="25" t="s">
        <v>375</v>
      </c>
    </row>
    <row r="1484" spans="1:8" ht="18" hidden="1" customHeight="1" outlineLevel="2" x14ac:dyDescent="0.2">
      <c r="A1484" s="25"/>
      <c r="B1484" s="25" t="s">
        <v>3677</v>
      </c>
      <c r="C1484" s="25" t="s">
        <v>2964</v>
      </c>
      <c r="D1484" s="25" t="s">
        <v>3010</v>
      </c>
      <c r="E1484" s="25" t="s">
        <v>3011</v>
      </c>
      <c r="F1484" s="25" t="s">
        <v>1348</v>
      </c>
      <c r="G1484" s="25" t="s">
        <v>2728</v>
      </c>
      <c r="H1484" s="25" t="s">
        <v>375</v>
      </c>
    </row>
    <row r="1485" spans="1:8" ht="18" hidden="1" customHeight="1" outlineLevel="2" x14ac:dyDescent="0.2">
      <c r="A1485" s="25"/>
      <c r="B1485" s="25" t="s">
        <v>3678</v>
      </c>
      <c r="C1485" s="25" t="s">
        <v>2964</v>
      </c>
      <c r="D1485" s="25" t="s">
        <v>3012</v>
      </c>
      <c r="E1485" s="25" t="s">
        <v>3013</v>
      </c>
      <c r="F1485" s="25" t="s">
        <v>1348</v>
      </c>
      <c r="G1485" s="25" t="s">
        <v>2728</v>
      </c>
      <c r="H1485" s="25" t="s">
        <v>375</v>
      </c>
    </row>
    <row r="1486" spans="1:8" ht="18" hidden="1" customHeight="1" outlineLevel="2" x14ac:dyDescent="0.2">
      <c r="A1486" s="25"/>
      <c r="B1486" s="25" t="s">
        <v>3679</v>
      </c>
      <c r="C1486" s="25" t="s">
        <v>2964</v>
      </c>
      <c r="D1486" s="25" t="s">
        <v>3014</v>
      </c>
      <c r="E1486" s="25" t="s">
        <v>3015</v>
      </c>
      <c r="F1486" s="25" t="s">
        <v>1348</v>
      </c>
      <c r="G1486" s="25" t="s">
        <v>2728</v>
      </c>
      <c r="H1486" s="25" t="s">
        <v>375</v>
      </c>
    </row>
    <row r="1487" spans="1:8" ht="18" hidden="1" customHeight="1" outlineLevel="2" x14ac:dyDescent="0.2">
      <c r="A1487" s="25"/>
      <c r="B1487" s="25"/>
      <c r="C1487" s="25" t="s">
        <v>547</v>
      </c>
      <c r="D1487" s="25"/>
      <c r="E1487" s="25" t="s">
        <v>547</v>
      </c>
      <c r="F1487" s="25" t="s">
        <v>1348</v>
      </c>
      <c r="G1487" s="25"/>
      <c r="H1487" s="25" t="s">
        <v>375</v>
      </c>
    </row>
    <row r="1488" spans="1:8" ht="18" hidden="1" customHeight="1" outlineLevel="2" x14ac:dyDescent="0.2">
      <c r="A1488" s="25"/>
      <c r="B1488" s="25" t="s">
        <v>3680</v>
      </c>
      <c r="C1488" s="25" t="s">
        <v>2964</v>
      </c>
      <c r="D1488" s="25" t="s">
        <v>3016</v>
      </c>
      <c r="E1488" s="25" t="s">
        <v>3017</v>
      </c>
      <c r="F1488" s="25" t="s">
        <v>1348</v>
      </c>
      <c r="G1488" s="25" t="s">
        <v>2728</v>
      </c>
      <c r="H1488" s="25" t="s">
        <v>375</v>
      </c>
    </row>
    <row r="1489" spans="1:8" ht="18" hidden="1" customHeight="1" outlineLevel="2" x14ac:dyDescent="0.2">
      <c r="A1489" s="25"/>
      <c r="B1489" s="25" t="s">
        <v>3681</v>
      </c>
      <c r="C1489" s="25" t="s">
        <v>2964</v>
      </c>
      <c r="D1489" s="25" t="s">
        <v>3018</v>
      </c>
      <c r="E1489" s="25" t="s">
        <v>3019</v>
      </c>
      <c r="F1489" s="25" t="s">
        <v>1348</v>
      </c>
      <c r="G1489" s="25" t="s">
        <v>2728</v>
      </c>
      <c r="H1489" s="25" t="s">
        <v>375</v>
      </c>
    </row>
    <row r="1490" spans="1:8" ht="18" hidden="1" customHeight="1" outlineLevel="2" x14ac:dyDescent="0.2">
      <c r="A1490" s="25"/>
      <c r="B1490" s="25" t="s">
        <v>3682</v>
      </c>
      <c r="C1490" s="25" t="s">
        <v>2964</v>
      </c>
      <c r="D1490" s="25" t="s">
        <v>3020</v>
      </c>
      <c r="E1490" s="25" t="s">
        <v>3021</v>
      </c>
      <c r="F1490" s="25" t="s">
        <v>1348</v>
      </c>
      <c r="G1490" s="25" t="s">
        <v>2728</v>
      </c>
      <c r="H1490" s="25" t="s">
        <v>375</v>
      </c>
    </row>
    <row r="1491" spans="1:8" ht="18" hidden="1" customHeight="1" outlineLevel="2" x14ac:dyDescent="0.2">
      <c r="A1491" s="25"/>
      <c r="B1491" s="25"/>
      <c r="C1491" s="25" t="s">
        <v>547</v>
      </c>
      <c r="D1491" s="25"/>
      <c r="E1491" s="25" t="s">
        <v>547</v>
      </c>
      <c r="F1491" s="25" t="s">
        <v>1348</v>
      </c>
      <c r="G1491" s="25"/>
      <c r="H1491" s="25" t="s">
        <v>375</v>
      </c>
    </row>
    <row r="1492" spans="1:8" ht="18" hidden="1" customHeight="1" outlineLevel="2" x14ac:dyDescent="0.2">
      <c r="A1492" s="25"/>
      <c r="B1492" s="25" t="s">
        <v>3683</v>
      </c>
      <c r="C1492" s="25" t="s">
        <v>2964</v>
      </c>
      <c r="D1492" s="25" t="s">
        <v>3022</v>
      </c>
      <c r="E1492" s="25" t="s">
        <v>3023</v>
      </c>
      <c r="F1492" s="25" t="s">
        <v>1348</v>
      </c>
      <c r="G1492" s="25" t="s">
        <v>2728</v>
      </c>
      <c r="H1492" s="25" t="s">
        <v>375</v>
      </c>
    </row>
    <row r="1493" spans="1:8" ht="18" hidden="1" customHeight="1" outlineLevel="2" x14ac:dyDescent="0.2">
      <c r="A1493" s="25"/>
      <c r="B1493" s="25" t="s">
        <v>3684</v>
      </c>
      <c r="C1493" s="25" t="s">
        <v>2964</v>
      </c>
      <c r="D1493" s="25" t="s">
        <v>3024</v>
      </c>
      <c r="E1493" s="25" t="s">
        <v>3025</v>
      </c>
      <c r="F1493" s="25" t="s">
        <v>1348</v>
      </c>
      <c r="G1493" s="25" t="s">
        <v>2728</v>
      </c>
      <c r="H1493" s="25" t="s">
        <v>375</v>
      </c>
    </row>
    <row r="1494" spans="1:8" ht="18" hidden="1" customHeight="1" outlineLevel="2" x14ac:dyDescent="0.2">
      <c r="A1494" s="25"/>
      <c r="B1494" s="25" t="s">
        <v>3685</v>
      </c>
      <c r="C1494" s="25" t="s">
        <v>2964</v>
      </c>
      <c r="D1494" s="25" t="s">
        <v>3026</v>
      </c>
      <c r="E1494" s="25" t="s">
        <v>3027</v>
      </c>
      <c r="F1494" s="25" t="s">
        <v>1348</v>
      </c>
      <c r="G1494" s="25" t="s">
        <v>2728</v>
      </c>
      <c r="H1494" s="25" t="s">
        <v>375</v>
      </c>
    </row>
    <row r="1495" spans="1:8" ht="18" hidden="1" customHeight="1" outlineLevel="2" x14ac:dyDescent="0.2">
      <c r="A1495" s="25"/>
      <c r="B1495" s="25"/>
      <c r="C1495" s="25" t="s">
        <v>547</v>
      </c>
      <c r="D1495" s="25"/>
      <c r="E1495" s="25" t="s">
        <v>547</v>
      </c>
      <c r="F1495" s="25" t="s">
        <v>1348</v>
      </c>
      <c r="G1495" s="25"/>
      <c r="H1495" s="25" t="s">
        <v>375</v>
      </c>
    </row>
    <row r="1496" spans="1:8" ht="18" hidden="1" customHeight="1" outlineLevel="2" x14ac:dyDescent="0.2">
      <c r="A1496" s="25"/>
      <c r="B1496" s="25" t="s">
        <v>3686</v>
      </c>
      <c r="C1496" s="25" t="s">
        <v>2964</v>
      </c>
      <c r="D1496" s="25" t="s">
        <v>3028</v>
      </c>
      <c r="E1496" s="25" t="s">
        <v>3029</v>
      </c>
      <c r="F1496" s="25" t="s">
        <v>1348</v>
      </c>
      <c r="G1496" s="25" t="s">
        <v>2728</v>
      </c>
      <c r="H1496" s="25" t="s">
        <v>375</v>
      </c>
    </row>
    <row r="1497" spans="1:8" ht="18" hidden="1" customHeight="1" outlineLevel="2" x14ac:dyDescent="0.2">
      <c r="A1497" s="25"/>
      <c r="B1497" s="25" t="s">
        <v>3687</v>
      </c>
      <c r="C1497" s="25" t="s">
        <v>2964</v>
      </c>
      <c r="D1497" s="25" t="s">
        <v>3030</v>
      </c>
      <c r="E1497" s="25" t="s">
        <v>3031</v>
      </c>
      <c r="F1497" s="25" t="s">
        <v>1348</v>
      </c>
      <c r="G1497" s="25" t="s">
        <v>2728</v>
      </c>
      <c r="H1497" s="25" t="s">
        <v>375</v>
      </c>
    </row>
    <row r="1498" spans="1:8" ht="18" hidden="1" customHeight="1" outlineLevel="2" x14ac:dyDescent="0.2">
      <c r="A1498" s="25"/>
      <c r="B1498" s="25" t="s">
        <v>3688</v>
      </c>
      <c r="C1498" s="25" t="s">
        <v>2964</v>
      </c>
      <c r="D1498" s="25" t="s">
        <v>3032</v>
      </c>
      <c r="E1498" s="25" t="s">
        <v>3033</v>
      </c>
      <c r="F1498" s="25" t="s">
        <v>1348</v>
      </c>
      <c r="G1498" s="25" t="s">
        <v>2728</v>
      </c>
      <c r="H1498" s="25" t="s">
        <v>375</v>
      </c>
    </row>
    <row r="1499" spans="1:8" ht="18" hidden="1" customHeight="1" outlineLevel="2" x14ac:dyDescent="0.2">
      <c r="A1499" s="25"/>
      <c r="B1499" s="25" t="s">
        <v>3689</v>
      </c>
      <c r="C1499" s="25" t="s">
        <v>2964</v>
      </c>
      <c r="D1499" s="25" t="s">
        <v>3034</v>
      </c>
      <c r="E1499" s="25" t="s">
        <v>3035</v>
      </c>
      <c r="F1499" s="25" t="s">
        <v>1348</v>
      </c>
      <c r="G1499" s="25" t="s">
        <v>2728</v>
      </c>
      <c r="H1499" s="25" t="s">
        <v>375</v>
      </c>
    </row>
    <row r="1500" spans="1:8" ht="18" hidden="1" customHeight="1" outlineLevel="2" x14ac:dyDescent="0.2">
      <c r="A1500" s="25"/>
      <c r="B1500" s="25"/>
      <c r="C1500" s="25" t="s">
        <v>547</v>
      </c>
      <c r="D1500" s="25"/>
      <c r="E1500" s="25" t="s">
        <v>547</v>
      </c>
      <c r="F1500" s="25" t="s">
        <v>1348</v>
      </c>
      <c r="G1500" s="25"/>
      <c r="H1500" s="25" t="s">
        <v>375</v>
      </c>
    </row>
    <row r="1501" spans="1:8" ht="18" hidden="1" customHeight="1" outlineLevel="2" x14ac:dyDescent="0.2">
      <c r="A1501" s="25"/>
      <c r="B1501" s="25" t="s">
        <v>3690</v>
      </c>
      <c r="C1501" s="25" t="s">
        <v>2964</v>
      </c>
      <c r="D1501" s="25" t="s">
        <v>3036</v>
      </c>
      <c r="E1501" s="25" t="s">
        <v>547</v>
      </c>
      <c r="F1501" s="25" t="s">
        <v>1348</v>
      </c>
      <c r="G1501" s="25" t="s">
        <v>2728</v>
      </c>
      <c r="H1501" s="25" t="s">
        <v>375</v>
      </c>
    </row>
    <row r="1502" spans="1:8" ht="18" hidden="1" customHeight="1" outlineLevel="2" x14ac:dyDescent="0.2">
      <c r="A1502" s="25"/>
      <c r="B1502" s="25" t="s">
        <v>352</v>
      </c>
      <c r="C1502" s="25" t="s">
        <v>2964</v>
      </c>
      <c r="D1502" s="25" t="s">
        <v>3037</v>
      </c>
      <c r="E1502" s="25" t="s">
        <v>547</v>
      </c>
      <c r="F1502" s="25" t="s">
        <v>1348</v>
      </c>
      <c r="G1502" s="25" t="s">
        <v>2728</v>
      </c>
      <c r="H1502" s="25" t="s">
        <v>375</v>
      </c>
    </row>
    <row r="1503" spans="1:8" customFormat="1" ht="18" hidden="1" customHeight="1" outlineLevel="2" x14ac:dyDescent="0.25">
      <c r="A1503" s="25"/>
      <c r="B1503" s="25"/>
      <c r="C1503" s="25"/>
      <c r="D1503" s="25"/>
      <c r="E1503" s="25"/>
      <c r="F1503" s="25"/>
      <c r="G1503" s="25"/>
      <c r="H1503" s="25"/>
    </row>
    <row r="1504" spans="1:8" customFormat="1" ht="18" customHeight="1" collapsed="1" x14ac:dyDescent="0.25">
      <c r="A1504" s="127" t="s">
        <v>4202</v>
      </c>
      <c r="B1504" s="128"/>
      <c r="C1504" s="128"/>
      <c r="D1504" s="128"/>
      <c r="E1504" s="128"/>
      <c r="F1504" s="128"/>
      <c r="G1504" s="128"/>
      <c r="H1504" s="128"/>
    </row>
    <row r="1505" spans="1:8" customFormat="1" ht="18" hidden="1" customHeight="1" outlineLevel="1" x14ac:dyDescent="0.25">
      <c r="A1505" s="119" t="s">
        <v>3854</v>
      </c>
      <c r="B1505" s="120"/>
      <c r="C1505" s="120"/>
      <c r="D1505" s="120" t="s">
        <v>148</v>
      </c>
      <c r="E1505" s="120"/>
      <c r="F1505" s="120"/>
      <c r="G1505" s="120"/>
      <c r="H1505" s="120"/>
    </row>
    <row r="1506" spans="1:8" ht="18" hidden="1" customHeight="1" outlineLevel="2" x14ac:dyDescent="0.2">
      <c r="A1506" s="25"/>
      <c r="B1506" s="25" t="s">
        <v>3377</v>
      </c>
      <c r="C1506" s="25" t="s">
        <v>2139</v>
      </c>
      <c r="D1506" s="25" t="s">
        <v>2140</v>
      </c>
      <c r="E1506" s="25" t="s">
        <v>2141</v>
      </c>
      <c r="F1506" s="25" t="s">
        <v>2142</v>
      </c>
      <c r="G1506" s="25" t="s">
        <v>2143</v>
      </c>
    </row>
    <row r="1507" spans="1:8" ht="18" hidden="1" customHeight="1" outlineLevel="2" x14ac:dyDescent="0.2">
      <c r="A1507" s="25"/>
      <c r="B1507" s="25" t="s">
        <v>3378</v>
      </c>
      <c r="C1507" s="59" t="s">
        <v>2139</v>
      </c>
      <c r="D1507" s="25" t="s">
        <v>2144</v>
      </c>
      <c r="E1507" s="25" t="s">
        <v>2145</v>
      </c>
      <c r="F1507" s="25" t="s">
        <v>2142</v>
      </c>
      <c r="G1507" s="25" t="s">
        <v>2143</v>
      </c>
    </row>
    <row r="1508" spans="1:8" ht="18" hidden="1" customHeight="1" outlineLevel="2" x14ac:dyDescent="0.2">
      <c r="A1508" s="25"/>
      <c r="B1508" s="25" t="s">
        <v>3379</v>
      </c>
      <c r="C1508" s="59" t="s">
        <v>2139</v>
      </c>
      <c r="D1508" s="25" t="s">
        <v>2146</v>
      </c>
      <c r="E1508" s="25" t="s">
        <v>2147</v>
      </c>
      <c r="F1508" s="25" t="s">
        <v>2142</v>
      </c>
      <c r="G1508" s="25" t="s">
        <v>2143</v>
      </c>
    </row>
    <row r="1509" spans="1:8" ht="18" hidden="1" customHeight="1" outlineLevel="2" x14ac:dyDescent="0.2">
      <c r="A1509" s="25"/>
      <c r="B1509" s="25" t="s">
        <v>3380</v>
      </c>
      <c r="C1509" s="59" t="s">
        <v>2139</v>
      </c>
      <c r="D1509" s="25" t="s">
        <v>2148</v>
      </c>
      <c r="E1509" s="25" t="s">
        <v>2149</v>
      </c>
      <c r="F1509" s="25" t="s">
        <v>2142</v>
      </c>
      <c r="G1509" s="25" t="s">
        <v>2143</v>
      </c>
    </row>
    <row r="1510" spans="1:8" ht="18" hidden="1" customHeight="1" outlineLevel="2" x14ac:dyDescent="0.2">
      <c r="A1510" s="25"/>
      <c r="B1510" s="25" t="s">
        <v>3381</v>
      </c>
      <c r="C1510" s="25" t="s">
        <v>2139</v>
      </c>
      <c r="D1510" s="25" t="s">
        <v>2150</v>
      </c>
      <c r="E1510" s="25" t="s">
        <v>2151</v>
      </c>
      <c r="F1510" s="25" t="s">
        <v>2142</v>
      </c>
      <c r="G1510" s="25" t="s">
        <v>2143</v>
      </c>
    </row>
    <row r="1511" spans="1:8" ht="18" hidden="1" customHeight="1" outlineLevel="2" x14ac:dyDescent="0.2">
      <c r="A1511" s="25"/>
      <c r="B1511" s="25" t="s">
        <v>3382</v>
      </c>
      <c r="C1511" s="25" t="s">
        <v>2139</v>
      </c>
      <c r="D1511" s="25" t="s">
        <v>2152</v>
      </c>
      <c r="E1511" s="25" t="s">
        <v>2153</v>
      </c>
      <c r="F1511" s="25" t="s">
        <v>2142</v>
      </c>
      <c r="G1511" s="25" t="s">
        <v>2143</v>
      </c>
    </row>
    <row r="1512" spans="1:8" ht="18" hidden="1" customHeight="1" outlineLevel="2" x14ac:dyDescent="0.2">
      <c r="A1512" s="25"/>
      <c r="B1512" s="25" t="s">
        <v>3383</v>
      </c>
      <c r="C1512" s="25" t="s">
        <v>2139</v>
      </c>
      <c r="D1512" s="25" t="s">
        <v>2154</v>
      </c>
      <c r="E1512" s="25" t="s">
        <v>2155</v>
      </c>
      <c r="F1512" s="25" t="s">
        <v>2142</v>
      </c>
      <c r="G1512" s="25" t="s">
        <v>2143</v>
      </c>
    </row>
    <row r="1513" spans="1:8" ht="18" hidden="1" customHeight="1" outlineLevel="2" x14ac:dyDescent="0.2">
      <c r="A1513" s="25"/>
      <c r="B1513" s="25" t="s">
        <v>352</v>
      </c>
      <c r="C1513" s="25" t="s">
        <v>2139</v>
      </c>
      <c r="D1513" s="25" t="s">
        <v>2156</v>
      </c>
      <c r="E1513" s="25" t="s">
        <v>2157</v>
      </c>
      <c r="F1513" s="25" t="s">
        <v>2142</v>
      </c>
      <c r="G1513" s="25" t="s">
        <v>2143</v>
      </c>
    </row>
    <row r="1514" spans="1:8" ht="18" hidden="1" customHeight="1" outlineLevel="2" x14ac:dyDescent="0.2">
      <c r="A1514" s="25"/>
      <c r="B1514" s="25" t="s">
        <v>3384</v>
      </c>
      <c r="C1514" s="59" t="s">
        <v>2158</v>
      </c>
      <c r="D1514" s="25"/>
      <c r="E1514" s="25" t="s">
        <v>2159</v>
      </c>
      <c r="F1514" s="25" t="s">
        <v>2142</v>
      </c>
      <c r="G1514" s="25" t="s">
        <v>2160</v>
      </c>
    </row>
    <row r="1515" spans="1:8" ht="18" hidden="1" customHeight="1" outlineLevel="2" x14ac:dyDescent="0.2">
      <c r="A1515" s="25"/>
      <c r="B1515" s="25" t="s">
        <v>3385</v>
      </c>
      <c r="C1515" s="25" t="s">
        <v>2139</v>
      </c>
      <c r="D1515" s="25" t="s">
        <v>2161</v>
      </c>
      <c r="E1515" s="25" t="s">
        <v>2162</v>
      </c>
      <c r="F1515" s="25" t="s">
        <v>2163</v>
      </c>
      <c r="G1515" s="25" t="s">
        <v>3862</v>
      </c>
    </row>
    <row r="1516" spans="1:8" ht="18" hidden="1" customHeight="1" outlineLevel="2" x14ac:dyDescent="0.2">
      <c r="A1516" s="25"/>
      <c r="B1516" s="25" t="s">
        <v>3386</v>
      </c>
      <c r="C1516" s="25" t="s">
        <v>2139</v>
      </c>
      <c r="D1516" s="25" t="s">
        <v>2164</v>
      </c>
      <c r="E1516" s="25" t="s">
        <v>2165</v>
      </c>
      <c r="F1516" s="25" t="s">
        <v>2163</v>
      </c>
      <c r="G1516" s="25" t="s">
        <v>3863</v>
      </c>
    </row>
    <row r="1517" spans="1:8" ht="18" hidden="1" customHeight="1" outlineLevel="2" x14ac:dyDescent="0.2">
      <c r="A1517" s="25"/>
      <c r="B1517" s="25" t="s">
        <v>3387</v>
      </c>
      <c r="C1517" s="25" t="s">
        <v>2139</v>
      </c>
      <c r="D1517" s="25" t="s">
        <v>2164</v>
      </c>
      <c r="E1517" s="25" t="s">
        <v>2166</v>
      </c>
      <c r="F1517" s="25" t="s">
        <v>2163</v>
      </c>
      <c r="G1517" s="25" t="s">
        <v>3864</v>
      </c>
    </row>
    <row r="1518" spans="1:8" ht="18" hidden="1" customHeight="1" outlineLevel="2" x14ac:dyDescent="0.2">
      <c r="A1518" s="25"/>
      <c r="B1518" s="25" t="s">
        <v>352</v>
      </c>
      <c r="C1518" s="25" t="s">
        <v>2139</v>
      </c>
      <c r="D1518" s="25" t="s">
        <v>2167</v>
      </c>
      <c r="E1518" s="25" t="s">
        <v>2168</v>
      </c>
      <c r="F1518" s="25" t="s">
        <v>2163</v>
      </c>
      <c r="G1518" s="25" t="s">
        <v>3865</v>
      </c>
    </row>
    <row r="1519" spans="1:8" ht="18" hidden="1" customHeight="1" outlineLevel="2" x14ac:dyDescent="0.2">
      <c r="A1519" s="25"/>
      <c r="B1519" s="25" t="s">
        <v>3388</v>
      </c>
      <c r="C1519" s="25" t="s">
        <v>2139</v>
      </c>
      <c r="D1519" s="25" t="s">
        <v>2167</v>
      </c>
      <c r="E1519" s="25" t="s">
        <v>2169</v>
      </c>
      <c r="F1519" s="25" t="s">
        <v>2163</v>
      </c>
      <c r="G1519" s="25" t="s">
        <v>3866</v>
      </c>
    </row>
    <row r="1520" spans="1:8" ht="18" hidden="1" customHeight="1" outlineLevel="2" x14ac:dyDescent="0.2">
      <c r="A1520" s="25"/>
      <c r="B1520" s="25" t="s">
        <v>3389</v>
      </c>
      <c r="C1520" s="25" t="s">
        <v>2139</v>
      </c>
      <c r="D1520" s="25" t="s">
        <v>2170</v>
      </c>
      <c r="E1520" s="25" t="s">
        <v>2171</v>
      </c>
      <c r="F1520" s="25" t="s">
        <v>2163</v>
      </c>
      <c r="G1520" s="25" t="s">
        <v>3867</v>
      </c>
    </row>
    <row r="1521" spans="1:10" ht="18" hidden="1" customHeight="1" outlineLevel="2" x14ac:dyDescent="0.2">
      <c r="A1521" s="25"/>
      <c r="B1521" s="25" t="s">
        <v>3390</v>
      </c>
      <c r="C1521" s="25" t="s">
        <v>2172</v>
      </c>
      <c r="D1521" s="25"/>
      <c r="E1521" s="25" t="s">
        <v>2173</v>
      </c>
      <c r="F1521" s="25" t="s">
        <v>2163</v>
      </c>
      <c r="G1521" s="25" t="s">
        <v>3064</v>
      </c>
    </row>
    <row r="1522" spans="1:10" ht="18" hidden="1" customHeight="1" outlineLevel="2" x14ac:dyDescent="0.2">
      <c r="A1522" s="25"/>
      <c r="B1522" s="25"/>
      <c r="C1522" s="25"/>
      <c r="D1522" s="25"/>
      <c r="E1522" s="25"/>
      <c r="F1522" s="25"/>
      <c r="G1522" s="25"/>
    </row>
    <row r="1523" spans="1:10" customFormat="1" ht="18" hidden="1" customHeight="1" outlineLevel="1" x14ac:dyDescent="0.25">
      <c r="A1523" s="119" t="s">
        <v>3894</v>
      </c>
      <c r="B1523" s="120"/>
      <c r="C1523" s="120"/>
      <c r="D1523" s="120" t="s">
        <v>148</v>
      </c>
      <c r="E1523" s="120"/>
      <c r="F1523" s="120"/>
      <c r="G1523" s="120"/>
      <c r="H1523" s="120"/>
      <c r="J1523" s="9"/>
    </row>
    <row r="1524" spans="1:10" ht="18" hidden="1" customHeight="1" outlineLevel="2" x14ac:dyDescent="0.2">
      <c r="A1524" s="25"/>
      <c r="B1524" s="25" t="s">
        <v>3391</v>
      </c>
      <c r="C1524" s="25" t="s">
        <v>2174</v>
      </c>
      <c r="D1524" s="25" t="s">
        <v>2175</v>
      </c>
      <c r="E1524" s="25" t="s">
        <v>2176</v>
      </c>
      <c r="F1524" s="25"/>
      <c r="G1524" s="25"/>
    </row>
    <row r="1525" spans="1:10" ht="18" hidden="1" customHeight="1" outlineLevel="2" x14ac:dyDescent="0.2">
      <c r="A1525" s="25"/>
      <c r="B1525" s="25" t="s">
        <v>352</v>
      </c>
      <c r="C1525" s="25" t="s">
        <v>2174</v>
      </c>
      <c r="D1525" s="25" t="s">
        <v>2177</v>
      </c>
      <c r="E1525" s="25" t="s">
        <v>2178</v>
      </c>
      <c r="F1525" s="25"/>
      <c r="G1525" s="25"/>
    </row>
    <row r="1526" spans="1:10" ht="18" hidden="1" customHeight="1" outlineLevel="2" x14ac:dyDescent="0.2">
      <c r="A1526" s="25"/>
      <c r="B1526" s="25" t="s">
        <v>3393</v>
      </c>
      <c r="C1526" s="25" t="s">
        <v>2174</v>
      </c>
      <c r="D1526" s="25" t="s">
        <v>2184</v>
      </c>
      <c r="E1526" s="25" t="s">
        <v>2185</v>
      </c>
      <c r="F1526" s="25"/>
      <c r="G1526" s="25"/>
    </row>
    <row r="1527" spans="1:10" ht="18" hidden="1" customHeight="1" outlineLevel="2" x14ac:dyDescent="0.2">
      <c r="A1527" s="25"/>
      <c r="B1527" s="25" t="s">
        <v>3394</v>
      </c>
      <c r="C1527" s="25" t="s">
        <v>2174</v>
      </c>
      <c r="D1527" s="25" t="s">
        <v>2186</v>
      </c>
      <c r="E1527" s="25" t="s">
        <v>2187</v>
      </c>
      <c r="F1527" s="25"/>
      <c r="G1527" s="25"/>
    </row>
    <row r="1528" spans="1:10" ht="18" hidden="1" customHeight="1" outlineLevel="2" x14ac:dyDescent="0.2">
      <c r="A1528" s="25"/>
      <c r="B1528" s="25" t="s">
        <v>3396</v>
      </c>
      <c r="C1528" s="25" t="s">
        <v>2174</v>
      </c>
      <c r="D1528" s="25" t="s">
        <v>2190</v>
      </c>
      <c r="E1528" s="25" t="s">
        <v>2191</v>
      </c>
      <c r="F1528" s="25"/>
      <c r="G1528" s="25"/>
    </row>
    <row r="1529" spans="1:10" ht="18" hidden="1" customHeight="1" outlineLevel="2" x14ac:dyDescent="0.2">
      <c r="A1529" s="25"/>
      <c r="B1529" s="25" t="s">
        <v>3397</v>
      </c>
      <c r="C1529" s="25" t="s">
        <v>2174</v>
      </c>
      <c r="D1529" s="25" t="s">
        <v>2192</v>
      </c>
      <c r="E1529" s="25" t="s">
        <v>2193</v>
      </c>
      <c r="F1529" s="25"/>
      <c r="G1529" s="25"/>
    </row>
    <row r="1530" spans="1:10" ht="18" hidden="1" customHeight="1" outlineLevel="2" x14ac:dyDescent="0.2">
      <c r="A1530" s="25"/>
      <c r="B1530" s="25" t="s">
        <v>3399</v>
      </c>
      <c r="C1530" s="25" t="s">
        <v>2174</v>
      </c>
      <c r="D1530" s="25" t="s">
        <v>2196</v>
      </c>
      <c r="E1530" s="25" t="s">
        <v>2197</v>
      </c>
      <c r="F1530" s="25"/>
      <c r="G1530" s="25" t="s">
        <v>2198</v>
      </c>
    </row>
    <row r="1531" spans="1:10" ht="18" hidden="1" customHeight="1" outlineLevel="2" x14ac:dyDescent="0.2">
      <c r="A1531" s="25"/>
      <c r="B1531" s="25" t="s">
        <v>3400</v>
      </c>
      <c r="C1531" s="25" t="s">
        <v>2174</v>
      </c>
      <c r="D1531" s="25" t="s">
        <v>2199</v>
      </c>
      <c r="E1531" s="25" t="s">
        <v>2200</v>
      </c>
      <c r="F1531" s="25"/>
      <c r="G1531" s="25" t="s">
        <v>2198</v>
      </c>
    </row>
    <row r="1532" spans="1:10" ht="18" hidden="1" customHeight="1" outlineLevel="2" x14ac:dyDescent="0.2">
      <c r="A1532" s="25"/>
      <c r="B1532" s="25" t="s">
        <v>3401</v>
      </c>
      <c r="C1532" s="25" t="s">
        <v>2174</v>
      </c>
      <c r="D1532" s="25" t="s">
        <v>2201</v>
      </c>
      <c r="E1532" s="25" t="s">
        <v>2202</v>
      </c>
      <c r="F1532" s="25"/>
      <c r="G1532" s="25" t="s">
        <v>2203</v>
      </c>
    </row>
    <row r="1533" spans="1:10" ht="18" hidden="1" customHeight="1" outlineLevel="2" x14ac:dyDescent="0.2">
      <c r="A1533" s="25"/>
      <c r="B1533" s="25" t="s">
        <v>3402</v>
      </c>
      <c r="C1533" s="25" t="s">
        <v>2174</v>
      </c>
      <c r="D1533" s="25" t="s">
        <v>2204</v>
      </c>
      <c r="E1533" s="25" t="s">
        <v>2205</v>
      </c>
      <c r="F1533" s="25"/>
      <c r="G1533" s="25" t="s">
        <v>2203</v>
      </c>
    </row>
    <row r="1534" spans="1:10" ht="18" hidden="1" customHeight="1" outlineLevel="2" x14ac:dyDescent="0.2">
      <c r="A1534" s="25"/>
      <c r="B1534" s="25" t="s">
        <v>3404</v>
      </c>
      <c r="C1534" s="25" t="s">
        <v>2174</v>
      </c>
      <c r="D1534" s="25" t="s">
        <v>2206</v>
      </c>
      <c r="E1534" s="25" t="s">
        <v>2207</v>
      </c>
      <c r="F1534" s="25"/>
      <c r="G1534" s="25" t="s">
        <v>2203</v>
      </c>
    </row>
    <row r="1535" spans="1:10" ht="18" hidden="1" customHeight="1" outlineLevel="2" x14ac:dyDescent="0.2">
      <c r="A1535" s="25"/>
      <c r="B1535" s="25" t="s">
        <v>352</v>
      </c>
      <c r="C1535" s="25" t="s">
        <v>2174</v>
      </c>
      <c r="D1535" s="25" t="s">
        <v>2208</v>
      </c>
      <c r="E1535" s="25" t="s">
        <v>2209</v>
      </c>
      <c r="F1535" s="25"/>
      <c r="G1535" s="25" t="s">
        <v>2203</v>
      </c>
    </row>
    <row r="1536" spans="1:10" ht="18" hidden="1" customHeight="1" outlineLevel="2" x14ac:dyDescent="0.2">
      <c r="A1536" s="25"/>
      <c r="B1536" s="25" t="s">
        <v>3452</v>
      </c>
      <c r="C1536" s="59" t="s">
        <v>2531</v>
      </c>
      <c r="D1536" s="25" t="s">
        <v>2532</v>
      </c>
      <c r="E1536" s="25" t="s">
        <v>2533</v>
      </c>
      <c r="F1536" s="25" t="s">
        <v>2248</v>
      </c>
      <c r="G1536" s="25" t="s">
        <v>2534</v>
      </c>
    </row>
    <row r="1537" spans="1:7" ht="18" hidden="1" customHeight="1" outlineLevel="2" x14ac:dyDescent="0.2">
      <c r="A1537" s="25"/>
      <c r="B1537" s="25" t="s">
        <v>352</v>
      </c>
      <c r="C1537" s="25" t="s">
        <v>2531</v>
      </c>
      <c r="D1537" s="25" t="s">
        <v>2535</v>
      </c>
      <c r="E1537" s="25" t="s">
        <v>2536</v>
      </c>
      <c r="F1537" s="25" t="s">
        <v>2248</v>
      </c>
      <c r="G1537" s="25" t="s">
        <v>2534</v>
      </c>
    </row>
    <row r="1538" spans="1:7" ht="18" hidden="1" customHeight="1" outlineLevel="2" x14ac:dyDescent="0.2">
      <c r="A1538" s="25"/>
      <c r="B1538" s="25" t="s">
        <v>3453</v>
      </c>
      <c r="C1538" s="25" t="s">
        <v>2531</v>
      </c>
      <c r="D1538" s="25" t="s">
        <v>2532</v>
      </c>
      <c r="E1538" s="25" t="s">
        <v>2537</v>
      </c>
      <c r="F1538" s="25" t="s">
        <v>2226</v>
      </c>
      <c r="G1538" s="25" t="s">
        <v>2538</v>
      </c>
    </row>
    <row r="1539" spans="1:7" ht="18" hidden="1" customHeight="1" outlineLevel="2" x14ac:dyDescent="0.2">
      <c r="A1539" s="25"/>
      <c r="B1539" s="25" t="s">
        <v>3454</v>
      </c>
      <c r="C1539" s="59" t="s">
        <v>2539</v>
      </c>
      <c r="D1539" s="25" t="s">
        <v>2532</v>
      </c>
      <c r="E1539" s="25" t="s">
        <v>2540</v>
      </c>
      <c r="F1539" s="25" t="s">
        <v>2248</v>
      </c>
      <c r="G1539" s="25" t="s">
        <v>2541</v>
      </c>
    </row>
    <row r="1540" spans="1:7" ht="18" hidden="1" customHeight="1" outlineLevel="2" x14ac:dyDescent="0.2">
      <c r="A1540" s="25"/>
      <c r="B1540" s="25" t="s">
        <v>3455</v>
      </c>
      <c r="C1540" s="59" t="s">
        <v>2539</v>
      </c>
      <c r="D1540" s="25" t="s">
        <v>2535</v>
      </c>
      <c r="E1540" s="25" t="s">
        <v>2542</v>
      </c>
      <c r="F1540" s="25" t="s">
        <v>2248</v>
      </c>
      <c r="G1540" s="25" t="s">
        <v>2541</v>
      </c>
    </row>
    <row r="1541" spans="1:7" ht="18" hidden="1" customHeight="1" outlineLevel="2" x14ac:dyDescent="0.2">
      <c r="A1541" s="25"/>
      <c r="B1541" s="25" t="s">
        <v>352</v>
      </c>
      <c r="C1541" s="25" t="s">
        <v>2543</v>
      </c>
      <c r="D1541" s="25" t="s">
        <v>2532</v>
      </c>
      <c r="E1541" s="25" t="s">
        <v>2544</v>
      </c>
      <c r="F1541" s="25" t="s">
        <v>2248</v>
      </c>
      <c r="G1541" s="25" t="s">
        <v>2545</v>
      </c>
    </row>
    <row r="1542" spans="1:7" ht="18" hidden="1" customHeight="1" outlineLevel="2" x14ac:dyDescent="0.2">
      <c r="A1542" s="25"/>
      <c r="B1542" s="25" t="s">
        <v>3456</v>
      </c>
      <c r="C1542" s="25" t="s">
        <v>2546</v>
      </c>
      <c r="D1542" s="25" t="s">
        <v>2532</v>
      </c>
      <c r="E1542" s="25" t="s">
        <v>2547</v>
      </c>
      <c r="F1542" s="25" t="s">
        <v>2248</v>
      </c>
      <c r="G1542" s="25" t="s">
        <v>2548</v>
      </c>
    </row>
    <row r="1543" spans="1:7" ht="18" hidden="1" customHeight="1" outlineLevel="2" x14ac:dyDescent="0.2">
      <c r="A1543" s="25"/>
      <c r="B1543" s="25" t="s">
        <v>352</v>
      </c>
      <c r="C1543" s="25" t="s">
        <v>2546</v>
      </c>
      <c r="D1543" s="25" t="s">
        <v>2535</v>
      </c>
      <c r="E1543" s="25" t="s">
        <v>2549</v>
      </c>
      <c r="F1543" s="25" t="s">
        <v>2248</v>
      </c>
      <c r="G1543" s="25" t="s">
        <v>2548</v>
      </c>
    </row>
    <row r="1544" spans="1:7" ht="18" hidden="1" customHeight="1" outlineLevel="2" x14ac:dyDescent="0.2">
      <c r="A1544" s="25"/>
      <c r="B1544" s="25" t="s">
        <v>3457</v>
      </c>
      <c r="C1544" s="25" t="s">
        <v>2546</v>
      </c>
      <c r="D1544" s="25" t="s">
        <v>2535</v>
      </c>
      <c r="E1544" s="25" t="s">
        <v>2550</v>
      </c>
      <c r="F1544" s="25" t="s">
        <v>2183</v>
      </c>
      <c r="G1544" s="25" t="s">
        <v>2548</v>
      </c>
    </row>
    <row r="1545" spans="1:7" ht="18" hidden="1" customHeight="1" outlineLevel="2" x14ac:dyDescent="0.2">
      <c r="A1545" s="25"/>
      <c r="B1545" s="25"/>
      <c r="C1545" s="25"/>
      <c r="D1545" s="25"/>
      <c r="E1545" s="25"/>
      <c r="F1545" s="25"/>
      <c r="G1545" s="25"/>
    </row>
    <row r="1546" spans="1:7" ht="18" hidden="1" customHeight="1" outlineLevel="2" x14ac:dyDescent="0.2">
      <c r="A1546" s="25"/>
      <c r="B1546" s="25" t="s">
        <v>352</v>
      </c>
      <c r="C1546" s="25" t="s">
        <v>109</v>
      </c>
      <c r="D1546" s="25" t="s">
        <v>2181</v>
      </c>
      <c r="E1546" s="25" t="s">
        <v>2182</v>
      </c>
      <c r="F1546" s="25" t="s">
        <v>2183</v>
      </c>
      <c r="G1546" s="25"/>
    </row>
    <row r="1547" spans="1:7" ht="18" hidden="1" customHeight="1" outlineLevel="2" x14ac:dyDescent="0.2">
      <c r="A1547" s="25"/>
      <c r="B1547" s="25" t="s">
        <v>352</v>
      </c>
      <c r="C1547" s="25" t="s">
        <v>109</v>
      </c>
      <c r="D1547" s="25" t="s">
        <v>2188</v>
      </c>
      <c r="E1547" s="25" t="s">
        <v>2189</v>
      </c>
      <c r="F1547" s="25" t="s">
        <v>2183</v>
      </c>
      <c r="G1547" s="25"/>
    </row>
    <row r="1548" spans="1:7" ht="18" hidden="1" customHeight="1" outlineLevel="2" x14ac:dyDescent="0.2">
      <c r="A1548" s="25"/>
      <c r="B1548" s="25" t="s">
        <v>352</v>
      </c>
      <c r="C1548" s="25" t="s">
        <v>109</v>
      </c>
      <c r="D1548" s="25" t="s">
        <v>2194</v>
      </c>
      <c r="E1548" s="25" t="s">
        <v>2195</v>
      </c>
      <c r="F1548" s="25" t="s">
        <v>2183</v>
      </c>
      <c r="G1548" s="25"/>
    </row>
    <row r="1549" spans="1:7" ht="18" hidden="1" customHeight="1" outlineLevel="2" x14ac:dyDescent="0.2">
      <c r="A1549" s="25"/>
      <c r="B1549" s="25" t="s">
        <v>352</v>
      </c>
      <c r="C1549" s="25" t="s">
        <v>109</v>
      </c>
      <c r="D1549" s="25" t="s">
        <v>2210</v>
      </c>
      <c r="E1549" s="25" t="s">
        <v>2211</v>
      </c>
      <c r="F1549" s="25" t="s">
        <v>2183</v>
      </c>
      <c r="G1549" s="25"/>
    </row>
    <row r="1550" spans="1:7" ht="18" hidden="1" customHeight="1" outlineLevel="2" x14ac:dyDescent="0.2">
      <c r="A1550" s="25"/>
      <c r="B1550" s="25" t="s">
        <v>352</v>
      </c>
      <c r="C1550" s="25" t="s">
        <v>109</v>
      </c>
      <c r="D1550" s="25" t="s">
        <v>2212</v>
      </c>
      <c r="E1550" s="25" t="s">
        <v>2213</v>
      </c>
      <c r="F1550" s="25" t="s">
        <v>2183</v>
      </c>
      <c r="G1550" s="25"/>
    </row>
    <row r="1551" spans="1:7" ht="18" hidden="1" customHeight="1" outlineLevel="2" x14ac:dyDescent="0.2">
      <c r="A1551" s="25"/>
      <c r="B1551" s="25" t="s">
        <v>352</v>
      </c>
      <c r="C1551" s="25" t="s">
        <v>111</v>
      </c>
      <c r="D1551" s="25" t="s">
        <v>2214</v>
      </c>
      <c r="E1551" s="25"/>
      <c r="F1551" s="25" t="s">
        <v>2183</v>
      </c>
      <c r="G1551" s="25" t="s">
        <v>1280</v>
      </c>
    </row>
    <row r="1552" spans="1:7" ht="18" hidden="1" customHeight="1" outlineLevel="2" x14ac:dyDescent="0.2">
      <c r="A1552" s="25"/>
      <c r="B1552" s="25"/>
      <c r="C1552" s="25"/>
      <c r="D1552" s="25"/>
      <c r="E1552" s="25"/>
      <c r="F1552" s="25"/>
      <c r="G1552" s="25"/>
    </row>
    <row r="1553" spans="1:10" customFormat="1" ht="18" hidden="1" customHeight="1" outlineLevel="1" x14ac:dyDescent="0.25">
      <c r="A1553" s="119" t="s">
        <v>3855</v>
      </c>
      <c r="B1553" s="120"/>
      <c r="C1553" s="120"/>
      <c r="D1553" s="120" t="s">
        <v>148</v>
      </c>
      <c r="E1553" s="120"/>
      <c r="F1553" s="120"/>
      <c r="G1553" s="120"/>
      <c r="H1553" s="120"/>
      <c r="J1553" s="9"/>
    </row>
    <row r="1554" spans="1:10" ht="18" hidden="1" customHeight="1" outlineLevel="2" x14ac:dyDescent="0.2">
      <c r="A1554" s="25"/>
      <c r="B1554" s="25" t="s">
        <v>3392</v>
      </c>
      <c r="C1554" s="59" t="s">
        <v>110</v>
      </c>
      <c r="D1554" s="25" t="s">
        <v>2179</v>
      </c>
      <c r="E1554" s="25"/>
      <c r="F1554" s="25"/>
      <c r="G1554" s="25" t="s">
        <v>2180</v>
      </c>
    </row>
    <row r="1555" spans="1:10" ht="18" hidden="1" customHeight="1" outlineLevel="2" x14ac:dyDescent="0.2">
      <c r="A1555" s="25"/>
      <c r="B1555" s="25" t="s">
        <v>3395</v>
      </c>
      <c r="C1555" s="25" t="s">
        <v>110</v>
      </c>
      <c r="D1555" s="25" t="s">
        <v>1200</v>
      </c>
      <c r="E1555" s="25"/>
      <c r="F1555" s="25"/>
      <c r="G1555" s="25"/>
    </row>
    <row r="1556" spans="1:10" ht="18" hidden="1" customHeight="1" outlineLevel="2" x14ac:dyDescent="0.2">
      <c r="A1556" s="25"/>
      <c r="B1556" s="25" t="s">
        <v>3398</v>
      </c>
      <c r="C1556" s="25" t="s">
        <v>110</v>
      </c>
      <c r="D1556" s="25" t="s">
        <v>1201</v>
      </c>
      <c r="E1556" s="25"/>
      <c r="F1556" s="25"/>
      <c r="G1556" s="25"/>
    </row>
    <row r="1557" spans="1:10" ht="18" hidden="1" customHeight="1" outlineLevel="2" x14ac:dyDescent="0.2">
      <c r="A1557" s="25"/>
      <c r="B1557" s="25" t="s">
        <v>3403</v>
      </c>
      <c r="C1557" s="25" t="s">
        <v>110</v>
      </c>
      <c r="D1557" s="25" t="s">
        <v>1202</v>
      </c>
      <c r="E1557" s="25"/>
      <c r="F1557" s="25"/>
      <c r="G1557" s="25"/>
    </row>
    <row r="1558" spans="1:10" ht="18" hidden="1" customHeight="1" outlineLevel="2" x14ac:dyDescent="0.2">
      <c r="A1558" s="25"/>
      <c r="B1558" s="25"/>
      <c r="C1558" s="25"/>
      <c r="D1558" s="25"/>
      <c r="E1558" s="25"/>
      <c r="F1558" s="25"/>
      <c r="G1558" s="25"/>
    </row>
    <row r="1559" spans="1:10" customFormat="1" ht="18" hidden="1" customHeight="1" outlineLevel="1" x14ac:dyDescent="0.25">
      <c r="A1559" s="119" t="s">
        <v>113</v>
      </c>
      <c r="B1559" s="120"/>
      <c r="C1559" s="120"/>
      <c r="D1559" s="120" t="s">
        <v>148</v>
      </c>
      <c r="E1559" s="120"/>
      <c r="F1559" s="120"/>
      <c r="G1559" s="120"/>
      <c r="H1559" s="120"/>
      <c r="J1559" s="9"/>
    </row>
    <row r="1560" spans="1:10" ht="18" hidden="1" customHeight="1" outlineLevel="2" x14ac:dyDescent="0.2">
      <c r="A1560" s="25"/>
      <c r="B1560" s="25" t="s">
        <v>2474</v>
      </c>
      <c r="C1560" s="25" t="s">
        <v>2472</v>
      </c>
      <c r="D1560" s="25" t="s">
        <v>2473</v>
      </c>
      <c r="E1560" s="25" t="s">
        <v>2474</v>
      </c>
      <c r="F1560" s="25" t="s">
        <v>2142</v>
      </c>
      <c r="G1560" s="25" t="s">
        <v>3871</v>
      </c>
    </row>
    <row r="1561" spans="1:10" ht="18" hidden="1" customHeight="1" outlineLevel="2" x14ac:dyDescent="0.2">
      <c r="A1561" s="25"/>
      <c r="B1561" s="25" t="s">
        <v>2476</v>
      </c>
      <c r="C1561" s="25" t="s">
        <v>2472</v>
      </c>
      <c r="D1561" s="25" t="s">
        <v>2475</v>
      </c>
      <c r="E1561" s="25" t="s">
        <v>2476</v>
      </c>
      <c r="F1561" s="25" t="s">
        <v>2142</v>
      </c>
      <c r="G1561" s="25" t="s">
        <v>3872</v>
      </c>
    </row>
    <row r="1562" spans="1:10" ht="18" hidden="1" customHeight="1" outlineLevel="2" x14ac:dyDescent="0.2">
      <c r="A1562" s="25"/>
      <c r="B1562" s="25" t="s">
        <v>2478</v>
      </c>
      <c r="C1562" s="25" t="s">
        <v>2472</v>
      </c>
      <c r="D1562" s="25" t="s">
        <v>2477</v>
      </c>
      <c r="E1562" s="25" t="s">
        <v>2478</v>
      </c>
      <c r="F1562" s="25" t="s">
        <v>2142</v>
      </c>
      <c r="G1562" s="25" t="s">
        <v>3873</v>
      </c>
    </row>
    <row r="1563" spans="1:10" ht="18" hidden="1" customHeight="1" outlineLevel="2" x14ac:dyDescent="0.2">
      <c r="A1563" s="25"/>
      <c r="B1563" s="25" t="s">
        <v>2480</v>
      </c>
      <c r="C1563" s="25" t="s">
        <v>2472</v>
      </c>
      <c r="D1563" s="25" t="s">
        <v>2479</v>
      </c>
      <c r="E1563" s="25" t="s">
        <v>2480</v>
      </c>
      <c r="F1563" s="25" t="s">
        <v>2142</v>
      </c>
      <c r="G1563" s="25" t="s">
        <v>3874</v>
      </c>
    </row>
    <row r="1564" spans="1:10" ht="18" hidden="1" customHeight="1" outlineLevel="2" x14ac:dyDescent="0.2">
      <c r="A1564" s="25"/>
      <c r="B1564" s="25" t="s">
        <v>2482</v>
      </c>
      <c r="C1564" s="25" t="s">
        <v>2472</v>
      </c>
      <c r="D1564" s="25" t="s">
        <v>2481</v>
      </c>
      <c r="E1564" s="25" t="s">
        <v>2482</v>
      </c>
      <c r="F1564" s="25" t="s">
        <v>2142</v>
      </c>
      <c r="G1564" s="25" t="s">
        <v>3875</v>
      </c>
    </row>
    <row r="1565" spans="1:10" ht="18" hidden="1" customHeight="1" outlineLevel="2" x14ac:dyDescent="0.2">
      <c r="A1565" s="25"/>
      <c r="B1565" s="25" t="s">
        <v>2484</v>
      </c>
      <c r="C1565" s="25" t="s">
        <v>2472</v>
      </c>
      <c r="D1565" s="25" t="s">
        <v>2483</v>
      </c>
      <c r="E1565" s="25" t="s">
        <v>2484</v>
      </c>
      <c r="F1565" s="25" t="s">
        <v>2142</v>
      </c>
      <c r="G1565" s="25" t="s">
        <v>3876</v>
      </c>
    </row>
    <row r="1566" spans="1:10" ht="18" hidden="1" customHeight="1" outlineLevel="2" x14ac:dyDescent="0.2">
      <c r="A1566" s="25"/>
      <c r="B1566" s="25" t="s">
        <v>2486</v>
      </c>
      <c r="C1566" s="25" t="s">
        <v>2472</v>
      </c>
      <c r="D1566" s="25" t="s">
        <v>2485</v>
      </c>
      <c r="E1566" s="25" t="s">
        <v>2486</v>
      </c>
      <c r="F1566" s="25" t="s">
        <v>2142</v>
      </c>
      <c r="G1566" s="25" t="s">
        <v>3877</v>
      </c>
    </row>
    <row r="1567" spans="1:10" ht="18" hidden="1" customHeight="1" outlineLevel="2" x14ac:dyDescent="0.2">
      <c r="A1567" s="25"/>
      <c r="B1567" s="25" t="s">
        <v>352</v>
      </c>
      <c r="C1567" s="25" t="s">
        <v>2472</v>
      </c>
      <c r="D1567" s="25" t="s">
        <v>2487</v>
      </c>
      <c r="E1567" s="25" t="s">
        <v>2488</v>
      </c>
      <c r="F1567" s="25" t="s">
        <v>2142</v>
      </c>
      <c r="G1567" s="25" t="s">
        <v>3871</v>
      </c>
    </row>
    <row r="1568" spans="1:10" ht="18" hidden="1" customHeight="1" outlineLevel="2" x14ac:dyDescent="0.2">
      <c r="A1568" s="25"/>
      <c r="B1568" s="25" t="s">
        <v>352</v>
      </c>
      <c r="C1568" s="25" t="s">
        <v>2472</v>
      </c>
      <c r="D1568" s="25" t="s">
        <v>2489</v>
      </c>
      <c r="E1568" s="25" t="s">
        <v>2490</v>
      </c>
      <c r="F1568" s="25" t="s">
        <v>2142</v>
      </c>
      <c r="G1568" s="25" t="s">
        <v>3872</v>
      </c>
    </row>
    <row r="1569" spans="1:10" ht="18" hidden="1" customHeight="1" outlineLevel="2" x14ac:dyDescent="0.2">
      <c r="A1569" s="25"/>
      <c r="B1569" s="25" t="s">
        <v>352</v>
      </c>
      <c r="C1569" s="25" t="s">
        <v>2472</v>
      </c>
      <c r="D1569" s="25" t="s">
        <v>2491</v>
      </c>
      <c r="E1569" s="25" t="s">
        <v>2492</v>
      </c>
      <c r="F1569" s="25" t="s">
        <v>2142</v>
      </c>
      <c r="G1569" s="25" t="s">
        <v>3873</v>
      </c>
    </row>
    <row r="1570" spans="1:10" ht="18" hidden="1" customHeight="1" outlineLevel="2" x14ac:dyDescent="0.2">
      <c r="A1570" s="25"/>
      <c r="B1570" s="25" t="s">
        <v>352</v>
      </c>
      <c r="C1570" s="25" t="s">
        <v>2472</v>
      </c>
      <c r="D1570" s="25" t="s">
        <v>2493</v>
      </c>
      <c r="E1570" s="25" t="s">
        <v>2494</v>
      </c>
      <c r="F1570" s="25" t="s">
        <v>2142</v>
      </c>
      <c r="G1570" s="25" t="s">
        <v>2316</v>
      </c>
    </row>
    <row r="1571" spans="1:10" ht="18" hidden="1" customHeight="1" outlineLevel="2" x14ac:dyDescent="0.2">
      <c r="A1571" s="25"/>
      <c r="B1571" s="25" t="s">
        <v>352</v>
      </c>
      <c r="C1571" s="25" t="s">
        <v>2472</v>
      </c>
      <c r="D1571" s="25" t="s">
        <v>2495</v>
      </c>
      <c r="E1571" s="25" t="s">
        <v>2496</v>
      </c>
      <c r="F1571" s="25" t="s">
        <v>2142</v>
      </c>
      <c r="G1571" s="25" t="s">
        <v>2318</v>
      </c>
    </row>
    <row r="1572" spans="1:10" ht="18" hidden="1" customHeight="1" outlineLevel="2" x14ac:dyDescent="0.2">
      <c r="A1572" s="25"/>
      <c r="B1572" s="25" t="s">
        <v>352</v>
      </c>
      <c r="C1572" s="25" t="s">
        <v>2472</v>
      </c>
      <c r="D1572" s="25" t="s">
        <v>2497</v>
      </c>
      <c r="E1572" s="25" t="s">
        <v>2498</v>
      </c>
      <c r="F1572" s="25" t="s">
        <v>2142</v>
      </c>
      <c r="G1572" s="25" t="s">
        <v>2320</v>
      </c>
    </row>
    <row r="1573" spans="1:10" ht="18" hidden="1" customHeight="1" outlineLevel="2" x14ac:dyDescent="0.2">
      <c r="A1573" s="25"/>
      <c r="B1573" s="25" t="s">
        <v>2501</v>
      </c>
      <c r="C1573" s="25" t="s">
        <v>2499</v>
      </c>
      <c r="D1573" s="25" t="s">
        <v>2500</v>
      </c>
      <c r="E1573" s="25" t="s">
        <v>2501</v>
      </c>
      <c r="F1573" s="25" t="s">
        <v>2142</v>
      </c>
      <c r="G1573" s="25" t="s">
        <v>2502</v>
      </c>
    </row>
    <row r="1574" spans="1:10" ht="18" hidden="1" customHeight="1" outlineLevel="2" x14ac:dyDescent="0.2">
      <c r="A1574" s="25"/>
      <c r="B1574" s="25" t="s">
        <v>352</v>
      </c>
      <c r="C1574" s="25" t="s">
        <v>2499</v>
      </c>
      <c r="D1574" s="25" t="s">
        <v>2503</v>
      </c>
      <c r="E1574" s="25" t="s">
        <v>2504</v>
      </c>
      <c r="F1574" s="25" t="s">
        <v>2142</v>
      </c>
      <c r="G1574" s="25" t="s">
        <v>2505</v>
      </c>
    </row>
    <row r="1575" spans="1:10" ht="18" hidden="1" customHeight="1" outlineLevel="2" x14ac:dyDescent="0.2">
      <c r="A1575" s="25"/>
      <c r="B1575" s="25" t="s">
        <v>352</v>
      </c>
      <c r="C1575" s="25" t="s">
        <v>2506</v>
      </c>
      <c r="D1575" s="25"/>
      <c r="E1575" s="25" t="s">
        <v>2507</v>
      </c>
      <c r="F1575" s="25"/>
      <c r="G1575" s="25"/>
      <c r="H1575" s="25" t="s">
        <v>376</v>
      </c>
    </row>
    <row r="1576" spans="1:10" ht="18" hidden="1" customHeight="1" outlineLevel="2" x14ac:dyDescent="0.2">
      <c r="A1576" s="25"/>
      <c r="B1576" s="25" t="s">
        <v>352</v>
      </c>
      <c r="C1576" s="25" t="s">
        <v>2508</v>
      </c>
      <c r="D1576" s="25" t="s">
        <v>2509</v>
      </c>
      <c r="E1576" s="25" t="s">
        <v>2510</v>
      </c>
      <c r="F1576" s="25"/>
      <c r="G1576" s="25"/>
      <c r="H1576" s="25" t="s">
        <v>405</v>
      </c>
    </row>
    <row r="1577" spans="1:10" ht="18" hidden="1" customHeight="1" outlineLevel="2" x14ac:dyDescent="0.2">
      <c r="A1577" s="25"/>
      <c r="B1577" s="25"/>
      <c r="C1577" s="25"/>
      <c r="D1577" s="25"/>
      <c r="E1577" s="25"/>
      <c r="F1577" s="25"/>
      <c r="G1577" s="25"/>
      <c r="J1577" s="74"/>
    </row>
    <row r="1578" spans="1:10" ht="18" hidden="1" customHeight="1" outlineLevel="2" x14ac:dyDescent="0.2">
      <c r="A1578" s="25"/>
      <c r="B1578" s="25" t="s">
        <v>2261</v>
      </c>
      <c r="C1578" s="25" t="s">
        <v>2259</v>
      </c>
      <c r="D1578" s="25" t="s">
        <v>2260</v>
      </c>
      <c r="E1578" s="25" t="s">
        <v>2261</v>
      </c>
      <c r="F1578" s="25" t="s">
        <v>2142</v>
      </c>
      <c r="G1578" s="25" t="s">
        <v>2262</v>
      </c>
    </row>
    <row r="1579" spans="1:10" ht="18" hidden="1" customHeight="1" outlineLevel="2" x14ac:dyDescent="0.2">
      <c r="A1579" s="25"/>
      <c r="B1579" s="25" t="s">
        <v>2264</v>
      </c>
      <c r="C1579" s="25" t="s">
        <v>2259</v>
      </c>
      <c r="D1579" s="25" t="s">
        <v>2263</v>
      </c>
      <c r="E1579" s="25" t="s">
        <v>2264</v>
      </c>
      <c r="F1579" s="25" t="s">
        <v>2142</v>
      </c>
      <c r="G1579" s="25" t="s">
        <v>2262</v>
      </c>
    </row>
    <row r="1580" spans="1:10" ht="18" hidden="1" customHeight="1" outlineLevel="2" x14ac:dyDescent="0.2">
      <c r="A1580" s="25"/>
      <c r="B1580" s="25" t="s">
        <v>2266</v>
      </c>
      <c r="C1580" s="25" t="s">
        <v>2259</v>
      </c>
      <c r="D1580" s="25" t="s">
        <v>2265</v>
      </c>
      <c r="E1580" s="25" t="s">
        <v>2266</v>
      </c>
      <c r="F1580" s="25" t="s">
        <v>2142</v>
      </c>
      <c r="G1580" s="25" t="s">
        <v>2262</v>
      </c>
    </row>
    <row r="1581" spans="1:10" ht="18" hidden="1" customHeight="1" outlineLevel="2" x14ac:dyDescent="0.2">
      <c r="A1581" s="25"/>
      <c r="B1581" s="25" t="s">
        <v>2268</v>
      </c>
      <c r="C1581" s="25" t="s">
        <v>2259</v>
      </c>
      <c r="D1581" s="25" t="s">
        <v>2267</v>
      </c>
      <c r="E1581" s="25" t="s">
        <v>2268</v>
      </c>
      <c r="F1581" s="25" t="s">
        <v>2142</v>
      </c>
      <c r="G1581" s="25" t="s">
        <v>2262</v>
      </c>
    </row>
    <row r="1582" spans="1:10" ht="18" hidden="1" customHeight="1" outlineLevel="2" x14ac:dyDescent="0.2">
      <c r="A1582" s="25"/>
      <c r="B1582" s="25" t="s">
        <v>352</v>
      </c>
      <c r="C1582" s="25" t="s">
        <v>2259</v>
      </c>
      <c r="D1582" s="25" t="s">
        <v>2269</v>
      </c>
      <c r="E1582" s="25" t="s">
        <v>2270</v>
      </c>
      <c r="F1582" s="25" t="s">
        <v>2142</v>
      </c>
      <c r="G1582" s="25" t="s">
        <v>2262</v>
      </c>
    </row>
    <row r="1583" spans="1:10" ht="18" hidden="1" customHeight="1" outlineLevel="2" x14ac:dyDescent="0.2">
      <c r="A1583" s="25"/>
      <c r="B1583" s="25" t="s">
        <v>2273</v>
      </c>
      <c r="C1583" s="25" t="s">
        <v>2271</v>
      </c>
      <c r="D1583" s="25" t="s">
        <v>2272</v>
      </c>
      <c r="E1583" s="25" t="s">
        <v>2273</v>
      </c>
      <c r="F1583" s="25" t="s">
        <v>2142</v>
      </c>
      <c r="G1583" s="25" t="s">
        <v>2262</v>
      </c>
    </row>
    <row r="1584" spans="1:10" ht="18" hidden="1" customHeight="1" outlineLevel="2" x14ac:dyDescent="0.2">
      <c r="A1584" s="25"/>
      <c r="B1584" s="25" t="s">
        <v>2275</v>
      </c>
      <c r="C1584" s="25" t="s">
        <v>2271</v>
      </c>
      <c r="D1584" s="25" t="s">
        <v>2274</v>
      </c>
      <c r="E1584" s="25" t="s">
        <v>2275</v>
      </c>
      <c r="F1584" s="25" t="s">
        <v>2142</v>
      </c>
      <c r="G1584" s="25" t="s">
        <v>2262</v>
      </c>
    </row>
    <row r="1585" spans="1:7" ht="18" hidden="1" customHeight="1" outlineLevel="2" x14ac:dyDescent="0.2">
      <c r="A1585" s="25"/>
      <c r="B1585" s="25" t="s">
        <v>352</v>
      </c>
      <c r="C1585" s="25" t="s">
        <v>2271</v>
      </c>
      <c r="D1585" s="25" t="s">
        <v>2276</v>
      </c>
      <c r="E1585" s="25" t="s">
        <v>2277</v>
      </c>
      <c r="F1585" s="25" t="s">
        <v>2142</v>
      </c>
      <c r="G1585" s="25" t="s">
        <v>2262</v>
      </c>
    </row>
    <row r="1586" spans="1:7" ht="18" hidden="1" customHeight="1" outlineLevel="2" x14ac:dyDescent="0.2">
      <c r="A1586" s="25"/>
      <c r="B1586" s="25" t="s">
        <v>352</v>
      </c>
      <c r="C1586" s="25" t="s">
        <v>2271</v>
      </c>
      <c r="D1586" s="25" t="s">
        <v>2278</v>
      </c>
      <c r="E1586" s="25" t="s">
        <v>2279</v>
      </c>
      <c r="F1586" s="25" t="s">
        <v>2142</v>
      </c>
      <c r="G1586" s="25" t="s">
        <v>2262</v>
      </c>
    </row>
    <row r="1587" spans="1:7" ht="18" hidden="1" customHeight="1" outlineLevel="2" x14ac:dyDescent="0.2">
      <c r="A1587" s="25"/>
      <c r="B1587" s="25" t="s">
        <v>3405</v>
      </c>
      <c r="C1587" s="25" t="s">
        <v>2280</v>
      </c>
      <c r="D1587" s="25" t="s">
        <v>2281</v>
      </c>
      <c r="E1587" s="25" t="s">
        <v>2282</v>
      </c>
      <c r="F1587" s="25" t="s">
        <v>2142</v>
      </c>
      <c r="G1587" s="25" t="s">
        <v>2283</v>
      </c>
    </row>
    <row r="1588" spans="1:7" ht="18" hidden="1" customHeight="1" outlineLevel="2" x14ac:dyDescent="0.2">
      <c r="A1588" s="25"/>
      <c r="B1588" s="25" t="s">
        <v>3406</v>
      </c>
      <c r="C1588" s="25" t="s">
        <v>2280</v>
      </c>
      <c r="D1588" s="25" t="s">
        <v>2284</v>
      </c>
      <c r="E1588" s="25" t="s">
        <v>2285</v>
      </c>
      <c r="F1588" s="25" t="s">
        <v>2142</v>
      </c>
      <c r="G1588" s="25" t="s">
        <v>2283</v>
      </c>
    </row>
    <row r="1589" spans="1:7" ht="18" hidden="1" customHeight="1" outlineLevel="2" x14ac:dyDescent="0.2">
      <c r="A1589" s="25"/>
      <c r="B1589" s="25" t="s">
        <v>3407</v>
      </c>
      <c r="C1589" s="25" t="s">
        <v>2280</v>
      </c>
      <c r="D1589" s="25" t="s">
        <v>2286</v>
      </c>
      <c r="E1589" s="25" t="s">
        <v>2287</v>
      </c>
      <c r="F1589" s="25" t="s">
        <v>2142</v>
      </c>
      <c r="G1589" s="25" t="s">
        <v>2283</v>
      </c>
    </row>
    <row r="1590" spans="1:7" ht="18" hidden="1" customHeight="1" outlineLevel="2" x14ac:dyDescent="0.2">
      <c r="A1590" s="25"/>
      <c r="B1590" s="25" t="s">
        <v>3408</v>
      </c>
      <c r="C1590" s="25" t="s">
        <v>2280</v>
      </c>
      <c r="D1590" s="25" t="s">
        <v>2288</v>
      </c>
      <c r="E1590" s="25" t="s">
        <v>2289</v>
      </c>
      <c r="F1590" s="25" t="s">
        <v>2142</v>
      </c>
      <c r="G1590" s="25" t="s">
        <v>2283</v>
      </c>
    </row>
    <row r="1591" spans="1:7" ht="18" hidden="1" customHeight="1" outlineLevel="2" x14ac:dyDescent="0.2">
      <c r="A1591" s="25"/>
      <c r="B1591" s="25" t="s">
        <v>3409</v>
      </c>
      <c r="C1591" s="25" t="s">
        <v>2280</v>
      </c>
      <c r="D1591" s="25" t="s">
        <v>2290</v>
      </c>
      <c r="E1591" s="25" t="s">
        <v>2291</v>
      </c>
      <c r="F1591" s="25" t="s">
        <v>2142</v>
      </c>
      <c r="G1591" s="25" t="s">
        <v>2283</v>
      </c>
    </row>
    <row r="1592" spans="1:7" ht="18" hidden="1" customHeight="1" outlineLevel="2" x14ac:dyDescent="0.2">
      <c r="A1592" s="25"/>
      <c r="B1592" s="25" t="s">
        <v>3410</v>
      </c>
      <c r="C1592" s="25" t="s">
        <v>2280</v>
      </c>
      <c r="D1592" s="25" t="s">
        <v>2292</v>
      </c>
      <c r="E1592" s="25" t="s">
        <v>2293</v>
      </c>
      <c r="F1592" s="25" t="s">
        <v>2142</v>
      </c>
      <c r="G1592" s="25" t="s">
        <v>2283</v>
      </c>
    </row>
    <row r="1593" spans="1:7" ht="18" hidden="1" customHeight="1" outlineLevel="2" x14ac:dyDescent="0.2">
      <c r="A1593" s="25"/>
      <c r="B1593" s="25" t="s">
        <v>3411</v>
      </c>
      <c r="C1593" s="25" t="s">
        <v>2280</v>
      </c>
      <c r="D1593" s="25" t="s">
        <v>2294</v>
      </c>
      <c r="E1593" s="25" t="s">
        <v>2295</v>
      </c>
      <c r="F1593" s="25" t="s">
        <v>2142</v>
      </c>
      <c r="G1593" s="25" t="s">
        <v>2283</v>
      </c>
    </row>
    <row r="1594" spans="1:7" ht="18" hidden="1" customHeight="1" outlineLevel="2" x14ac:dyDescent="0.2">
      <c r="A1594" s="25"/>
      <c r="B1594" s="25" t="s">
        <v>3412</v>
      </c>
      <c r="C1594" s="25" t="s">
        <v>2280</v>
      </c>
      <c r="D1594" s="25" t="s">
        <v>2296</v>
      </c>
      <c r="E1594" s="25" t="s">
        <v>2297</v>
      </c>
      <c r="F1594" s="25" t="s">
        <v>2142</v>
      </c>
      <c r="G1594" s="25" t="s">
        <v>2283</v>
      </c>
    </row>
    <row r="1595" spans="1:7" ht="18" hidden="1" customHeight="1" outlineLevel="2" x14ac:dyDescent="0.2">
      <c r="A1595" s="25"/>
      <c r="B1595" s="25" t="s">
        <v>3413</v>
      </c>
      <c r="C1595" s="25" t="s">
        <v>2298</v>
      </c>
      <c r="D1595" s="25" t="s">
        <v>2164</v>
      </c>
      <c r="E1595" s="25" t="s">
        <v>2299</v>
      </c>
      <c r="F1595" s="25" t="s">
        <v>2142</v>
      </c>
      <c r="G1595" s="25"/>
    </row>
    <row r="1596" spans="1:7" ht="18" hidden="1" customHeight="1" outlineLevel="2" x14ac:dyDescent="0.2">
      <c r="A1596" s="25"/>
      <c r="B1596" s="25" t="s">
        <v>2300</v>
      </c>
      <c r="C1596" s="25" t="s">
        <v>2271</v>
      </c>
      <c r="D1596" s="25" t="s">
        <v>2272</v>
      </c>
      <c r="E1596" s="25" t="s">
        <v>2300</v>
      </c>
      <c r="F1596" s="25" t="s">
        <v>2142</v>
      </c>
      <c r="G1596" s="25" t="s">
        <v>2301</v>
      </c>
    </row>
    <row r="1597" spans="1:7" ht="18" hidden="1" customHeight="1" outlineLevel="2" x14ac:dyDescent="0.2">
      <c r="A1597" s="25"/>
      <c r="B1597" s="25" t="s">
        <v>2302</v>
      </c>
      <c r="C1597" s="25" t="s">
        <v>2271</v>
      </c>
      <c r="D1597" s="25" t="s">
        <v>2274</v>
      </c>
      <c r="E1597" s="25" t="s">
        <v>2302</v>
      </c>
      <c r="F1597" s="25" t="s">
        <v>2142</v>
      </c>
      <c r="G1597" s="25" t="s">
        <v>2301</v>
      </c>
    </row>
    <row r="1598" spans="1:7" ht="18" hidden="1" customHeight="1" outlineLevel="2" x14ac:dyDescent="0.2">
      <c r="A1598" s="25"/>
      <c r="B1598" s="25" t="s">
        <v>2303</v>
      </c>
      <c r="C1598" s="25" t="s">
        <v>2259</v>
      </c>
      <c r="D1598" s="25" t="s">
        <v>2260</v>
      </c>
      <c r="E1598" s="25" t="s">
        <v>2303</v>
      </c>
      <c r="F1598" s="25" t="s">
        <v>2142</v>
      </c>
      <c r="G1598" s="25" t="s">
        <v>2301</v>
      </c>
    </row>
    <row r="1599" spans="1:7" ht="18" hidden="1" customHeight="1" outlineLevel="2" x14ac:dyDescent="0.2">
      <c r="A1599" s="25"/>
      <c r="B1599" s="25" t="s">
        <v>2304</v>
      </c>
      <c r="C1599" s="25" t="s">
        <v>2259</v>
      </c>
      <c r="D1599" s="25" t="s">
        <v>2263</v>
      </c>
      <c r="E1599" s="25" t="s">
        <v>2304</v>
      </c>
      <c r="F1599" s="25" t="s">
        <v>2142</v>
      </c>
      <c r="G1599" s="25" t="s">
        <v>2301</v>
      </c>
    </row>
    <row r="1600" spans="1:7" ht="18" hidden="1" customHeight="1" outlineLevel="2" x14ac:dyDescent="0.2">
      <c r="A1600" s="25"/>
      <c r="B1600" s="25" t="s">
        <v>3414</v>
      </c>
      <c r="C1600" s="25" t="s">
        <v>2280</v>
      </c>
      <c r="D1600" s="25" t="s">
        <v>2305</v>
      </c>
      <c r="E1600" s="25" t="s">
        <v>2306</v>
      </c>
      <c r="F1600" s="25" t="s">
        <v>2142</v>
      </c>
      <c r="G1600" s="25" t="s">
        <v>2307</v>
      </c>
    </row>
    <row r="1601" spans="1:10" ht="18" hidden="1" customHeight="1" outlineLevel="2" x14ac:dyDescent="0.2">
      <c r="A1601" s="25"/>
      <c r="B1601" s="25" t="s">
        <v>3415</v>
      </c>
      <c r="C1601" s="25" t="s">
        <v>2280</v>
      </c>
      <c r="D1601" s="25" t="s">
        <v>2308</v>
      </c>
      <c r="E1601" s="25" t="s">
        <v>2309</v>
      </c>
      <c r="F1601" s="25" t="s">
        <v>2142</v>
      </c>
      <c r="G1601" s="25" t="s">
        <v>2307</v>
      </c>
    </row>
    <row r="1602" spans="1:10" ht="18" hidden="1" customHeight="1" outlineLevel="2" x14ac:dyDescent="0.2">
      <c r="A1602" s="25"/>
      <c r="B1602" s="25" t="s">
        <v>3416</v>
      </c>
      <c r="C1602" s="25" t="s">
        <v>2280</v>
      </c>
      <c r="D1602" s="25" t="s">
        <v>2310</v>
      </c>
      <c r="E1602" s="25" t="s">
        <v>2311</v>
      </c>
      <c r="F1602" s="25" t="s">
        <v>2142</v>
      </c>
      <c r="G1602" s="25" t="s">
        <v>2307</v>
      </c>
    </row>
    <row r="1603" spans="1:10" ht="18" hidden="1" customHeight="1" outlineLevel="2" x14ac:dyDescent="0.2">
      <c r="A1603" s="25"/>
      <c r="B1603" s="25" t="s">
        <v>3417</v>
      </c>
      <c r="C1603" s="25" t="s">
        <v>2280</v>
      </c>
      <c r="D1603" s="25" t="s">
        <v>2312</v>
      </c>
      <c r="E1603" s="25" t="s">
        <v>2313</v>
      </c>
      <c r="F1603" s="25" t="s">
        <v>2142</v>
      </c>
      <c r="G1603" s="25" t="s">
        <v>2307</v>
      </c>
    </row>
    <row r="1604" spans="1:10" ht="18" hidden="1" customHeight="1" outlineLevel="2" x14ac:dyDescent="0.2">
      <c r="A1604" s="25"/>
      <c r="B1604" s="25" t="s">
        <v>3418</v>
      </c>
      <c r="C1604" s="25" t="s">
        <v>2280</v>
      </c>
      <c r="D1604" s="25" t="s">
        <v>2314</v>
      </c>
      <c r="E1604" s="25" t="s">
        <v>2315</v>
      </c>
      <c r="F1604" s="25" t="s">
        <v>2142</v>
      </c>
      <c r="G1604" s="25" t="s">
        <v>2307</v>
      </c>
    </row>
    <row r="1605" spans="1:10" ht="18" hidden="1" customHeight="1" outlineLevel="2" x14ac:dyDescent="0.2">
      <c r="A1605" s="25"/>
      <c r="B1605" s="25" t="s">
        <v>3419</v>
      </c>
      <c r="C1605" s="25" t="s">
        <v>2280</v>
      </c>
      <c r="D1605" s="25" t="s">
        <v>2316</v>
      </c>
      <c r="E1605" s="25" t="s">
        <v>2317</v>
      </c>
      <c r="F1605" s="25" t="s">
        <v>2142</v>
      </c>
      <c r="G1605" s="25" t="s">
        <v>2307</v>
      </c>
    </row>
    <row r="1606" spans="1:10" ht="18" hidden="1" customHeight="1" outlineLevel="2" x14ac:dyDescent="0.2">
      <c r="A1606" s="25"/>
      <c r="B1606" s="25" t="s">
        <v>3420</v>
      </c>
      <c r="C1606" s="25" t="s">
        <v>2280</v>
      </c>
      <c r="D1606" s="25" t="s">
        <v>2318</v>
      </c>
      <c r="E1606" s="25" t="s">
        <v>2319</v>
      </c>
      <c r="F1606" s="25" t="s">
        <v>2142</v>
      </c>
      <c r="G1606" s="25" t="s">
        <v>2307</v>
      </c>
    </row>
    <row r="1607" spans="1:10" ht="18" hidden="1" customHeight="1" outlineLevel="2" x14ac:dyDescent="0.2">
      <c r="A1607" s="25"/>
      <c r="B1607" s="25" t="s">
        <v>3421</v>
      </c>
      <c r="C1607" s="25" t="s">
        <v>2280</v>
      </c>
      <c r="D1607" s="25" t="s">
        <v>2320</v>
      </c>
      <c r="E1607" s="25" t="s">
        <v>2321</v>
      </c>
      <c r="F1607" s="25" t="s">
        <v>2142</v>
      </c>
      <c r="G1607" s="25" t="s">
        <v>2307</v>
      </c>
    </row>
    <row r="1608" spans="1:10" ht="18" hidden="1" customHeight="1" outlineLevel="2" x14ac:dyDescent="0.2">
      <c r="A1608" s="25"/>
      <c r="B1608" s="25"/>
      <c r="C1608" s="25"/>
      <c r="D1608" s="25"/>
      <c r="E1608" s="25"/>
      <c r="F1608" s="25"/>
      <c r="G1608" s="25"/>
    </row>
    <row r="1609" spans="1:10" ht="18" hidden="1" customHeight="1" outlineLevel="2" x14ac:dyDescent="0.2">
      <c r="A1609" s="25"/>
      <c r="B1609" s="25" t="s">
        <v>2337</v>
      </c>
      <c r="C1609" s="25" t="s">
        <v>2335</v>
      </c>
      <c r="D1609" s="25" t="s">
        <v>2336</v>
      </c>
      <c r="E1609" s="25" t="s">
        <v>2337</v>
      </c>
      <c r="F1609" s="25" t="s">
        <v>2142</v>
      </c>
      <c r="G1609" s="25"/>
    </row>
    <row r="1610" spans="1:10" ht="18" hidden="1" customHeight="1" outlineLevel="2" x14ac:dyDescent="0.2">
      <c r="A1610" s="25"/>
      <c r="B1610" s="25" t="s">
        <v>352</v>
      </c>
      <c r="C1610" s="25" t="s">
        <v>2335</v>
      </c>
      <c r="D1610" s="25" t="s">
        <v>2338</v>
      </c>
      <c r="E1610" s="25" t="s">
        <v>2339</v>
      </c>
      <c r="F1610" s="25" t="s">
        <v>2142</v>
      </c>
      <c r="G1610" s="25"/>
    </row>
    <row r="1611" spans="1:10" ht="18" hidden="1" customHeight="1" outlineLevel="2" x14ac:dyDescent="0.2">
      <c r="A1611" s="25"/>
      <c r="B1611" s="25"/>
      <c r="C1611" s="25"/>
      <c r="D1611" s="25"/>
      <c r="E1611" s="25"/>
      <c r="F1611" s="25"/>
      <c r="G1611" s="25"/>
    </row>
    <row r="1612" spans="1:10" ht="18" hidden="1" customHeight="1" outlineLevel="2" x14ac:dyDescent="0.2">
      <c r="A1612" s="25"/>
      <c r="B1612" s="25" t="s">
        <v>2332</v>
      </c>
      <c r="C1612" s="25" t="s">
        <v>2330</v>
      </c>
      <c r="D1612" s="25" t="s">
        <v>2331</v>
      </c>
      <c r="E1612" s="25" t="s">
        <v>2332</v>
      </c>
      <c r="F1612" s="25" t="s">
        <v>2142</v>
      </c>
      <c r="G1612" s="25"/>
      <c r="J1612" s="75"/>
    </row>
    <row r="1613" spans="1:10" ht="18" hidden="1" customHeight="1" outlineLevel="2" x14ac:dyDescent="0.2">
      <c r="A1613" s="25"/>
      <c r="B1613" s="25" t="s">
        <v>2334</v>
      </c>
      <c r="C1613" s="25" t="s">
        <v>2330</v>
      </c>
      <c r="D1613" s="25" t="s">
        <v>2333</v>
      </c>
      <c r="E1613" s="25" t="s">
        <v>2334</v>
      </c>
      <c r="F1613" s="25" t="s">
        <v>2142</v>
      </c>
      <c r="G1613" s="25"/>
      <c r="J1613" s="75"/>
    </row>
    <row r="1614" spans="1:10" ht="18" hidden="1" customHeight="1" outlineLevel="2" x14ac:dyDescent="0.2">
      <c r="A1614" s="25"/>
      <c r="B1614" s="25"/>
      <c r="C1614" s="25"/>
      <c r="D1614" s="25"/>
      <c r="E1614" s="25"/>
      <c r="F1614" s="25"/>
      <c r="G1614" s="25"/>
    </row>
    <row r="1615" spans="1:10" customFormat="1" ht="18" hidden="1" customHeight="1" outlineLevel="1" x14ac:dyDescent="0.25">
      <c r="A1615" s="119" t="s">
        <v>3856</v>
      </c>
      <c r="B1615" s="120"/>
      <c r="C1615" s="120"/>
      <c r="D1615" s="120" t="s">
        <v>148</v>
      </c>
      <c r="E1615" s="120"/>
      <c r="F1615" s="120"/>
      <c r="G1615" s="120"/>
      <c r="H1615" s="120"/>
    </row>
    <row r="1616" spans="1:10" ht="18" hidden="1" customHeight="1" outlineLevel="2" x14ac:dyDescent="0.2">
      <c r="A1616" s="25"/>
      <c r="B1616" s="25" t="s">
        <v>3422</v>
      </c>
      <c r="C1616" s="25" t="s">
        <v>115</v>
      </c>
      <c r="D1616" s="25" t="s">
        <v>2181</v>
      </c>
      <c r="E1616" s="25" t="s">
        <v>2340</v>
      </c>
      <c r="F1616" s="25" t="s">
        <v>2183</v>
      </c>
      <c r="G1616" s="25"/>
    </row>
    <row r="1617" spans="1:8" ht="18" hidden="1" customHeight="1" outlineLevel="2" x14ac:dyDescent="0.2">
      <c r="A1617" s="25"/>
      <c r="B1617" s="25" t="s">
        <v>3423</v>
      </c>
      <c r="C1617" s="25" t="s">
        <v>115</v>
      </c>
      <c r="D1617" s="25" t="s">
        <v>2188</v>
      </c>
      <c r="E1617" s="25" t="s">
        <v>2341</v>
      </c>
      <c r="F1617" s="25" t="s">
        <v>2183</v>
      </c>
      <c r="G1617" s="25"/>
    </row>
    <row r="1618" spans="1:8" ht="18" hidden="1" customHeight="1" outlineLevel="2" x14ac:dyDescent="0.2">
      <c r="A1618" s="25"/>
      <c r="B1618" s="25" t="s">
        <v>3424</v>
      </c>
      <c r="C1618" s="25" t="s">
        <v>115</v>
      </c>
      <c r="D1618" s="25" t="s">
        <v>2194</v>
      </c>
      <c r="E1618" s="25" t="s">
        <v>2342</v>
      </c>
      <c r="F1618" s="25" t="s">
        <v>2183</v>
      </c>
      <c r="G1618" s="25"/>
    </row>
    <row r="1619" spans="1:8" ht="18" hidden="1" customHeight="1" outlineLevel="2" x14ac:dyDescent="0.2">
      <c r="A1619" s="25"/>
      <c r="B1619" s="25" t="s">
        <v>3425</v>
      </c>
      <c r="C1619" s="25" t="s">
        <v>115</v>
      </c>
      <c r="D1619" s="25" t="s">
        <v>2343</v>
      </c>
      <c r="E1619" s="25" t="s">
        <v>2344</v>
      </c>
      <c r="F1619" s="25" t="s">
        <v>2183</v>
      </c>
      <c r="G1619" s="25"/>
    </row>
    <row r="1620" spans="1:8" ht="18" hidden="1" customHeight="1" outlineLevel="2" x14ac:dyDescent="0.2">
      <c r="A1620" s="25"/>
      <c r="B1620" s="25" t="s">
        <v>3426</v>
      </c>
      <c r="C1620" s="25" t="s">
        <v>115</v>
      </c>
      <c r="D1620" s="25" t="s">
        <v>2345</v>
      </c>
      <c r="E1620" s="25" t="s">
        <v>2346</v>
      </c>
      <c r="F1620" s="25" t="s">
        <v>2183</v>
      </c>
      <c r="G1620" s="25"/>
    </row>
    <row r="1621" spans="1:8" ht="18" hidden="1" customHeight="1" outlineLevel="2" x14ac:dyDescent="0.2">
      <c r="A1621" s="25"/>
      <c r="B1621" s="25" t="s">
        <v>3427</v>
      </c>
      <c r="C1621" s="25" t="s">
        <v>115</v>
      </c>
      <c r="D1621" s="25" t="s">
        <v>2347</v>
      </c>
      <c r="E1621" s="25" t="s">
        <v>2348</v>
      </c>
      <c r="F1621" s="25" t="s">
        <v>2183</v>
      </c>
      <c r="G1621" s="25"/>
    </row>
    <row r="1622" spans="1:8" ht="18" hidden="1" customHeight="1" outlineLevel="2" x14ac:dyDescent="0.2">
      <c r="A1622" s="25"/>
      <c r="B1622" s="25"/>
      <c r="C1622" s="25"/>
      <c r="D1622" s="25"/>
      <c r="E1622" s="25"/>
      <c r="F1622" s="25"/>
      <c r="G1622" s="25"/>
    </row>
    <row r="1623" spans="1:8" customFormat="1" ht="18" hidden="1" customHeight="1" outlineLevel="1" x14ac:dyDescent="0.25">
      <c r="A1623" s="119" t="s">
        <v>3857</v>
      </c>
      <c r="B1623" s="120"/>
      <c r="C1623" s="120"/>
      <c r="D1623" s="120" t="s">
        <v>148</v>
      </c>
      <c r="E1623" s="120"/>
      <c r="F1623" s="120"/>
      <c r="G1623" s="120"/>
      <c r="H1623" s="120"/>
    </row>
    <row r="1624" spans="1:8" ht="18" hidden="1" customHeight="1" outlineLevel="2" x14ac:dyDescent="0.2">
      <c r="A1624" s="25"/>
      <c r="B1624" s="25" t="s">
        <v>352</v>
      </c>
      <c r="C1624" s="25" t="s">
        <v>116</v>
      </c>
      <c r="D1624" s="25" t="s">
        <v>2322</v>
      </c>
      <c r="E1624" s="25" t="s">
        <v>2323</v>
      </c>
      <c r="F1624" s="25" t="s">
        <v>2142</v>
      </c>
      <c r="G1624" s="25" t="s">
        <v>2324</v>
      </c>
    </row>
    <row r="1625" spans="1:8" ht="18" hidden="1" customHeight="1" outlineLevel="2" x14ac:dyDescent="0.2">
      <c r="A1625" s="25"/>
      <c r="B1625" s="25" t="s">
        <v>352</v>
      </c>
      <c r="C1625" s="25" t="s">
        <v>116</v>
      </c>
      <c r="D1625" s="25" t="s">
        <v>2325</v>
      </c>
      <c r="E1625" s="25" t="s">
        <v>2326</v>
      </c>
      <c r="F1625" s="25" t="s">
        <v>2142</v>
      </c>
      <c r="G1625" s="25" t="s">
        <v>2327</v>
      </c>
    </row>
    <row r="1626" spans="1:8" ht="18" hidden="1" customHeight="1" outlineLevel="2" x14ac:dyDescent="0.2">
      <c r="A1626" s="25"/>
      <c r="B1626" s="25" t="s">
        <v>352</v>
      </c>
      <c r="C1626" s="25" t="s">
        <v>116</v>
      </c>
      <c r="D1626" s="25" t="s">
        <v>2322</v>
      </c>
      <c r="E1626" s="25" t="s">
        <v>2328</v>
      </c>
      <c r="F1626" s="25" t="s">
        <v>2142</v>
      </c>
      <c r="G1626" s="25" t="s">
        <v>2329</v>
      </c>
    </row>
    <row r="1627" spans="1:8" ht="18" hidden="1" customHeight="1" outlineLevel="2" x14ac:dyDescent="0.2">
      <c r="A1627" s="25"/>
      <c r="B1627" s="25"/>
      <c r="C1627" s="25"/>
      <c r="D1627" s="25"/>
      <c r="E1627" s="25"/>
      <c r="F1627" s="25"/>
      <c r="G1627" s="25"/>
    </row>
    <row r="1628" spans="1:8" customFormat="1" ht="18" hidden="1" customHeight="1" outlineLevel="1" x14ac:dyDescent="0.25">
      <c r="A1628" s="119" t="s">
        <v>118</v>
      </c>
      <c r="B1628" s="120"/>
      <c r="C1628" s="120"/>
      <c r="D1628" s="120" t="s">
        <v>148</v>
      </c>
      <c r="E1628" s="120"/>
      <c r="F1628" s="120"/>
      <c r="G1628" s="120"/>
      <c r="H1628" s="120"/>
    </row>
    <row r="1629" spans="1:8" ht="18" hidden="1" customHeight="1" outlineLevel="2" x14ac:dyDescent="0.2">
      <c r="A1629" s="25"/>
      <c r="B1629" s="25" t="s">
        <v>352</v>
      </c>
      <c r="C1629" s="25" t="s">
        <v>804</v>
      </c>
      <c r="D1629" s="65" t="s">
        <v>2349</v>
      </c>
      <c r="E1629" s="25" t="s">
        <v>2350</v>
      </c>
      <c r="F1629" s="25" t="s">
        <v>2351</v>
      </c>
      <c r="G1629" s="25"/>
    </row>
    <row r="1630" spans="1:8" ht="18" hidden="1" customHeight="1" outlineLevel="2" x14ac:dyDescent="0.2">
      <c r="A1630" s="25"/>
      <c r="B1630" s="25" t="s">
        <v>352</v>
      </c>
      <c r="C1630" s="25" t="s">
        <v>804</v>
      </c>
      <c r="D1630" s="65" t="s">
        <v>2352</v>
      </c>
      <c r="E1630" s="25" t="s">
        <v>2353</v>
      </c>
      <c r="F1630" s="25" t="s">
        <v>2351</v>
      </c>
      <c r="G1630" s="25"/>
    </row>
    <row r="1631" spans="1:8" ht="18" hidden="1" customHeight="1" outlineLevel="2" x14ac:dyDescent="0.2">
      <c r="A1631" s="25"/>
      <c r="B1631" s="25" t="s">
        <v>352</v>
      </c>
      <c r="C1631" s="25" t="s">
        <v>804</v>
      </c>
      <c r="D1631" s="65" t="s">
        <v>2354</v>
      </c>
      <c r="E1631" s="25" t="s">
        <v>2355</v>
      </c>
      <c r="F1631" s="25" t="s">
        <v>2248</v>
      </c>
      <c r="G1631" s="25"/>
    </row>
    <row r="1632" spans="1:8" ht="18" hidden="1" customHeight="1" outlineLevel="2" x14ac:dyDescent="0.2">
      <c r="A1632" s="25"/>
      <c r="B1632" s="25" t="s">
        <v>352</v>
      </c>
      <c r="C1632" s="25" t="s">
        <v>804</v>
      </c>
      <c r="D1632" s="65" t="s">
        <v>2356</v>
      </c>
      <c r="E1632" s="25" t="s">
        <v>2357</v>
      </c>
      <c r="F1632" s="25" t="s">
        <v>2248</v>
      </c>
      <c r="G1632" s="25"/>
    </row>
    <row r="1633" spans="1:8" ht="18" hidden="1" customHeight="1" outlineLevel="2" x14ac:dyDescent="0.2">
      <c r="A1633" s="25"/>
      <c r="B1633" s="25" t="s">
        <v>352</v>
      </c>
      <c r="C1633" s="25" t="s">
        <v>804</v>
      </c>
      <c r="D1633" s="65" t="s">
        <v>2358</v>
      </c>
      <c r="E1633" s="25"/>
      <c r="F1633" s="25" t="s">
        <v>2142</v>
      </c>
      <c r="G1633" s="25" t="s">
        <v>2359</v>
      </c>
    </row>
    <row r="1634" spans="1:8" ht="18" hidden="1" customHeight="1" outlineLevel="2" x14ac:dyDescent="0.2">
      <c r="A1634" s="25"/>
      <c r="B1634" s="25" t="s">
        <v>352</v>
      </c>
      <c r="C1634" s="25" t="s">
        <v>804</v>
      </c>
      <c r="D1634" s="65" t="s">
        <v>2360</v>
      </c>
      <c r="E1634" s="25" t="s">
        <v>2361</v>
      </c>
      <c r="F1634" s="25" t="s">
        <v>2142</v>
      </c>
      <c r="G1634" s="25" t="s">
        <v>3879</v>
      </c>
    </row>
    <row r="1635" spans="1:8" ht="18" hidden="1" customHeight="1" outlineLevel="2" x14ac:dyDescent="0.2">
      <c r="A1635" s="25"/>
      <c r="B1635" s="25"/>
      <c r="C1635" s="25"/>
      <c r="D1635" s="65"/>
      <c r="E1635" s="25"/>
      <c r="F1635" s="25"/>
      <c r="G1635" s="25"/>
    </row>
    <row r="1636" spans="1:8" customFormat="1" ht="18" hidden="1" customHeight="1" outlineLevel="1" x14ac:dyDescent="0.25">
      <c r="A1636" s="119" t="s">
        <v>3858</v>
      </c>
      <c r="B1636" s="120"/>
      <c r="C1636" s="120"/>
      <c r="D1636" s="120" t="s">
        <v>148</v>
      </c>
      <c r="E1636" s="120"/>
      <c r="F1636" s="120"/>
      <c r="G1636" s="120"/>
      <c r="H1636" s="120"/>
    </row>
    <row r="1637" spans="1:8" ht="18" hidden="1" customHeight="1" outlineLevel="2" x14ac:dyDescent="0.2">
      <c r="A1637" s="25"/>
      <c r="B1637" s="25" t="s">
        <v>3428</v>
      </c>
      <c r="C1637" s="25" t="s">
        <v>2362</v>
      </c>
      <c r="D1637" s="25" t="s">
        <v>1199</v>
      </c>
      <c r="E1637" s="25" t="s">
        <v>2363</v>
      </c>
      <c r="F1637" s="25" t="s">
        <v>2142</v>
      </c>
      <c r="G1637" s="25" t="s">
        <v>2364</v>
      </c>
      <c r="H1637" s="25" t="s">
        <v>674</v>
      </c>
    </row>
    <row r="1638" spans="1:8" ht="18" hidden="1" customHeight="1" outlineLevel="2" x14ac:dyDescent="0.2">
      <c r="A1638" s="25"/>
      <c r="B1638" s="25" t="s">
        <v>3429</v>
      </c>
      <c r="C1638" s="25" t="s">
        <v>2362</v>
      </c>
      <c r="D1638" s="25" t="s">
        <v>1200</v>
      </c>
      <c r="E1638" s="25" t="s">
        <v>2365</v>
      </c>
      <c r="F1638" s="25" t="s">
        <v>2142</v>
      </c>
      <c r="G1638" s="25" t="s">
        <v>2364</v>
      </c>
      <c r="H1638" s="25" t="s">
        <v>674</v>
      </c>
    </row>
    <row r="1639" spans="1:8" ht="18" hidden="1" customHeight="1" outlineLevel="2" x14ac:dyDescent="0.2">
      <c r="A1639" s="25"/>
      <c r="B1639" s="25" t="s">
        <v>3430</v>
      </c>
      <c r="C1639" s="25" t="s">
        <v>2362</v>
      </c>
      <c r="D1639" s="25" t="s">
        <v>1201</v>
      </c>
      <c r="E1639" s="25" t="s">
        <v>2366</v>
      </c>
      <c r="F1639" s="25" t="s">
        <v>2142</v>
      </c>
      <c r="G1639" s="25" t="s">
        <v>2364</v>
      </c>
      <c r="H1639" s="25" t="s">
        <v>674</v>
      </c>
    </row>
    <row r="1640" spans="1:8" ht="18" hidden="1" customHeight="1" outlineLevel="2" x14ac:dyDescent="0.2">
      <c r="A1640" s="25"/>
      <c r="B1640" s="25" t="s">
        <v>3431</v>
      </c>
      <c r="C1640" s="25" t="s">
        <v>2362</v>
      </c>
      <c r="D1640" s="25" t="s">
        <v>1202</v>
      </c>
      <c r="E1640" s="25" t="s">
        <v>2367</v>
      </c>
      <c r="F1640" s="25" t="s">
        <v>2142</v>
      </c>
      <c r="G1640" s="25" t="s">
        <v>2364</v>
      </c>
      <c r="H1640" s="25" t="s">
        <v>674</v>
      </c>
    </row>
    <row r="1641" spans="1:8" ht="18" hidden="1" customHeight="1" outlineLevel="2" x14ac:dyDescent="0.2">
      <c r="A1641" s="25"/>
      <c r="B1641" s="25" t="s">
        <v>3432</v>
      </c>
      <c r="C1641" s="25" t="s">
        <v>2362</v>
      </c>
      <c r="D1641" s="25" t="s">
        <v>2368</v>
      </c>
      <c r="E1641" s="25" t="s">
        <v>2369</v>
      </c>
      <c r="F1641" s="25" t="s">
        <v>2142</v>
      </c>
      <c r="G1641" s="25" t="s">
        <v>2364</v>
      </c>
      <c r="H1641" s="25" t="s">
        <v>674</v>
      </c>
    </row>
    <row r="1642" spans="1:8" ht="18" hidden="1" customHeight="1" outlineLevel="2" x14ac:dyDescent="0.2">
      <c r="A1642" s="25"/>
      <c r="B1642" s="25" t="s">
        <v>3433</v>
      </c>
      <c r="C1642" s="25" t="s">
        <v>2362</v>
      </c>
      <c r="D1642" s="25" t="s">
        <v>517</v>
      </c>
      <c r="E1642" s="25" t="s">
        <v>2370</v>
      </c>
      <c r="F1642" s="25" t="s">
        <v>2142</v>
      </c>
      <c r="G1642" s="25" t="s">
        <v>2364</v>
      </c>
      <c r="H1642" s="25" t="s">
        <v>674</v>
      </c>
    </row>
    <row r="1643" spans="1:8" ht="18" hidden="1" customHeight="1" outlineLevel="2" x14ac:dyDescent="0.2">
      <c r="A1643" s="25"/>
      <c r="B1643" s="25" t="s">
        <v>3434</v>
      </c>
      <c r="C1643" s="25" t="s">
        <v>2362</v>
      </c>
      <c r="D1643" s="25" t="s">
        <v>518</v>
      </c>
      <c r="E1643" s="25" t="s">
        <v>2371</v>
      </c>
      <c r="F1643" s="25" t="s">
        <v>2142</v>
      </c>
      <c r="G1643" s="25" t="s">
        <v>2364</v>
      </c>
      <c r="H1643" s="25" t="s">
        <v>674</v>
      </c>
    </row>
    <row r="1644" spans="1:8" ht="18" hidden="1" customHeight="1" outlineLevel="2" x14ac:dyDescent="0.2">
      <c r="A1644" s="25"/>
      <c r="B1644" s="25" t="s">
        <v>3435</v>
      </c>
      <c r="C1644" s="25" t="s">
        <v>2362</v>
      </c>
      <c r="D1644" s="25" t="s">
        <v>519</v>
      </c>
      <c r="E1644" s="25" t="s">
        <v>2372</v>
      </c>
      <c r="F1644" s="25" t="s">
        <v>2142</v>
      </c>
      <c r="G1644" s="25" t="s">
        <v>2364</v>
      </c>
      <c r="H1644" s="25" t="s">
        <v>674</v>
      </c>
    </row>
    <row r="1645" spans="1:8" ht="18" hidden="1" customHeight="1" outlineLevel="2" x14ac:dyDescent="0.2">
      <c r="A1645" s="25"/>
      <c r="B1645" s="25" t="s">
        <v>3436</v>
      </c>
      <c r="C1645" s="25" t="s">
        <v>2362</v>
      </c>
      <c r="D1645" s="25" t="s">
        <v>520</v>
      </c>
      <c r="E1645" s="25" t="s">
        <v>2373</v>
      </c>
      <c r="F1645" s="25" t="s">
        <v>2142</v>
      </c>
      <c r="G1645" s="25" t="s">
        <v>2364</v>
      </c>
      <c r="H1645" s="25" t="s">
        <v>674</v>
      </c>
    </row>
    <row r="1646" spans="1:8" ht="18" hidden="1" customHeight="1" outlineLevel="2" x14ac:dyDescent="0.2">
      <c r="A1646" s="25"/>
      <c r="B1646" s="25" t="s">
        <v>3437</v>
      </c>
      <c r="C1646" s="25" t="s">
        <v>2362</v>
      </c>
      <c r="D1646" s="25" t="s">
        <v>521</v>
      </c>
      <c r="E1646" s="25" t="s">
        <v>2374</v>
      </c>
      <c r="F1646" s="25" t="s">
        <v>2142</v>
      </c>
      <c r="G1646" s="25" t="s">
        <v>2364</v>
      </c>
      <c r="H1646" s="25" t="s">
        <v>674</v>
      </c>
    </row>
    <row r="1647" spans="1:8" ht="18" hidden="1" customHeight="1" outlineLevel="2" x14ac:dyDescent="0.2">
      <c r="A1647" s="25"/>
      <c r="B1647" s="25" t="s">
        <v>3438</v>
      </c>
      <c r="C1647" s="25" t="s">
        <v>2362</v>
      </c>
      <c r="D1647" s="25" t="s">
        <v>522</v>
      </c>
      <c r="E1647" s="25" t="s">
        <v>2375</v>
      </c>
      <c r="F1647" s="25" t="s">
        <v>2142</v>
      </c>
      <c r="G1647" s="25" t="s">
        <v>2364</v>
      </c>
      <c r="H1647" s="25" t="s">
        <v>674</v>
      </c>
    </row>
    <row r="1648" spans="1:8" ht="18" hidden="1" customHeight="1" outlineLevel="2" x14ac:dyDescent="0.2">
      <c r="A1648" s="25"/>
      <c r="B1648" s="25" t="s">
        <v>3439</v>
      </c>
      <c r="C1648" s="25" t="s">
        <v>2362</v>
      </c>
      <c r="D1648" s="25" t="s">
        <v>523</v>
      </c>
      <c r="E1648" s="25" t="s">
        <v>2376</v>
      </c>
      <c r="F1648" s="25" t="s">
        <v>2142</v>
      </c>
      <c r="G1648" s="25" t="s">
        <v>2364</v>
      </c>
      <c r="H1648" s="25" t="s">
        <v>674</v>
      </c>
    </row>
    <row r="1649" spans="1:8" ht="18" hidden="1" customHeight="1" outlineLevel="2" x14ac:dyDescent="0.2">
      <c r="A1649" s="25"/>
      <c r="B1649" s="25" t="s">
        <v>352</v>
      </c>
      <c r="C1649" s="25" t="s">
        <v>2362</v>
      </c>
      <c r="D1649" s="25" t="s">
        <v>2377</v>
      </c>
      <c r="E1649" s="25" t="s">
        <v>2378</v>
      </c>
      <c r="F1649" s="25" t="s">
        <v>2248</v>
      </c>
      <c r="G1649" s="25" t="s">
        <v>3878</v>
      </c>
      <c r="H1649" s="25" t="s">
        <v>674</v>
      </c>
    </row>
    <row r="1650" spans="1:8" ht="18" hidden="1" customHeight="1" outlineLevel="2" x14ac:dyDescent="0.2">
      <c r="A1650" s="25"/>
      <c r="B1650" s="25"/>
      <c r="C1650" s="25"/>
      <c r="D1650" s="25"/>
      <c r="E1650" s="25"/>
      <c r="F1650" s="25"/>
      <c r="G1650" s="25"/>
    </row>
    <row r="1651" spans="1:8" ht="18" hidden="1" customHeight="1" outlineLevel="2" x14ac:dyDescent="0.2">
      <c r="A1651" s="25"/>
      <c r="B1651" s="25" t="s">
        <v>352</v>
      </c>
      <c r="C1651" s="65" t="s">
        <v>2379</v>
      </c>
      <c r="D1651" s="25" t="s">
        <v>2380</v>
      </c>
      <c r="E1651" s="25" t="s">
        <v>2381</v>
      </c>
      <c r="F1651" s="25" t="s">
        <v>2248</v>
      </c>
      <c r="G1651" s="25"/>
    </row>
    <row r="1652" spans="1:8" ht="18" hidden="1" customHeight="1" outlineLevel="2" x14ac:dyDescent="0.2">
      <c r="A1652" s="25"/>
      <c r="B1652" s="25" t="s">
        <v>352</v>
      </c>
      <c r="C1652" s="65" t="s">
        <v>2379</v>
      </c>
      <c r="D1652" s="25" t="s">
        <v>2382</v>
      </c>
      <c r="E1652" s="25" t="s">
        <v>2383</v>
      </c>
      <c r="F1652" s="25" t="s">
        <v>2248</v>
      </c>
      <c r="G1652" s="25"/>
    </row>
    <row r="1653" spans="1:8" ht="18" hidden="1" customHeight="1" outlineLevel="2" x14ac:dyDescent="0.2">
      <c r="A1653" s="25"/>
      <c r="B1653" s="25" t="s">
        <v>352</v>
      </c>
      <c r="C1653" s="65" t="s">
        <v>2379</v>
      </c>
      <c r="D1653" s="25" t="s">
        <v>2384</v>
      </c>
      <c r="E1653" s="25" t="s">
        <v>2385</v>
      </c>
      <c r="F1653" s="25" t="s">
        <v>2248</v>
      </c>
      <c r="G1653" s="25"/>
    </row>
    <row r="1654" spans="1:8" ht="18" hidden="1" customHeight="1" outlineLevel="2" x14ac:dyDescent="0.2">
      <c r="A1654" s="25"/>
      <c r="B1654" s="25" t="s">
        <v>352</v>
      </c>
      <c r="C1654" s="65" t="s">
        <v>2379</v>
      </c>
      <c r="D1654" s="25" t="s">
        <v>2386</v>
      </c>
      <c r="E1654" s="25" t="s">
        <v>2387</v>
      </c>
      <c r="F1654" s="25" t="s">
        <v>2248</v>
      </c>
      <c r="G1654" s="25"/>
    </row>
    <row r="1655" spans="1:8" ht="18" hidden="1" customHeight="1" outlineLevel="2" x14ac:dyDescent="0.2">
      <c r="A1655" s="25"/>
      <c r="B1655" s="25" t="s">
        <v>352</v>
      </c>
      <c r="C1655" s="65" t="s">
        <v>2379</v>
      </c>
      <c r="D1655" s="25" t="s">
        <v>2388</v>
      </c>
      <c r="E1655" s="25" t="s">
        <v>2389</v>
      </c>
      <c r="F1655" s="25" t="s">
        <v>2248</v>
      </c>
      <c r="G1655" s="25"/>
    </row>
    <row r="1656" spans="1:8" ht="18" hidden="1" customHeight="1" outlineLevel="2" x14ac:dyDescent="0.2">
      <c r="A1656" s="25"/>
      <c r="B1656" s="25" t="s">
        <v>352</v>
      </c>
      <c r="C1656" s="65" t="s">
        <v>2379</v>
      </c>
      <c r="D1656" s="25" t="s">
        <v>2390</v>
      </c>
      <c r="E1656" s="25" t="s">
        <v>2391</v>
      </c>
      <c r="F1656" s="25" t="s">
        <v>2248</v>
      </c>
      <c r="G1656" s="25"/>
    </row>
    <row r="1657" spans="1:8" ht="18" hidden="1" customHeight="1" outlineLevel="2" x14ac:dyDescent="0.2">
      <c r="A1657" s="25"/>
      <c r="B1657" s="25"/>
      <c r="C1657" s="65"/>
      <c r="D1657" s="25"/>
      <c r="E1657" s="25"/>
      <c r="F1657" s="25"/>
      <c r="G1657" s="25"/>
    </row>
    <row r="1658" spans="1:8" ht="18" hidden="1" customHeight="1" outlineLevel="2" x14ac:dyDescent="0.2">
      <c r="A1658" s="25"/>
      <c r="B1658" s="25" t="s">
        <v>352</v>
      </c>
      <c r="C1658" s="84" t="s">
        <v>2392</v>
      </c>
      <c r="D1658" s="25" t="s">
        <v>2380</v>
      </c>
      <c r="E1658" s="25" t="s">
        <v>2393</v>
      </c>
      <c r="F1658" s="25" t="s">
        <v>2248</v>
      </c>
      <c r="G1658" s="25"/>
    </row>
    <row r="1659" spans="1:8" ht="18" hidden="1" customHeight="1" outlineLevel="2" x14ac:dyDescent="0.2">
      <c r="A1659" s="25"/>
      <c r="B1659" s="25" t="s">
        <v>352</v>
      </c>
      <c r="C1659" s="84" t="s">
        <v>2392</v>
      </c>
      <c r="D1659" s="25" t="s">
        <v>2382</v>
      </c>
      <c r="E1659" s="25" t="s">
        <v>2394</v>
      </c>
      <c r="F1659" s="25" t="s">
        <v>2248</v>
      </c>
      <c r="G1659" s="25"/>
    </row>
    <row r="1660" spans="1:8" ht="18" hidden="1" customHeight="1" outlineLevel="2" x14ac:dyDescent="0.2">
      <c r="A1660" s="25"/>
      <c r="B1660" s="25" t="s">
        <v>352</v>
      </c>
      <c r="C1660" s="84" t="s">
        <v>2392</v>
      </c>
      <c r="D1660" s="25" t="s">
        <v>2384</v>
      </c>
      <c r="E1660" s="25" t="s">
        <v>2395</v>
      </c>
      <c r="F1660" s="25" t="s">
        <v>2248</v>
      </c>
      <c r="G1660" s="25"/>
    </row>
    <row r="1661" spans="1:8" ht="18" hidden="1" customHeight="1" outlineLevel="2" x14ac:dyDescent="0.2">
      <c r="A1661" s="25"/>
      <c r="B1661" s="25" t="s">
        <v>352</v>
      </c>
      <c r="C1661" s="84" t="s">
        <v>2392</v>
      </c>
      <c r="D1661" s="25" t="s">
        <v>2386</v>
      </c>
      <c r="E1661" s="25" t="s">
        <v>2396</v>
      </c>
      <c r="F1661" s="25" t="s">
        <v>2248</v>
      </c>
      <c r="G1661" s="25"/>
    </row>
    <row r="1662" spans="1:8" ht="18" hidden="1" customHeight="1" outlineLevel="2" x14ac:dyDescent="0.2">
      <c r="A1662" s="25"/>
      <c r="B1662" s="25" t="s">
        <v>352</v>
      </c>
      <c r="C1662" s="84" t="s">
        <v>2392</v>
      </c>
      <c r="D1662" s="25" t="s">
        <v>2388</v>
      </c>
      <c r="E1662" s="25" t="s">
        <v>2397</v>
      </c>
      <c r="F1662" s="25" t="s">
        <v>2248</v>
      </c>
      <c r="G1662" s="25"/>
    </row>
    <row r="1663" spans="1:8" ht="18" hidden="1" customHeight="1" outlineLevel="2" x14ac:dyDescent="0.2">
      <c r="A1663" s="25"/>
      <c r="B1663" s="25" t="s">
        <v>352</v>
      </c>
      <c r="C1663" s="84" t="s">
        <v>2392</v>
      </c>
      <c r="D1663" s="25" t="s">
        <v>2390</v>
      </c>
      <c r="E1663" s="25" t="s">
        <v>2398</v>
      </c>
      <c r="F1663" s="25" t="s">
        <v>2248</v>
      </c>
      <c r="G1663" s="25"/>
    </row>
    <row r="1664" spans="1:8" ht="18" hidden="1" customHeight="1" outlineLevel="2" x14ac:dyDescent="0.2">
      <c r="A1664" s="25"/>
      <c r="B1664" s="25"/>
      <c r="C1664" s="84"/>
      <c r="D1664" s="25"/>
      <c r="E1664" s="25"/>
      <c r="F1664" s="25"/>
      <c r="G1664" s="25"/>
    </row>
    <row r="1665" spans="1:10" ht="18" hidden="1" customHeight="1" outlineLevel="2" x14ac:dyDescent="0.2">
      <c r="A1665" s="25"/>
      <c r="B1665" s="25" t="s">
        <v>352</v>
      </c>
      <c r="C1665" s="65" t="s">
        <v>3870</v>
      </c>
      <c r="D1665" s="25" t="s">
        <v>2399</v>
      </c>
      <c r="E1665" s="25" t="s">
        <v>2400</v>
      </c>
      <c r="F1665" s="25" t="s">
        <v>2401</v>
      </c>
      <c r="G1665" s="25"/>
      <c r="J1665" s="75"/>
    </row>
    <row r="1666" spans="1:10" ht="18" hidden="1" customHeight="1" outlineLevel="2" x14ac:dyDescent="0.2">
      <c r="A1666" s="25"/>
      <c r="B1666" s="25"/>
      <c r="C1666" s="25" t="s">
        <v>2402</v>
      </c>
      <c r="D1666" s="25" t="s">
        <v>1199</v>
      </c>
      <c r="E1666" s="25" t="s">
        <v>2403</v>
      </c>
      <c r="F1666" s="25" t="s">
        <v>2401</v>
      </c>
      <c r="G1666" s="25"/>
      <c r="J1666" s="75"/>
    </row>
    <row r="1667" spans="1:10" ht="18" hidden="1" customHeight="1" outlineLevel="2" x14ac:dyDescent="0.2">
      <c r="A1667" s="25"/>
      <c r="B1667" s="25"/>
      <c r="C1667" s="25" t="s">
        <v>2404</v>
      </c>
      <c r="D1667" s="25" t="s">
        <v>1199</v>
      </c>
      <c r="E1667" s="25" t="s">
        <v>2405</v>
      </c>
      <c r="F1667" s="25" t="s">
        <v>2401</v>
      </c>
      <c r="G1667" s="25"/>
      <c r="J1667" s="75"/>
    </row>
    <row r="1668" spans="1:10" ht="18" hidden="1" customHeight="1" outlineLevel="2" x14ac:dyDescent="0.2">
      <c r="A1668" s="25"/>
      <c r="B1668" s="25"/>
      <c r="C1668" s="25" t="s">
        <v>2406</v>
      </c>
      <c r="D1668" s="25" t="s">
        <v>1199</v>
      </c>
      <c r="E1668" s="25" t="s">
        <v>2407</v>
      </c>
      <c r="F1668" s="25" t="s">
        <v>2401</v>
      </c>
      <c r="G1668" s="25"/>
      <c r="J1668" s="75"/>
    </row>
    <row r="1669" spans="1:10" ht="18" hidden="1" customHeight="1" outlineLevel="2" x14ac:dyDescent="0.2">
      <c r="A1669" s="25"/>
      <c r="B1669" s="25"/>
      <c r="C1669" s="25"/>
      <c r="D1669" s="25"/>
      <c r="E1669" s="25"/>
      <c r="F1669" s="25"/>
      <c r="G1669" s="25"/>
    </row>
    <row r="1670" spans="1:10" customFormat="1" ht="18" hidden="1" customHeight="1" outlineLevel="1" x14ac:dyDescent="0.25">
      <c r="A1670" s="119" t="s">
        <v>3860</v>
      </c>
      <c r="B1670" s="120"/>
      <c r="C1670" s="120"/>
      <c r="D1670" s="120" t="s">
        <v>148</v>
      </c>
      <c r="E1670" s="120"/>
      <c r="F1670" s="120"/>
      <c r="G1670" s="120"/>
      <c r="H1670" s="120"/>
      <c r="J1670" s="9"/>
    </row>
    <row r="1671" spans="1:10" ht="18" hidden="1" customHeight="1" outlineLevel="2" x14ac:dyDescent="0.2">
      <c r="A1671" s="25"/>
      <c r="B1671" s="25" t="s">
        <v>2217</v>
      </c>
      <c r="C1671" s="25" t="s">
        <v>2215</v>
      </c>
      <c r="D1671" s="65" t="s">
        <v>2216</v>
      </c>
      <c r="E1671" s="25" t="s">
        <v>2217</v>
      </c>
      <c r="F1671" s="25" t="s">
        <v>2142</v>
      </c>
      <c r="G1671" s="25"/>
    </row>
    <row r="1672" spans="1:10" ht="18" hidden="1" customHeight="1" outlineLevel="2" x14ac:dyDescent="0.2">
      <c r="A1672" s="25"/>
      <c r="B1672" s="25" t="s">
        <v>2219</v>
      </c>
      <c r="C1672" s="25" t="s">
        <v>2215</v>
      </c>
      <c r="D1672" s="65" t="s">
        <v>2218</v>
      </c>
      <c r="E1672" s="25" t="s">
        <v>2219</v>
      </c>
      <c r="F1672" s="25" t="s">
        <v>2142</v>
      </c>
      <c r="G1672" s="25"/>
    </row>
    <row r="1673" spans="1:10" ht="18" hidden="1" customHeight="1" outlineLevel="2" x14ac:dyDescent="0.2">
      <c r="A1673" s="25"/>
      <c r="B1673" s="25" t="s">
        <v>2221</v>
      </c>
      <c r="C1673" s="25" t="s">
        <v>2215</v>
      </c>
      <c r="D1673" s="65" t="s">
        <v>2220</v>
      </c>
      <c r="E1673" s="25" t="s">
        <v>2221</v>
      </c>
      <c r="F1673" s="25" t="s">
        <v>2142</v>
      </c>
      <c r="G1673" s="25"/>
    </row>
    <row r="1674" spans="1:10" ht="18" hidden="1" customHeight="1" outlineLevel="2" x14ac:dyDescent="0.2">
      <c r="A1674" s="25"/>
      <c r="B1674" s="25" t="s">
        <v>2223</v>
      </c>
      <c r="C1674" s="25" t="s">
        <v>2215</v>
      </c>
      <c r="D1674" s="65" t="s">
        <v>2222</v>
      </c>
      <c r="E1674" s="25" t="s">
        <v>2223</v>
      </c>
      <c r="F1674" s="25" t="s">
        <v>2142</v>
      </c>
      <c r="G1674" s="25"/>
    </row>
    <row r="1675" spans="1:10" ht="18" hidden="1" customHeight="1" outlineLevel="2" x14ac:dyDescent="0.2">
      <c r="A1675" s="25"/>
      <c r="B1675" s="25" t="s">
        <v>2225</v>
      </c>
      <c r="C1675" s="25" t="s">
        <v>2215</v>
      </c>
      <c r="D1675" s="65" t="s">
        <v>2224</v>
      </c>
      <c r="E1675" s="25" t="s">
        <v>2225</v>
      </c>
      <c r="F1675" s="25" t="s">
        <v>2226</v>
      </c>
      <c r="G1675" s="25"/>
    </row>
    <row r="1676" spans="1:10" ht="18" hidden="1" customHeight="1" outlineLevel="2" x14ac:dyDescent="0.2">
      <c r="A1676" s="25"/>
      <c r="B1676" s="25" t="s">
        <v>2228</v>
      </c>
      <c r="C1676" s="25" t="s">
        <v>2215</v>
      </c>
      <c r="D1676" s="65" t="s">
        <v>2227</v>
      </c>
      <c r="E1676" s="25" t="s">
        <v>2228</v>
      </c>
      <c r="F1676" s="25" t="s">
        <v>2226</v>
      </c>
      <c r="G1676" s="25"/>
    </row>
    <row r="1677" spans="1:10" ht="18" hidden="1" customHeight="1" outlineLevel="2" x14ac:dyDescent="0.2">
      <c r="A1677" s="25"/>
      <c r="B1677" s="25" t="s">
        <v>2230</v>
      </c>
      <c r="C1677" s="25" t="s">
        <v>2215</v>
      </c>
      <c r="D1677" s="65" t="s">
        <v>2229</v>
      </c>
      <c r="E1677" s="25" t="s">
        <v>2230</v>
      </c>
      <c r="F1677" s="25" t="s">
        <v>2226</v>
      </c>
      <c r="G1677" s="25"/>
    </row>
    <row r="1678" spans="1:10" ht="18" hidden="1" customHeight="1" outlineLevel="2" x14ac:dyDescent="0.2">
      <c r="A1678" s="25"/>
      <c r="B1678" s="25" t="s">
        <v>2232</v>
      </c>
      <c r="C1678" s="25" t="s">
        <v>2215</v>
      </c>
      <c r="D1678" s="65" t="s">
        <v>2231</v>
      </c>
      <c r="E1678" s="25" t="s">
        <v>2232</v>
      </c>
      <c r="F1678" s="25" t="s">
        <v>2226</v>
      </c>
      <c r="G1678" s="25"/>
    </row>
    <row r="1679" spans="1:10" ht="18" hidden="1" customHeight="1" outlineLevel="2" x14ac:dyDescent="0.2">
      <c r="A1679" s="25"/>
      <c r="B1679" s="25" t="s">
        <v>2234</v>
      </c>
      <c r="C1679" s="25" t="s">
        <v>2215</v>
      </c>
      <c r="D1679" s="65" t="s">
        <v>2233</v>
      </c>
      <c r="E1679" s="25" t="s">
        <v>2234</v>
      </c>
      <c r="F1679" s="25" t="s">
        <v>2226</v>
      </c>
      <c r="G1679" s="25"/>
    </row>
    <row r="1680" spans="1:10" ht="18" hidden="1" customHeight="1" outlineLevel="2" x14ac:dyDescent="0.2">
      <c r="A1680" s="25"/>
      <c r="B1680" s="25"/>
      <c r="C1680" s="25" t="s">
        <v>2215</v>
      </c>
      <c r="D1680" s="65" t="s">
        <v>2235</v>
      </c>
      <c r="E1680" s="25" t="s">
        <v>2236</v>
      </c>
      <c r="F1680" s="25" t="s">
        <v>2226</v>
      </c>
      <c r="G1680" s="25"/>
    </row>
    <row r="1681" spans="1:10" ht="18" hidden="1" customHeight="1" outlineLevel="2" x14ac:dyDescent="0.2">
      <c r="A1681" s="25"/>
      <c r="B1681" s="25"/>
      <c r="C1681" s="25" t="s">
        <v>2215</v>
      </c>
      <c r="D1681" s="65" t="s">
        <v>2237</v>
      </c>
      <c r="E1681" s="25" t="s">
        <v>2238</v>
      </c>
      <c r="F1681" s="25" t="s">
        <v>2226</v>
      </c>
      <c r="G1681" s="25"/>
    </row>
    <row r="1682" spans="1:10" ht="18" hidden="1" customHeight="1" outlineLevel="2" x14ac:dyDescent="0.2">
      <c r="A1682" s="25"/>
      <c r="B1682" s="25"/>
      <c r="C1682" s="25" t="s">
        <v>2215</v>
      </c>
      <c r="D1682" s="65" t="s">
        <v>2239</v>
      </c>
      <c r="E1682" s="25" t="s">
        <v>2240</v>
      </c>
      <c r="F1682" s="25" t="s">
        <v>2226</v>
      </c>
      <c r="G1682" s="25"/>
    </row>
    <row r="1683" spans="1:10" ht="18" hidden="1" customHeight="1" outlineLevel="2" x14ac:dyDescent="0.2">
      <c r="A1683" s="25"/>
      <c r="B1683" s="25"/>
      <c r="C1683" s="25" t="s">
        <v>2215</v>
      </c>
      <c r="D1683" s="65" t="s">
        <v>2241</v>
      </c>
      <c r="E1683" s="25" t="s">
        <v>2242</v>
      </c>
      <c r="F1683" s="25" t="s">
        <v>2226</v>
      </c>
      <c r="G1683" s="25"/>
    </row>
    <row r="1684" spans="1:10" ht="18" hidden="1" customHeight="1" outlineLevel="2" x14ac:dyDescent="0.2">
      <c r="A1684" s="25"/>
      <c r="B1684" s="25"/>
      <c r="C1684" s="25" t="s">
        <v>2215</v>
      </c>
      <c r="D1684" s="65" t="s">
        <v>2243</v>
      </c>
      <c r="E1684" s="25" t="s">
        <v>2244</v>
      </c>
      <c r="F1684" s="25" t="s">
        <v>2226</v>
      </c>
      <c r="G1684" s="25"/>
    </row>
    <row r="1685" spans="1:10" ht="18" hidden="1" customHeight="1" outlineLevel="2" x14ac:dyDescent="0.2">
      <c r="A1685" s="25"/>
      <c r="B1685" s="25" t="s">
        <v>2246</v>
      </c>
      <c r="C1685" s="25" t="s">
        <v>2215</v>
      </c>
      <c r="D1685" s="65" t="s">
        <v>2245</v>
      </c>
      <c r="E1685" s="25" t="s">
        <v>2246</v>
      </c>
      <c r="F1685" s="25" t="s">
        <v>2226</v>
      </c>
      <c r="G1685" s="25"/>
    </row>
    <row r="1686" spans="1:10" ht="18" hidden="1" customHeight="1" outlineLevel="2" x14ac:dyDescent="0.2">
      <c r="A1686" s="25"/>
      <c r="B1686" s="25"/>
      <c r="C1686" s="25" t="s">
        <v>2215</v>
      </c>
      <c r="D1686" s="65" t="s">
        <v>2247</v>
      </c>
      <c r="E1686" s="25"/>
      <c r="F1686" s="25" t="s">
        <v>2248</v>
      </c>
      <c r="G1686" s="25"/>
    </row>
    <row r="1687" spans="1:10" ht="18" hidden="1" customHeight="1" outlineLevel="2" x14ac:dyDescent="0.2">
      <c r="A1687" s="25"/>
      <c r="B1687" s="25"/>
      <c r="C1687" s="25" t="s">
        <v>2215</v>
      </c>
      <c r="D1687" s="65" t="s">
        <v>2249</v>
      </c>
      <c r="E1687" s="25"/>
      <c r="F1687" s="25" t="s">
        <v>2248</v>
      </c>
      <c r="G1687" s="25"/>
    </row>
    <row r="1688" spans="1:10" ht="18" hidden="1" customHeight="1" outlineLevel="2" x14ac:dyDescent="0.2">
      <c r="A1688" s="25"/>
      <c r="B1688" s="25"/>
      <c r="C1688" s="25" t="s">
        <v>2215</v>
      </c>
      <c r="D1688" s="65" t="s">
        <v>2250</v>
      </c>
      <c r="E1688" s="25"/>
      <c r="F1688" s="25" t="s">
        <v>2248</v>
      </c>
      <c r="G1688" s="25"/>
    </row>
    <row r="1689" spans="1:10" ht="18" hidden="1" customHeight="1" outlineLevel="2" x14ac:dyDescent="0.2">
      <c r="A1689" s="25"/>
      <c r="B1689" s="25"/>
      <c r="C1689" s="25" t="s">
        <v>2215</v>
      </c>
      <c r="D1689" s="65" t="s">
        <v>2251</v>
      </c>
      <c r="E1689" s="25"/>
      <c r="F1689" s="25" t="s">
        <v>2248</v>
      </c>
      <c r="G1689" s="25"/>
    </row>
    <row r="1690" spans="1:10" ht="18" hidden="1" customHeight="1" outlineLevel="2" x14ac:dyDescent="0.2">
      <c r="A1690" s="25"/>
      <c r="B1690" s="25"/>
      <c r="C1690" s="25" t="s">
        <v>2215</v>
      </c>
      <c r="D1690" s="65" t="s">
        <v>2252</v>
      </c>
      <c r="E1690" s="25"/>
      <c r="F1690" s="25" t="s">
        <v>2248</v>
      </c>
      <c r="G1690" s="25"/>
    </row>
    <row r="1691" spans="1:10" ht="18" hidden="1" customHeight="1" outlineLevel="2" x14ac:dyDescent="0.2">
      <c r="A1691" s="25"/>
      <c r="B1691" s="25"/>
      <c r="C1691" s="25" t="s">
        <v>2215</v>
      </c>
      <c r="D1691" s="65" t="s">
        <v>2253</v>
      </c>
      <c r="E1691" s="25"/>
      <c r="F1691" s="25" t="s">
        <v>2248</v>
      </c>
      <c r="G1691" s="25"/>
    </row>
    <row r="1692" spans="1:10" ht="18" hidden="1" customHeight="1" outlineLevel="2" x14ac:dyDescent="0.2">
      <c r="A1692" s="25"/>
      <c r="B1692" s="25"/>
      <c r="C1692" s="25" t="s">
        <v>2215</v>
      </c>
      <c r="D1692" s="65" t="s">
        <v>2254</v>
      </c>
      <c r="E1692" s="25"/>
      <c r="F1692" s="25" t="s">
        <v>2248</v>
      </c>
      <c r="G1692" s="25"/>
    </row>
    <row r="1693" spans="1:10" ht="18" hidden="1" customHeight="1" outlineLevel="2" x14ac:dyDescent="0.2">
      <c r="A1693" s="25"/>
      <c r="B1693" s="25"/>
      <c r="C1693" s="25" t="s">
        <v>2215</v>
      </c>
      <c r="D1693" s="65" t="s">
        <v>2255</v>
      </c>
      <c r="E1693" s="25"/>
      <c r="F1693" s="25" t="s">
        <v>2248</v>
      </c>
      <c r="G1693" s="25"/>
    </row>
    <row r="1694" spans="1:10" ht="18" hidden="1" customHeight="1" outlineLevel="2" x14ac:dyDescent="0.2">
      <c r="A1694" s="25"/>
      <c r="B1694" s="25"/>
      <c r="C1694" s="25" t="s">
        <v>2215</v>
      </c>
      <c r="D1694" s="65" t="s">
        <v>2256</v>
      </c>
      <c r="E1694" s="25"/>
      <c r="F1694" s="25" t="s">
        <v>2248</v>
      </c>
      <c r="G1694" s="25"/>
    </row>
    <row r="1695" spans="1:10" customFormat="1" ht="18" hidden="1" customHeight="1" outlineLevel="2" x14ac:dyDescent="0.25">
      <c r="A1695" s="25"/>
      <c r="B1695" s="25"/>
      <c r="D1695" s="25"/>
      <c r="E1695" s="25"/>
      <c r="F1695" s="25"/>
      <c r="G1695" s="25"/>
      <c r="H1695" s="25"/>
      <c r="J1695" s="9"/>
    </row>
    <row r="1696" spans="1:10" customFormat="1" ht="18" hidden="1" customHeight="1" outlineLevel="1" x14ac:dyDescent="0.25">
      <c r="A1696" s="119" t="s">
        <v>3859</v>
      </c>
      <c r="B1696" s="120"/>
      <c r="C1696" s="120"/>
      <c r="D1696" s="120" t="s">
        <v>148</v>
      </c>
      <c r="E1696" s="120"/>
      <c r="F1696" s="120"/>
      <c r="G1696" s="120"/>
      <c r="H1696" s="120"/>
    </row>
    <row r="1697" spans="1:11" ht="18" hidden="1" customHeight="1" outlineLevel="2" x14ac:dyDescent="0.2">
      <c r="A1697" s="25"/>
      <c r="B1697" s="25"/>
      <c r="C1697" s="25" t="s">
        <v>2551</v>
      </c>
      <c r="D1697" s="25" t="s">
        <v>2552</v>
      </c>
      <c r="E1697" s="25"/>
      <c r="F1697" s="25" t="s">
        <v>2248</v>
      </c>
      <c r="G1697" s="25" t="s">
        <v>2553</v>
      </c>
    </row>
    <row r="1698" spans="1:11" ht="18" hidden="1" customHeight="1" outlineLevel="2" x14ac:dyDescent="0.2">
      <c r="A1698" s="25"/>
      <c r="B1698" s="25"/>
      <c r="C1698" s="25" t="s">
        <v>2551</v>
      </c>
      <c r="D1698" s="25" t="s">
        <v>2554</v>
      </c>
      <c r="E1698" s="25"/>
      <c r="F1698" s="25" t="s">
        <v>2248</v>
      </c>
      <c r="G1698" s="25" t="s">
        <v>2555</v>
      </c>
      <c r="H1698" s="25" t="s">
        <v>674</v>
      </c>
    </row>
    <row r="1699" spans="1:11" ht="18" hidden="1" customHeight="1" outlineLevel="2" x14ac:dyDescent="0.2">
      <c r="A1699" s="25"/>
      <c r="B1699" s="25" t="s">
        <v>3458</v>
      </c>
      <c r="C1699" s="59" t="s">
        <v>2551</v>
      </c>
      <c r="D1699" s="25" t="s">
        <v>2556</v>
      </c>
      <c r="E1699" s="25"/>
      <c r="F1699" s="25" t="s">
        <v>2248</v>
      </c>
      <c r="G1699" s="25" t="s">
        <v>2557</v>
      </c>
    </row>
    <row r="1700" spans="1:11" ht="18" hidden="1" customHeight="1" outlineLevel="2" x14ac:dyDescent="0.2">
      <c r="A1700" s="25"/>
      <c r="B1700" s="25"/>
      <c r="C1700" s="25" t="s">
        <v>2551</v>
      </c>
      <c r="D1700" s="25" t="s">
        <v>2558</v>
      </c>
      <c r="E1700" s="25"/>
      <c r="F1700" s="25" t="s">
        <v>2248</v>
      </c>
      <c r="G1700" s="25" t="s">
        <v>2559</v>
      </c>
    </row>
    <row r="1701" spans="1:11" ht="18" hidden="1" customHeight="1" outlineLevel="2" x14ac:dyDescent="0.2">
      <c r="A1701" s="25"/>
      <c r="B1701" s="25"/>
      <c r="C1701" s="25"/>
      <c r="D1701" s="25"/>
      <c r="E1701" s="25"/>
      <c r="F1701" s="25"/>
      <c r="G1701" s="25"/>
    </row>
    <row r="1702" spans="1:11" customFormat="1" ht="18" hidden="1" customHeight="1" outlineLevel="1" x14ac:dyDescent="0.25">
      <c r="A1702" s="119" t="s">
        <v>3861</v>
      </c>
      <c r="B1702" s="120"/>
      <c r="C1702" s="120"/>
      <c r="D1702" s="120" t="s">
        <v>148</v>
      </c>
      <c r="E1702" s="120"/>
      <c r="F1702" s="120"/>
      <c r="G1702" s="120"/>
      <c r="H1702" s="120"/>
      <c r="J1702" s="9"/>
      <c r="K1702" s="9"/>
    </row>
    <row r="1703" spans="1:11" ht="18" hidden="1" customHeight="1" outlineLevel="2" x14ac:dyDescent="0.2">
      <c r="A1703" s="25"/>
      <c r="B1703" s="25" t="s">
        <v>3459</v>
      </c>
      <c r="C1703" s="25" t="s">
        <v>2560</v>
      </c>
      <c r="D1703" s="25" t="s">
        <v>2561</v>
      </c>
      <c r="E1703" s="25" t="s">
        <v>2562</v>
      </c>
      <c r="F1703" s="25" t="s">
        <v>2248</v>
      </c>
      <c r="G1703" s="25" t="s">
        <v>3065</v>
      </c>
      <c r="H1703" s="25" t="s">
        <v>1872</v>
      </c>
    </row>
    <row r="1704" spans="1:11" ht="18" hidden="1" customHeight="1" outlineLevel="2" x14ac:dyDescent="0.2">
      <c r="A1704" s="25"/>
      <c r="B1704" s="25" t="s">
        <v>3459</v>
      </c>
      <c r="C1704" s="25" t="s">
        <v>2560</v>
      </c>
      <c r="D1704" s="25" t="s">
        <v>2561</v>
      </c>
      <c r="E1704" s="25" t="s">
        <v>2563</v>
      </c>
      <c r="F1704" s="25" t="s">
        <v>1348</v>
      </c>
      <c r="G1704" s="25"/>
    </row>
    <row r="1705" spans="1:11" ht="18" hidden="1" customHeight="1" outlineLevel="2" x14ac:dyDescent="0.2">
      <c r="A1705" s="25"/>
      <c r="B1705" s="25"/>
      <c r="C1705" s="25" t="s">
        <v>2564</v>
      </c>
      <c r="D1705" s="25" t="s">
        <v>2565</v>
      </c>
      <c r="E1705" s="25" t="s">
        <v>2566</v>
      </c>
      <c r="F1705" s="25" t="s">
        <v>2567</v>
      </c>
      <c r="G1705" s="25" t="s">
        <v>2568</v>
      </c>
      <c r="H1705" s="25" t="s">
        <v>673</v>
      </c>
    </row>
    <row r="1706" spans="1:11" ht="18" hidden="1" customHeight="1" outlineLevel="2" x14ac:dyDescent="0.2">
      <c r="A1706" s="25"/>
      <c r="B1706" s="25"/>
      <c r="C1706" s="59" t="s">
        <v>2569</v>
      </c>
      <c r="D1706" s="25"/>
      <c r="E1706" s="25" t="s">
        <v>2570</v>
      </c>
      <c r="F1706" s="25" t="s">
        <v>1348</v>
      </c>
      <c r="G1706" s="25" t="s">
        <v>547</v>
      </c>
    </row>
    <row r="1707" spans="1:11" ht="18" hidden="1" customHeight="1" outlineLevel="2" x14ac:dyDescent="0.2">
      <c r="A1707" s="25"/>
      <c r="B1707" s="25"/>
      <c r="C1707" s="25"/>
      <c r="D1707" s="25"/>
      <c r="E1707" s="25"/>
      <c r="F1707" s="25"/>
      <c r="G1707" s="25"/>
    </row>
    <row r="1708" spans="1:11" customFormat="1" ht="18" hidden="1" customHeight="1" outlineLevel="1" collapsed="1" x14ac:dyDescent="0.25">
      <c r="A1708" s="119" t="s">
        <v>46</v>
      </c>
      <c r="B1708" s="120"/>
      <c r="C1708" s="120"/>
      <c r="D1708" s="120" t="s">
        <v>148</v>
      </c>
      <c r="E1708" s="120"/>
      <c r="F1708" s="120"/>
      <c r="G1708" s="120"/>
      <c r="H1708" s="120"/>
      <c r="J1708" s="9"/>
      <c r="K1708" s="9"/>
    </row>
    <row r="1709" spans="1:11" ht="18" hidden="1" customHeight="1" outlineLevel="1" x14ac:dyDescent="0.2">
      <c r="A1709" s="25"/>
      <c r="B1709" s="25" t="s">
        <v>352</v>
      </c>
      <c r="C1709" s="25" t="s">
        <v>2257</v>
      </c>
      <c r="D1709" s="25"/>
      <c r="E1709" s="25"/>
      <c r="F1709" s="25"/>
      <c r="G1709" s="25" t="s">
        <v>2258</v>
      </c>
    </row>
    <row r="1710" spans="1:11" ht="18" hidden="1" customHeight="1" outlineLevel="1" x14ac:dyDescent="0.2">
      <c r="A1710" s="25"/>
      <c r="B1710" s="25"/>
      <c r="C1710" s="25"/>
      <c r="D1710" s="25"/>
      <c r="E1710" s="25"/>
      <c r="F1710" s="25"/>
      <c r="G1710" s="25"/>
    </row>
    <row r="1711" spans="1:11" customFormat="1" ht="18" customHeight="1" collapsed="1" x14ac:dyDescent="0.25">
      <c r="A1711" s="127" t="s">
        <v>4201</v>
      </c>
      <c r="B1711" s="128" t="s">
        <v>3440</v>
      </c>
      <c r="C1711" s="128"/>
      <c r="D1711" s="128"/>
      <c r="E1711" s="128"/>
      <c r="F1711" s="128"/>
      <c r="G1711" s="128"/>
      <c r="H1711" s="128"/>
      <c r="J1711" s="9"/>
      <c r="K1711" s="9"/>
    </row>
    <row r="1712" spans="1:11" customFormat="1" ht="18" hidden="1" customHeight="1" outlineLevel="1" x14ac:dyDescent="0.25">
      <c r="A1712" s="119" t="s">
        <v>121</v>
      </c>
      <c r="B1712" s="120"/>
      <c r="C1712" s="120"/>
      <c r="D1712" s="120"/>
      <c r="E1712" s="120"/>
      <c r="F1712" s="120"/>
      <c r="G1712" s="120"/>
      <c r="H1712" s="120"/>
      <c r="J1712" s="9"/>
      <c r="K1712" s="9"/>
    </row>
    <row r="1713" spans="1:11" ht="18" hidden="1" customHeight="1" outlineLevel="2" x14ac:dyDescent="0.25">
      <c r="A1713" s="25"/>
      <c r="B1713" s="25" t="s">
        <v>352</v>
      </c>
      <c r="C1713" s="25" t="s">
        <v>2408</v>
      </c>
      <c r="D1713" s="25"/>
      <c r="E1713" s="25" t="s">
        <v>2409</v>
      </c>
      <c r="F1713" s="25" t="s">
        <v>2410</v>
      </c>
      <c r="G1713" s="25"/>
      <c r="J1713"/>
      <c r="K1713"/>
    </row>
    <row r="1714" spans="1:11" ht="18" hidden="1" customHeight="1" outlineLevel="2" x14ac:dyDescent="0.25">
      <c r="A1714" s="25"/>
      <c r="B1714" s="25" t="s">
        <v>3441</v>
      </c>
      <c r="C1714" s="25" t="s">
        <v>2411</v>
      </c>
      <c r="D1714" s="25" t="s">
        <v>2412</v>
      </c>
      <c r="E1714" s="25"/>
      <c r="F1714" s="25"/>
      <c r="G1714" s="25"/>
      <c r="J1714"/>
      <c r="K1714"/>
    </row>
    <row r="1715" spans="1:11" ht="18" hidden="1" customHeight="1" outlineLevel="2" x14ac:dyDescent="0.25">
      <c r="A1715" s="25"/>
      <c r="B1715" s="25" t="s">
        <v>352</v>
      </c>
      <c r="C1715" s="25" t="s">
        <v>2411</v>
      </c>
      <c r="D1715" s="25" t="s">
        <v>2413</v>
      </c>
      <c r="E1715" s="25"/>
      <c r="F1715" s="25" t="s">
        <v>2142</v>
      </c>
      <c r="G1715" s="25"/>
      <c r="J1715"/>
      <c r="K1715"/>
    </row>
    <row r="1716" spans="1:11" ht="18" hidden="1" customHeight="1" outlineLevel="2" x14ac:dyDescent="0.25">
      <c r="A1716" s="25"/>
      <c r="B1716" s="25" t="s">
        <v>352</v>
      </c>
      <c r="C1716" s="25" t="s">
        <v>2411</v>
      </c>
      <c r="D1716" s="25" t="s">
        <v>2414</v>
      </c>
      <c r="E1716" s="25"/>
      <c r="F1716" s="25" t="s">
        <v>2142</v>
      </c>
      <c r="G1716" s="25"/>
      <c r="J1716"/>
      <c r="K1716"/>
    </row>
    <row r="1717" spans="1:11" ht="18" hidden="1" customHeight="1" outlineLevel="2" x14ac:dyDescent="0.25">
      <c r="A1717" s="25"/>
      <c r="B1717" s="25" t="s">
        <v>2417</v>
      </c>
      <c r="C1717" s="25" t="s">
        <v>2415</v>
      </c>
      <c r="D1717" s="25" t="s">
        <v>2416</v>
      </c>
      <c r="E1717" s="25" t="s">
        <v>2417</v>
      </c>
      <c r="F1717" s="25" t="s">
        <v>2142</v>
      </c>
      <c r="G1717" s="25"/>
      <c r="J1717"/>
      <c r="K1717"/>
    </row>
    <row r="1718" spans="1:11" ht="18" hidden="1" customHeight="1" outlineLevel="2" x14ac:dyDescent="0.25">
      <c r="A1718" s="25"/>
      <c r="B1718" s="25"/>
      <c r="C1718" s="25"/>
      <c r="D1718" s="25"/>
      <c r="E1718" s="25"/>
      <c r="F1718" s="25"/>
      <c r="G1718" s="25"/>
      <c r="J1718"/>
      <c r="K1718"/>
    </row>
    <row r="1719" spans="1:11" customFormat="1" ht="18" hidden="1" customHeight="1" outlineLevel="1" x14ac:dyDescent="0.25">
      <c r="A1719" s="119" t="s">
        <v>122</v>
      </c>
      <c r="B1719" s="120"/>
      <c r="C1719" s="120"/>
      <c r="D1719" s="120"/>
      <c r="E1719" s="120"/>
      <c r="F1719" s="120"/>
      <c r="G1719" s="120"/>
      <c r="H1719" s="120"/>
    </row>
    <row r="1720" spans="1:11" ht="18" hidden="1" customHeight="1" outlineLevel="2" x14ac:dyDescent="0.25">
      <c r="A1720" s="25"/>
      <c r="B1720" s="25" t="s">
        <v>2420</v>
      </c>
      <c r="C1720" s="25" t="s">
        <v>2418</v>
      </c>
      <c r="D1720" s="25" t="s">
        <v>2419</v>
      </c>
      <c r="E1720" s="25" t="s">
        <v>2420</v>
      </c>
      <c r="F1720" s="25" t="s">
        <v>2421</v>
      </c>
      <c r="G1720" s="25" t="s">
        <v>2422</v>
      </c>
      <c r="H1720" s="25" t="s">
        <v>674</v>
      </c>
      <c r="J1720"/>
    </row>
    <row r="1721" spans="1:11" ht="18" hidden="1" customHeight="1" outlineLevel="2" x14ac:dyDescent="0.25">
      <c r="A1721" s="25"/>
      <c r="B1721" s="25" t="s">
        <v>352</v>
      </c>
      <c r="C1721" s="25" t="s">
        <v>2418</v>
      </c>
      <c r="D1721" s="25" t="s">
        <v>2423</v>
      </c>
      <c r="E1721" s="25" t="s">
        <v>2424</v>
      </c>
      <c r="F1721" s="25" t="s">
        <v>2142</v>
      </c>
      <c r="G1721" s="25" t="s">
        <v>2425</v>
      </c>
      <c r="H1721" s="25" t="s">
        <v>674</v>
      </c>
      <c r="J1721"/>
    </row>
    <row r="1722" spans="1:11" ht="18" hidden="1" customHeight="1" outlineLevel="2" x14ac:dyDescent="0.25">
      <c r="A1722" s="25"/>
      <c r="B1722" s="25" t="s">
        <v>352</v>
      </c>
      <c r="C1722" s="25" t="s">
        <v>2426</v>
      </c>
      <c r="D1722" s="25" t="s">
        <v>2427</v>
      </c>
      <c r="E1722" s="25" t="s">
        <v>2428</v>
      </c>
      <c r="F1722" s="25" t="s">
        <v>2142</v>
      </c>
      <c r="G1722" s="25" t="s">
        <v>2429</v>
      </c>
      <c r="H1722" s="25" t="s">
        <v>674</v>
      </c>
      <c r="J1722"/>
    </row>
    <row r="1723" spans="1:11" ht="18" hidden="1" customHeight="1" outlineLevel="2" x14ac:dyDescent="0.25">
      <c r="A1723" s="25"/>
      <c r="B1723" s="25" t="s">
        <v>2431</v>
      </c>
      <c r="C1723" s="25" t="s">
        <v>2430</v>
      </c>
      <c r="D1723" s="25" t="s">
        <v>2419</v>
      </c>
      <c r="E1723" s="25" t="s">
        <v>2431</v>
      </c>
      <c r="F1723" s="25" t="s">
        <v>2421</v>
      </c>
      <c r="G1723" s="25" t="s">
        <v>2432</v>
      </c>
      <c r="H1723" s="25" t="s">
        <v>674</v>
      </c>
      <c r="J1723"/>
    </row>
    <row r="1724" spans="1:11" ht="18" hidden="1" customHeight="1" outlineLevel="2" x14ac:dyDescent="0.25">
      <c r="A1724" s="25"/>
      <c r="B1724" s="25" t="s">
        <v>352</v>
      </c>
      <c r="C1724" s="25" t="s">
        <v>2430</v>
      </c>
      <c r="D1724" s="25" t="s">
        <v>2433</v>
      </c>
      <c r="E1724" s="25" t="s">
        <v>2434</v>
      </c>
      <c r="F1724" s="25" t="s">
        <v>2142</v>
      </c>
      <c r="G1724" s="25" t="s">
        <v>2435</v>
      </c>
      <c r="H1724" s="25" t="s">
        <v>674</v>
      </c>
      <c r="J1724"/>
    </row>
    <row r="1725" spans="1:11" ht="18" hidden="1" customHeight="1" outlineLevel="2" x14ac:dyDescent="0.25">
      <c r="A1725" s="25"/>
      <c r="B1725" s="25" t="s">
        <v>2437</v>
      </c>
      <c r="C1725" s="25" t="s">
        <v>2436</v>
      </c>
      <c r="D1725" s="25" t="s">
        <v>2419</v>
      </c>
      <c r="E1725" s="25" t="s">
        <v>2437</v>
      </c>
      <c r="F1725" s="25" t="s">
        <v>2421</v>
      </c>
      <c r="G1725" s="25" t="s">
        <v>2438</v>
      </c>
      <c r="H1725" s="25" t="s">
        <v>674</v>
      </c>
      <c r="J1725"/>
    </row>
    <row r="1726" spans="1:11" ht="18" hidden="1" customHeight="1" outlineLevel="2" x14ac:dyDescent="0.25">
      <c r="A1726" s="25"/>
      <c r="B1726" s="25" t="s">
        <v>352</v>
      </c>
      <c r="C1726" s="65" t="s">
        <v>3884</v>
      </c>
      <c r="D1726" s="25" t="s">
        <v>2439</v>
      </c>
      <c r="E1726" s="25" t="s">
        <v>2440</v>
      </c>
      <c r="F1726" s="25" t="s">
        <v>2142</v>
      </c>
      <c r="G1726" s="25" t="s">
        <v>2441</v>
      </c>
      <c r="H1726" s="25" t="s">
        <v>674</v>
      </c>
      <c r="J1726"/>
    </row>
    <row r="1727" spans="1:11" ht="18" hidden="1" customHeight="1" outlineLevel="2" x14ac:dyDescent="0.25">
      <c r="A1727" s="25"/>
      <c r="B1727" s="25" t="s">
        <v>3442</v>
      </c>
      <c r="C1727" s="25" t="s">
        <v>2442</v>
      </c>
      <c r="D1727" s="25" t="s">
        <v>2443</v>
      </c>
      <c r="E1727" s="25"/>
      <c r="F1727" s="25"/>
      <c r="G1727" s="25"/>
      <c r="H1727" s="25" t="s">
        <v>674</v>
      </c>
      <c r="J1727"/>
    </row>
    <row r="1728" spans="1:11" ht="18" hidden="1" customHeight="1" outlineLevel="2" x14ac:dyDescent="0.25">
      <c r="A1728" s="25"/>
      <c r="B1728" s="25"/>
      <c r="C1728" s="25"/>
      <c r="D1728" s="25"/>
      <c r="E1728" s="25"/>
      <c r="F1728" s="25"/>
      <c r="G1728" s="25"/>
      <c r="J1728"/>
    </row>
    <row r="1729" spans="1:11" customFormat="1" ht="18" hidden="1" customHeight="1" outlineLevel="1" x14ac:dyDescent="0.25">
      <c r="A1729" s="119" t="s">
        <v>123</v>
      </c>
      <c r="B1729" s="120"/>
      <c r="C1729" s="120"/>
      <c r="D1729" s="120"/>
      <c r="E1729" s="120"/>
      <c r="F1729" s="120"/>
      <c r="G1729" s="120"/>
      <c r="H1729" s="120"/>
      <c r="K1729" s="9"/>
    </row>
    <row r="1730" spans="1:11" ht="18" hidden="1" customHeight="1" outlineLevel="2" x14ac:dyDescent="0.25">
      <c r="A1730" s="25"/>
      <c r="B1730" s="25" t="s">
        <v>352</v>
      </c>
      <c r="C1730" s="25" t="s">
        <v>3883</v>
      </c>
      <c r="D1730" s="25" t="s">
        <v>2444</v>
      </c>
      <c r="E1730" s="25"/>
      <c r="F1730" s="25" t="s">
        <v>1348</v>
      </c>
      <c r="G1730" s="25" t="s">
        <v>2445</v>
      </c>
      <c r="H1730" s="25" t="s">
        <v>674</v>
      </c>
      <c r="J1730"/>
    </row>
    <row r="1731" spans="1:11" ht="18" hidden="1" customHeight="1" outlineLevel="2" x14ac:dyDescent="0.25">
      <c r="A1731" s="25"/>
      <c r="B1731" s="25" t="s">
        <v>352</v>
      </c>
      <c r="C1731" s="25" t="s">
        <v>3883</v>
      </c>
      <c r="D1731" s="25" t="s">
        <v>2446</v>
      </c>
      <c r="E1731" s="25"/>
      <c r="F1731" s="25" t="s">
        <v>1348</v>
      </c>
      <c r="G1731" s="25" t="s">
        <v>2447</v>
      </c>
      <c r="H1731" s="25" t="s">
        <v>674</v>
      </c>
      <c r="J1731"/>
    </row>
    <row r="1732" spans="1:11" ht="18" hidden="1" customHeight="1" outlineLevel="2" x14ac:dyDescent="0.25">
      <c r="A1732" s="25"/>
      <c r="B1732" s="25" t="s">
        <v>352</v>
      </c>
      <c r="C1732" s="25" t="s">
        <v>3883</v>
      </c>
      <c r="D1732" s="25" t="s">
        <v>2448</v>
      </c>
      <c r="E1732" s="25"/>
      <c r="F1732" s="25"/>
      <c r="G1732" s="25" t="s">
        <v>3880</v>
      </c>
      <c r="H1732" s="25" t="s">
        <v>674</v>
      </c>
      <c r="J1732"/>
    </row>
    <row r="1733" spans="1:11" ht="18" hidden="1" customHeight="1" outlineLevel="2" x14ac:dyDescent="0.25">
      <c r="A1733" s="25"/>
      <c r="B1733" s="25" t="s">
        <v>352</v>
      </c>
      <c r="C1733" s="25" t="s">
        <v>3883</v>
      </c>
      <c r="D1733" s="25" t="s">
        <v>2449</v>
      </c>
      <c r="E1733" s="25"/>
      <c r="F1733" s="25" t="s">
        <v>1348</v>
      </c>
      <c r="G1733" s="25" t="s">
        <v>3881</v>
      </c>
      <c r="H1733" s="25" t="s">
        <v>674</v>
      </c>
      <c r="J1733"/>
    </row>
    <row r="1734" spans="1:11" ht="18" hidden="1" customHeight="1" outlineLevel="2" x14ac:dyDescent="0.25">
      <c r="A1734" s="25"/>
      <c r="B1734" s="25" t="s">
        <v>352</v>
      </c>
      <c r="C1734" s="25" t="s">
        <v>3883</v>
      </c>
      <c r="D1734" s="25" t="s">
        <v>2450</v>
      </c>
      <c r="E1734" s="25"/>
      <c r="F1734" s="25" t="s">
        <v>1348</v>
      </c>
      <c r="G1734" s="25" t="s">
        <v>3882</v>
      </c>
      <c r="H1734" s="25" t="s">
        <v>674</v>
      </c>
      <c r="J1734"/>
    </row>
    <row r="1735" spans="1:11" ht="18" hidden="1" customHeight="1" outlineLevel="2" x14ac:dyDescent="0.25">
      <c r="A1735" s="25"/>
      <c r="B1735" s="25" t="s">
        <v>3443</v>
      </c>
      <c r="C1735" s="25" t="s">
        <v>2451</v>
      </c>
      <c r="D1735" s="25" t="s">
        <v>2179</v>
      </c>
      <c r="E1735" s="25"/>
      <c r="F1735" s="25"/>
      <c r="G1735" s="25"/>
      <c r="H1735" s="25" t="s">
        <v>674</v>
      </c>
      <c r="J1735"/>
    </row>
    <row r="1736" spans="1:11" ht="18" hidden="1" customHeight="1" outlineLevel="2" x14ac:dyDescent="0.25">
      <c r="A1736" s="25"/>
      <c r="B1736" s="25" t="s">
        <v>3444</v>
      </c>
      <c r="C1736" s="25" t="s">
        <v>2451</v>
      </c>
      <c r="D1736" s="25" t="s">
        <v>2452</v>
      </c>
      <c r="E1736" s="25"/>
      <c r="F1736" s="25"/>
      <c r="G1736" s="25"/>
      <c r="H1736" s="25" t="s">
        <v>674</v>
      </c>
      <c r="J1736"/>
    </row>
    <row r="1737" spans="1:11" ht="18" hidden="1" customHeight="1" outlineLevel="2" x14ac:dyDescent="0.25">
      <c r="A1737" s="25"/>
      <c r="B1737" s="25" t="s">
        <v>3445</v>
      </c>
      <c r="C1737" s="25" t="s">
        <v>2453</v>
      </c>
      <c r="D1737" s="25" t="s">
        <v>2407</v>
      </c>
      <c r="E1737" s="25"/>
      <c r="F1737" s="25" t="s">
        <v>1348</v>
      </c>
      <c r="G1737" s="25" t="s">
        <v>2179</v>
      </c>
      <c r="H1737" s="25" t="s">
        <v>405</v>
      </c>
      <c r="J1737"/>
    </row>
    <row r="1738" spans="1:11" ht="18" hidden="1" customHeight="1" outlineLevel="2" x14ac:dyDescent="0.25">
      <c r="A1738" s="25"/>
      <c r="B1738" s="25"/>
      <c r="C1738" s="25"/>
      <c r="D1738" s="25"/>
      <c r="E1738" s="25"/>
      <c r="F1738" s="25"/>
      <c r="G1738" s="25"/>
      <c r="J1738"/>
    </row>
    <row r="1739" spans="1:11" customFormat="1" ht="18" hidden="1" customHeight="1" outlineLevel="1" x14ac:dyDescent="0.25">
      <c r="A1739" s="119" t="s">
        <v>124</v>
      </c>
      <c r="B1739" s="120"/>
      <c r="C1739" s="120"/>
      <c r="D1739" s="120"/>
      <c r="E1739" s="120"/>
      <c r="F1739" s="120"/>
      <c r="G1739" s="120"/>
      <c r="H1739" s="120"/>
      <c r="J1739" s="9"/>
      <c r="K1739" s="9"/>
    </row>
    <row r="1740" spans="1:11" ht="18" hidden="1" customHeight="1" outlineLevel="2" x14ac:dyDescent="0.2">
      <c r="A1740" s="25"/>
      <c r="B1740" s="25" t="s">
        <v>3446</v>
      </c>
      <c r="C1740" s="25" t="s">
        <v>2454</v>
      </c>
      <c r="D1740" s="25" t="s">
        <v>2455</v>
      </c>
      <c r="E1740" s="25"/>
      <c r="F1740" s="25"/>
      <c r="G1740" s="25"/>
      <c r="H1740" s="25" t="s">
        <v>674</v>
      </c>
    </row>
    <row r="1741" spans="1:11" ht="18" hidden="1" customHeight="1" outlineLevel="2" x14ac:dyDescent="0.2">
      <c r="A1741" s="25"/>
      <c r="B1741" s="25" t="s">
        <v>3447</v>
      </c>
      <c r="C1741" s="25" t="s">
        <v>2454</v>
      </c>
      <c r="D1741" s="25" t="s">
        <v>2456</v>
      </c>
      <c r="E1741" s="25"/>
      <c r="F1741" s="25"/>
      <c r="G1741" s="25"/>
      <c r="H1741" s="25" t="s">
        <v>674</v>
      </c>
    </row>
    <row r="1742" spans="1:11" ht="18" hidden="1" customHeight="1" outlineLevel="2" x14ac:dyDescent="0.2">
      <c r="A1742" s="25"/>
      <c r="B1742" s="25" t="s">
        <v>3448</v>
      </c>
      <c r="C1742" s="25" t="s">
        <v>2454</v>
      </c>
      <c r="D1742" s="25" t="s">
        <v>2457</v>
      </c>
      <c r="E1742" s="25"/>
      <c r="F1742" s="25"/>
      <c r="G1742" s="25"/>
      <c r="H1742" s="25" t="s">
        <v>674</v>
      </c>
    </row>
    <row r="1743" spans="1:11" ht="18" hidden="1" customHeight="1" outlineLevel="2" x14ac:dyDescent="0.2">
      <c r="A1743" s="25"/>
      <c r="B1743" s="25" t="s">
        <v>3449</v>
      </c>
      <c r="C1743" s="25" t="s">
        <v>2454</v>
      </c>
      <c r="D1743" s="25" t="s">
        <v>2458</v>
      </c>
      <c r="E1743" s="25"/>
      <c r="F1743" s="25"/>
      <c r="G1743" s="25"/>
      <c r="H1743" s="25" t="s">
        <v>674</v>
      </c>
    </row>
    <row r="1744" spans="1:11" ht="18" hidden="1" customHeight="1" outlineLevel="2" x14ac:dyDescent="0.2">
      <c r="A1744" s="25"/>
      <c r="B1744" s="25"/>
      <c r="C1744" s="25"/>
      <c r="D1744" s="25"/>
      <c r="E1744" s="25"/>
      <c r="F1744" s="25"/>
      <c r="G1744" s="25"/>
    </row>
    <row r="1745" spans="1:11" customFormat="1" ht="18" hidden="1" customHeight="1" outlineLevel="1" x14ac:dyDescent="0.25">
      <c r="A1745" s="119" t="s">
        <v>127</v>
      </c>
      <c r="B1745" s="120"/>
      <c r="C1745" s="120"/>
      <c r="D1745" s="120"/>
      <c r="E1745" s="120"/>
      <c r="F1745" s="120"/>
      <c r="G1745" s="120"/>
      <c r="H1745" s="120"/>
      <c r="J1745" s="9"/>
      <c r="K1745" s="9"/>
    </row>
    <row r="1746" spans="1:11" ht="18" hidden="1" customHeight="1" outlineLevel="2" x14ac:dyDescent="0.2">
      <c r="A1746" s="25"/>
      <c r="B1746" s="25" t="s">
        <v>3450</v>
      </c>
      <c r="C1746" s="25" t="s">
        <v>2511</v>
      </c>
      <c r="D1746" s="25" t="s">
        <v>2512</v>
      </c>
      <c r="E1746" s="25"/>
      <c r="F1746" s="25" t="s">
        <v>2142</v>
      </c>
      <c r="G1746" s="25" t="s">
        <v>3886</v>
      </c>
      <c r="H1746" s="25" t="s">
        <v>674</v>
      </c>
    </row>
    <row r="1747" spans="1:11" ht="18" hidden="1" customHeight="1" outlineLevel="2" x14ac:dyDescent="0.2">
      <c r="A1747" s="25"/>
      <c r="B1747" s="25" t="s">
        <v>3451</v>
      </c>
      <c r="C1747" s="25" t="s">
        <v>2511</v>
      </c>
      <c r="D1747" s="25" t="s">
        <v>2513</v>
      </c>
      <c r="E1747" s="25"/>
      <c r="F1747" s="25" t="s">
        <v>2142</v>
      </c>
      <c r="G1747" s="25" t="s">
        <v>3885</v>
      </c>
      <c r="H1747" s="25" t="s">
        <v>674</v>
      </c>
    </row>
    <row r="1748" spans="1:11" ht="18" hidden="1" customHeight="1" outlineLevel="2" x14ac:dyDescent="0.2">
      <c r="A1748" s="25"/>
      <c r="B1748" s="25" t="s">
        <v>547</v>
      </c>
      <c r="C1748" s="25" t="s">
        <v>2511</v>
      </c>
      <c r="D1748" s="25" t="s">
        <v>2514</v>
      </c>
      <c r="E1748" s="25" t="s">
        <v>2515</v>
      </c>
      <c r="F1748" s="25" t="s">
        <v>2460</v>
      </c>
      <c r="G1748" s="25" t="s">
        <v>2516</v>
      </c>
      <c r="H1748" s="25" t="s">
        <v>674</v>
      </c>
    </row>
    <row r="1749" spans="1:11" ht="18" hidden="1" customHeight="1" outlineLevel="2" x14ac:dyDescent="0.25">
      <c r="A1749" s="25"/>
      <c r="B1749" s="25"/>
      <c r="C1749" s="25"/>
      <c r="D1749" s="25"/>
      <c r="E1749" s="25"/>
      <c r="F1749" s="25"/>
      <c r="G1749" s="25"/>
      <c r="I1749"/>
      <c r="J1749"/>
      <c r="K1749"/>
    </row>
    <row r="1750" spans="1:11" customFormat="1" ht="18" hidden="1" customHeight="1" outlineLevel="1" collapsed="1" x14ac:dyDescent="0.25">
      <c r="A1750" s="119" t="s">
        <v>128</v>
      </c>
      <c r="B1750" s="120"/>
      <c r="C1750" s="120"/>
      <c r="D1750" s="120"/>
      <c r="E1750" s="120"/>
      <c r="F1750" s="120"/>
      <c r="G1750" s="120"/>
      <c r="H1750" s="120"/>
    </row>
    <row r="1751" spans="1:11" ht="18" hidden="1" customHeight="1" outlineLevel="3" x14ac:dyDescent="0.25">
      <c r="A1751" s="25"/>
      <c r="B1751" s="25" t="s">
        <v>2519</v>
      </c>
      <c r="C1751" s="25" t="s">
        <v>2517</v>
      </c>
      <c r="D1751" s="25" t="s">
        <v>2518</v>
      </c>
      <c r="E1751" s="25" t="s">
        <v>2519</v>
      </c>
      <c r="F1751" s="25" t="s">
        <v>2142</v>
      </c>
      <c r="G1751" s="76" t="s">
        <v>3888</v>
      </c>
      <c r="H1751" s="25" t="s">
        <v>547</v>
      </c>
      <c r="I1751"/>
      <c r="J1751"/>
      <c r="K1751"/>
    </row>
    <row r="1752" spans="1:11" ht="18" hidden="1" customHeight="1" outlineLevel="3" x14ac:dyDescent="0.25">
      <c r="A1752" s="25"/>
      <c r="B1752" s="25" t="s">
        <v>2520</v>
      </c>
      <c r="C1752" s="25" t="s">
        <v>2517</v>
      </c>
      <c r="D1752" s="25" t="s">
        <v>2518</v>
      </c>
      <c r="E1752" s="25" t="s">
        <v>2520</v>
      </c>
      <c r="F1752" s="25" t="s">
        <v>2142</v>
      </c>
      <c r="G1752" s="76" t="s">
        <v>3889</v>
      </c>
      <c r="H1752" s="25" t="s">
        <v>547</v>
      </c>
      <c r="I1752"/>
      <c r="J1752"/>
      <c r="K1752"/>
    </row>
    <row r="1753" spans="1:11" ht="18" hidden="1" customHeight="1" outlineLevel="3" x14ac:dyDescent="0.25">
      <c r="A1753" s="25"/>
      <c r="B1753" s="25" t="s">
        <v>2522</v>
      </c>
      <c r="C1753" s="25" t="s">
        <v>2517</v>
      </c>
      <c r="D1753" s="25" t="s">
        <v>2521</v>
      </c>
      <c r="E1753" s="25" t="s">
        <v>2522</v>
      </c>
      <c r="F1753" s="25" t="s">
        <v>2142</v>
      </c>
      <c r="G1753" s="76" t="s">
        <v>3890</v>
      </c>
      <c r="H1753" s="25" t="s">
        <v>547</v>
      </c>
      <c r="I1753"/>
      <c r="J1753"/>
      <c r="K1753"/>
    </row>
    <row r="1754" spans="1:11" ht="18" hidden="1" customHeight="1" outlineLevel="3" x14ac:dyDescent="0.25">
      <c r="A1754" s="25"/>
      <c r="B1754" s="25" t="s">
        <v>2525</v>
      </c>
      <c r="C1754" s="25" t="s">
        <v>2523</v>
      </c>
      <c r="D1754" s="25" t="s">
        <v>2524</v>
      </c>
      <c r="E1754" s="25" t="s">
        <v>2525</v>
      </c>
      <c r="F1754" s="25" t="s">
        <v>2142</v>
      </c>
      <c r="G1754" s="25" t="s">
        <v>56</v>
      </c>
      <c r="H1754" s="25" t="s">
        <v>547</v>
      </c>
      <c r="I1754"/>
      <c r="J1754"/>
      <c r="K1754"/>
    </row>
    <row r="1755" spans="1:11" ht="18" hidden="1" customHeight="1" outlineLevel="3" x14ac:dyDescent="0.25">
      <c r="A1755" s="25"/>
      <c r="B1755" s="25" t="s">
        <v>3392</v>
      </c>
      <c r="C1755" s="25" t="s">
        <v>110</v>
      </c>
      <c r="D1755" s="25" t="s">
        <v>2179</v>
      </c>
      <c r="E1755" s="25"/>
      <c r="F1755" s="25"/>
      <c r="G1755" s="25" t="s">
        <v>2180</v>
      </c>
      <c r="I1755"/>
      <c r="J1755"/>
      <c r="K1755"/>
    </row>
    <row r="1756" spans="1:11" ht="18" hidden="1" customHeight="1" outlineLevel="3" x14ac:dyDescent="0.25">
      <c r="A1756" s="25"/>
      <c r="B1756" s="25" t="s">
        <v>352</v>
      </c>
      <c r="C1756" s="25" t="s">
        <v>2517</v>
      </c>
      <c r="D1756" s="25" t="s">
        <v>2526</v>
      </c>
      <c r="E1756" s="25" t="s">
        <v>2527</v>
      </c>
      <c r="F1756" s="25" t="s">
        <v>2528</v>
      </c>
      <c r="G1756" s="25" t="s">
        <v>3891</v>
      </c>
      <c r="H1756" s="25" t="s">
        <v>547</v>
      </c>
      <c r="I1756"/>
      <c r="J1756"/>
      <c r="K1756"/>
    </row>
    <row r="1757" spans="1:11" ht="18" hidden="1" customHeight="1" outlineLevel="3" x14ac:dyDescent="0.25">
      <c r="A1757" s="25"/>
      <c r="B1757" s="25" t="s">
        <v>352</v>
      </c>
      <c r="C1757" s="25" t="s">
        <v>2517</v>
      </c>
      <c r="D1757" s="25" t="s">
        <v>2529</v>
      </c>
      <c r="E1757" s="25" t="s">
        <v>2530</v>
      </c>
      <c r="F1757" s="25" t="s">
        <v>2528</v>
      </c>
      <c r="G1757" s="76" t="s">
        <v>3892</v>
      </c>
      <c r="H1757" s="25" t="s">
        <v>547</v>
      </c>
      <c r="I1757"/>
      <c r="J1757"/>
      <c r="K1757"/>
    </row>
    <row r="1758" spans="1:11" ht="18" hidden="1" customHeight="1" outlineLevel="3" x14ac:dyDescent="0.25">
      <c r="A1758" s="25"/>
      <c r="B1758" s="25"/>
      <c r="C1758" s="25"/>
      <c r="D1758" s="25"/>
      <c r="E1758" s="25"/>
      <c r="F1758" s="25"/>
      <c r="G1758" s="25"/>
      <c r="I1758"/>
      <c r="J1758"/>
      <c r="K1758"/>
    </row>
    <row r="1759" spans="1:11" ht="18" hidden="1" customHeight="1" outlineLevel="1" x14ac:dyDescent="0.2">
      <c r="A1759" s="119" t="s">
        <v>3727</v>
      </c>
      <c r="B1759" s="120" t="s">
        <v>3893</v>
      </c>
      <c r="C1759" s="120"/>
      <c r="D1759" s="120"/>
      <c r="E1759" s="120"/>
      <c r="F1759" s="120"/>
      <c r="G1759" s="120"/>
      <c r="H1759" s="120"/>
    </row>
    <row r="1760" spans="1:11" ht="18" hidden="1" customHeight="1" outlineLevel="2" x14ac:dyDescent="0.2">
      <c r="A1760" s="25"/>
      <c r="B1760" s="25" t="s">
        <v>3460</v>
      </c>
      <c r="C1760" s="59" t="s">
        <v>2571</v>
      </c>
      <c r="D1760" s="25" t="s">
        <v>2572</v>
      </c>
      <c r="E1760" s="25"/>
      <c r="F1760" s="25"/>
      <c r="G1760" s="25" t="s">
        <v>2573</v>
      </c>
    </row>
    <row r="1761" spans="1:8" ht="18" hidden="1" customHeight="1" outlineLevel="2" x14ac:dyDescent="0.2">
      <c r="A1761" s="25"/>
      <c r="B1761" s="25" t="s">
        <v>3461</v>
      </c>
      <c r="C1761" s="59" t="s">
        <v>2571</v>
      </c>
      <c r="D1761" s="25" t="s">
        <v>2574</v>
      </c>
      <c r="E1761" s="25"/>
      <c r="F1761" s="25"/>
      <c r="G1761" s="25" t="s">
        <v>2573</v>
      </c>
    </row>
    <row r="1762" spans="1:8" ht="18" hidden="1" customHeight="1" outlineLevel="2" x14ac:dyDescent="0.2">
      <c r="A1762" s="25"/>
      <c r="B1762" s="25" t="s">
        <v>3462</v>
      </c>
      <c r="C1762" s="59" t="s">
        <v>2571</v>
      </c>
      <c r="D1762" s="25" t="s">
        <v>2575</v>
      </c>
      <c r="E1762" s="25"/>
      <c r="F1762" s="25"/>
      <c r="G1762" s="25" t="s">
        <v>2573</v>
      </c>
    </row>
    <row r="1763" spans="1:8" ht="18" hidden="1" customHeight="1" outlineLevel="2" x14ac:dyDescent="0.2">
      <c r="A1763" s="25"/>
      <c r="B1763" s="25" t="s">
        <v>3463</v>
      </c>
      <c r="C1763" s="25" t="s">
        <v>2571</v>
      </c>
      <c r="D1763" s="25" t="s">
        <v>2576</v>
      </c>
      <c r="E1763" s="25"/>
      <c r="F1763" s="25"/>
      <c r="G1763" s="25" t="s">
        <v>2573</v>
      </c>
    </row>
    <row r="1764" spans="1:8" ht="18" hidden="1" customHeight="1" outlineLevel="2" x14ac:dyDescent="0.2">
      <c r="A1764" s="25"/>
      <c r="B1764" s="25" t="s">
        <v>3464</v>
      </c>
      <c r="C1764" s="25" t="s">
        <v>2571</v>
      </c>
      <c r="D1764" s="25" t="s">
        <v>2577</v>
      </c>
      <c r="E1764" s="25"/>
      <c r="F1764" s="25"/>
      <c r="G1764" s="25" t="s">
        <v>2573</v>
      </c>
    </row>
    <row r="1765" spans="1:8" ht="18" hidden="1" customHeight="1" outlineLevel="2" x14ac:dyDescent="0.2">
      <c r="A1765" s="25"/>
      <c r="B1765" s="25" t="s">
        <v>3465</v>
      </c>
      <c r="C1765" s="25" t="s">
        <v>2571</v>
      </c>
      <c r="D1765" s="25" t="s">
        <v>2578</v>
      </c>
      <c r="E1765" s="25"/>
      <c r="F1765" s="25"/>
      <c r="G1765" s="25" t="s">
        <v>2573</v>
      </c>
    </row>
    <row r="1766" spans="1:8" ht="18" hidden="1" customHeight="1" outlineLevel="2" x14ac:dyDescent="0.2">
      <c r="A1766" s="25"/>
      <c r="B1766" s="25"/>
      <c r="C1766" s="25"/>
      <c r="D1766" s="25"/>
      <c r="E1766" s="25"/>
      <c r="F1766" s="25"/>
      <c r="G1766" s="25"/>
    </row>
    <row r="1767" spans="1:8" ht="18" hidden="1" customHeight="1" outlineLevel="2" x14ac:dyDescent="0.2">
      <c r="A1767" s="25"/>
      <c r="B1767" s="25" t="s">
        <v>352</v>
      </c>
      <c r="C1767" s="25" t="s">
        <v>3887</v>
      </c>
      <c r="D1767" s="25"/>
      <c r="E1767" s="25" t="s">
        <v>2459</v>
      </c>
      <c r="F1767" s="25" t="s">
        <v>2460</v>
      </c>
      <c r="G1767" s="25"/>
    </row>
    <row r="1768" spans="1:8" ht="18" hidden="1" customHeight="1" outlineLevel="2" x14ac:dyDescent="0.2">
      <c r="A1768" s="25"/>
      <c r="B1768" s="25" t="s">
        <v>352</v>
      </c>
      <c r="C1768" s="25" t="s">
        <v>2461</v>
      </c>
      <c r="D1768" s="25"/>
      <c r="E1768" s="25" t="s">
        <v>2462</v>
      </c>
      <c r="F1768" s="25" t="s">
        <v>2460</v>
      </c>
      <c r="G1768" s="25" t="s">
        <v>2463</v>
      </c>
    </row>
    <row r="1769" spans="1:8" ht="18" hidden="1" customHeight="1" outlineLevel="2" x14ac:dyDescent="0.2">
      <c r="A1769" s="25"/>
      <c r="B1769" s="25" t="s">
        <v>352</v>
      </c>
      <c r="C1769" s="25" t="s">
        <v>3887</v>
      </c>
      <c r="D1769" s="25" t="s">
        <v>2464</v>
      </c>
      <c r="E1769" s="25" t="s">
        <v>2465</v>
      </c>
      <c r="F1769" s="25" t="s">
        <v>2466</v>
      </c>
      <c r="G1769" s="25"/>
      <c r="H1769" s="25" t="s">
        <v>674</v>
      </c>
    </row>
    <row r="1770" spans="1:8" ht="18" hidden="1" customHeight="1" outlineLevel="2" x14ac:dyDescent="0.2">
      <c r="A1770" s="25"/>
      <c r="B1770" s="25" t="s">
        <v>352</v>
      </c>
      <c r="C1770" s="25" t="s">
        <v>2461</v>
      </c>
      <c r="D1770" s="25"/>
      <c r="E1770" s="25" t="s">
        <v>2467</v>
      </c>
      <c r="F1770" s="25" t="s">
        <v>2466</v>
      </c>
      <c r="G1770" s="25" t="s">
        <v>2463</v>
      </c>
    </row>
    <row r="1771" spans="1:8" ht="18" hidden="1" customHeight="1" outlineLevel="2" x14ac:dyDescent="0.2">
      <c r="A1771" s="25"/>
      <c r="B1771" s="25" t="s">
        <v>352</v>
      </c>
      <c r="C1771" s="25" t="s">
        <v>2468</v>
      </c>
      <c r="D1771" s="25" t="s">
        <v>2469</v>
      </c>
      <c r="E1771" s="25"/>
      <c r="F1771" s="25" t="s">
        <v>2470</v>
      </c>
      <c r="G1771" s="25" t="s">
        <v>2471</v>
      </c>
    </row>
    <row r="1772" spans="1:8" ht="18" hidden="1" customHeight="1" outlineLevel="2" x14ac:dyDescent="0.2">
      <c r="A1772" s="25"/>
      <c r="B1772" s="25"/>
      <c r="C1772" s="25"/>
      <c r="D1772" s="25"/>
      <c r="E1772" s="25"/>
      <c r="F1772" s="25"/>
      <c r="G1772" s="25"/>
    </row>
    <row r="1773" spans="1:8" ht="18" customHeight="1" collapsed="1" x14ac:dyDescent="0.2">
      <c r="A1773" s="117" t="s">
        <v>3913</v>
      </c>
      <c r="B1773" s="118" t="s">
        <v>3472</v>
      </c>
      <c r="C1773" s="118"/>
      <c r="D1773" s="118"/>
      <c r="E1773" s="118"/>
      <c r="F1773" s="118"/>
      <c r="G1773" s="118"/>
      <c r="H1773" s="118"/>
    </row>
    <row r="1774" spans="1:8" ht="18" hidden="1" customHeight="1" outlineLevel="1" x14ac:dyDescent="0.2">
      <c r="A1774" s="119" t="s">
        <v>162</v>
      </c>
      <c r="B1774" s="120"/>
      <c r="C1774" s="120"/>
      <c r="D1774" s="120"/>
      <c r="E1774" s="120"/>
      <c r="F1774" s="120"/>
      <c r="G1774" s="120"/>
      <c r="H1774" s="120"/>
    </row>
    <row r="1775" spans="1:8" ht="18" hidden="1" customHeight="1" outlineLevel="2" x14ac:dyDescent="0.2">
      <c r="A1775" s="25"/>
      <c r="B1775" s="25" t="s">
        <v>352</v>
      </c>
      <c r="C1775" s="25" t="s">
        <v>3915</v>
      </c>
      <c r="D1775" s="25" t="s">
        <v>2633</v>
      </c>
      <c r="E1775" s="25"/>
      <c r="F1775" s="25"/>
      <c r="G1775" s="25" t="s">
        <v>3914</v>
      </c>
      <c r="H1775" s="25" t="s">
        <v>3080</v>
      </c>
    </row>
    <row r="1776" spans="1:8" ht="18" hidden="1" customHeight="1" outlineLevel="2" x14ac:dyDescent="0.2">
      <c r="A1776" s="25"/>
      <c r="B1776" s="25" t="s">
        <v>352</v>
      </c>
      <c r="C1776" s="25" t="s">
        <v>3915</v>
      </c>
      <c r="D1776" s="25" t="s">
        <v>2634</v>
      </c>
      <c r="E1776" s="25"/>
      <c r="F1776" s="25"/>
      <c r="G1776" s="25" t="s">
        <v>3914</v>
      </c>
      <c r="H1776" s="25" t="s">
        <v>3080</v>
      </c>
    </row>
    <row r="1777" spans="1:8" ht="18" hidden="1" customHeight="1" outlineLevel="2" x14ac:dyDescent="0.2">
      <c r="A1777" s="25"/>
      <c r="B1777" s="25" t="s">
        <v>352</v>
      </c>
      <c r="C1777" s="25" t="s">
        <v>3915</v>
      </c>
      <c r="D1777" s="25" t="s">
        <v>2635</v>
      </c>
      <c r="E1777" s="25"/>
      <c r="F1777" s="25"/>
      <c r="G1777" s="25" t="s">
        <v>3914</v>
      </c>
      <c r="H1777" s="25" t="s">
        <v>3080</v>
      </c>
    </row>
    <row r="1778" spans="1:8" ht="18" hidden="1" customHeight="1" outlineLevel="2" x14ac:dyDescent="0.2">
      <c r="A1778" s="25"/>
      <c r="B1778" s="25" t="s">
        <v>352</v>
      </c>
      <c r="C1778" s="25" t="s">
        <v>3915</v>
      </c>
      <c r="D1778" s="25" t="s">
        <v>2636</v>
      </c>
      <c r="E1778" s="25"/>
      <c r="F1778" s="25"/>
      <c r="G1778" s="25" t="s">
        <v>3914</v>
      </c>
      <c r="H1778" s="25" t="s">
        <v>3080</v>
      </c>
    </row>
    <row r="1779" spans="1:8" ht="18" hidden="1" customHeight="1" outlineLevel="2" x14ac:dyDescent="0.2">
      <c r="A1779" s="25"/>
      <c r="B1779" s="25" t="s">
        <v>352</v>
      </c>
      <c r="C1779" s="25" t="s">
        <v>3915</v>
      </c>
      <c r="D1779" s="25" t="s">
        <v>2637</v>
      </c>
      <c r="E1779" s="25"/>
      <c r="F1779" s="25"/>
      <c r="G1779" s="25" t="s">
        <v>3914</v>
      </c>
      <c r="H1779" s="25" t="s">
        <v>3080</v>
      </c>
    </row>
    <row r="1780" spans="1:8" ht="18" hidden="1" customHeight="1" outlineLevel="2" x14ac:dyDescent="0.2">
      <c r="A1780" s="25"/>
      <c r="B1780" s="25" t="s">
        <v>352</v>
      </c>
      <c r="C1780" s="25" t="s">
        <v>3915</v>
      </c>
      <c r="D1780" s="25" t="s">
        <v>2638</v>
      </c>
      <c r="E1780" s="25"/>
      <c r="F1780" s="25"/>
      <c r="G1780" s="25" t="s">
        <v>3914</v>
      </c>
      <c r="H1780" s="25" t="s">
        <v>3080</v>
      </c>
    </row>
    <row r="1781" spans="1:8" ht="18" hidden="1" customHeight="1" outlineLevel="2" x14ac:dyDescent="0.2">
      <c r="A1781" s="25"/>
      <c r="B1781" s="25" t="s">
        <v>352</v>
      </c>
      <c r="C1781" s="25" t="s">
        <v>3915</v>
      </c>
      <c r="D1781" s="25" t="s">
        <v>2639</v>
      </c>
      <c r="E1781" s="25"/>
      <c r="F1781" s="25"/>
      <c r="G1781" s="25" t="s">
        <v>3914</v>
      </c>
      <c r="H1781" s="25" t="s">
        <v>3080</v>
      </c>
    </row>
    <row r="1782" spans="1:8" ht="18" hidden="1" customHeight="1" outlineLevel="2" x14ac:dyDescent="0.2">
      <c r="A1782" s="25"/>
      <c r="B1782" s="25" t="s">
        <v>352</v>
      </c>
      <c r="C1782" s="25" t="s">
        <v>3915</v>
      </c>
      <c r="D1782" s="25" t="s">
        <v>2640</v>
      </c>
      <c r="E1782" s="25"/>
      <c r="F1782" s="25"/>
      <c r="G1782" s="25" t="s">
        <v>3914</v>
      </c>
      <c r="H1782" s="25" t="s">
        <v>3080</v>
      </c>
    </row>
    <row r="1783" spans="1:8" ht="18" hidden="1" customHeight="1" outlineLevel="2" x14ac:dyDescent="0.2">
      <c r="A1783" s="25"/>
      <c r="B1783" s="25"/>
      <c r="C1783" s="25"/>
      <c r="D1783" s="25"/>
      <c r="E1783" s="25"/>
      <c r="F1783" s="25"/>
      <c r="G1783" s="25"/>
    </row>
    <row r="1784" spans="1:8" ht="18" hidden="1" customHeight="1" outlineLevel="1" x14ac:dyDescent="0.2">
      <c r="A1784" s="119" t="s">
        <v>143</v>
      </c>
      <c r="B1784" s="120"/>
      <c r="C1784" s="120"/>
      <c r="D1784" s="120"/>
      <c r="E1784" s="120"/>
      <c r="F1784" s="120"/>
      <c r="G1784" s="120"/>
      <c r="H1784" s="120"/>
    </row>
    <row r="1785" spans="1:8" ht="18" hidden="1" customHeight="1" outlineLevel="2" x14ac:dyDescent="0.2">
      <c r="A1785" s="25"/>
      <c r="B1785" s="25" t="s">
        <v>352</v>
      </c>
      <c r="C1785" s="25" t="s">
        <v>165</v>
      </c>
      <c r="D1785" s="25" t="s">
        <v>2642</v>
      </c>
      <c r="E1785" s="25"/>
      <c r="F1785" s="25"/>
      <c r="G1785" s="25" t="s">
        <v>3914</v>
      </c>
    </row>
    <row r="1786" spans="1:8" ht="18" hidden="1" customHeight="1" outlineLevel="2" x14ac:dyDescent="0.2">
      <c r="A1786" s="25"/>
      <c r="B1786" s="25" t="s">
        <v>352</v>
      </c>
      <c r="C1786" s="25" t="s">
        <v>165</v>
      </c>
      <c r="D1786" s="25" t="s">
        <v>2643</v>
      </c>
      <c r="E1786" s="25"/>
      <c r="F1786" s="25"/>
      <c r="G1786" s="25" t="s">
        <v>3914</v>
      </c>
    </row>
    <row r="1787" spans="1:8" ht="18" hidden="1" customHeight="1" outlineLevel="2" x14ac:dyDescent="0.2">
      <c r="A1787" s="25"/>
      <c r="B1787" s="25" t="s">
        <v>352</v>
      </c>
      <c r="C1787" s="25" t="s">
        <v>165</v>
      </c>
      <c r="D1787" s="25" t="s">
        <v>2644</v>
      </c>
      <c r="E1787" s="25"/>
      <c r="F1787" s="25"/>
      <c r="G1787" s="25" t="s">
        <v>3914</v>
      </c>
    </row>
    <row r="1788" spans="1:8" ht="18" hidden="1" customHeight="1" outlineLevel="2" x14ac:dyDescent="0.2">
      <c r="A1788" s="25"/>
      <c r="B1788" s="25" t="s">
        <v>352</v>
      </c>
      <c r="C1788" s="25" t="s">
        <v>165</v>
      </c>
      <c r="D1788" s="25" t="s">
        <v>2645</v>
      </c>
      <c r="E1788" s="25"/>
      <c r="F1788" s="25"/>
      <c r="G1788" s="25" t="s">
        <v>3914</v>
      </c>
    </row>
    <row r="1789" spans="1:8" ht="18" hidden="1" customHeight="1" outlineLevel="2" x14ac:dyDescent="0.2">
      <c r="A1789" s="25"/>
      <c r="B1789" s="25" t="s">
        <v>352</v>
      </c>
      <c r="C1789" s="25" t="s">
        <v>165</v>
      </c>
      <c r="D1789" s="25" t="s">
        <v>2646</v>
      </c>
      <c r="E1789" s="25"/>
      <c r="F1789" s="25"/>
      <c r="G1789" s="25" t="s">
        <v>3914</v>
      </c>
    </row>
    <row r="1790" spans="1:8" ht="18" hidden="1" customHeight="1" outlineLevel="2" x14ac:dyDescent="0.2">
      <c r="A1790" s="25"/>
      <c r="B1790" s="25" t="s">
        <v>352</v>
      </c>
      <c r="C1790" s="25" t="s">
        <v>165</v>
      </c>
      <c r="D1790" s="25" t="s">
        <v>2647</v>
      </c>
      <c r="E1790" s="25"/>
      <c r="F1790" s="25"/>
      <c r="G1790" s="25" t="s">
        <v>3914</v>
      </c>
    </row>
    <row r="1791" spans="1:8" ht="18" hidden="1" customHeight="1" outlineLevel="2" x14ac:dyDescent="0.2">
      <c r="A1791" s="25"/>
      <c r="B1791" s="25" t="s">
        <v>352</v>
      </c>
      <c r="C1791" s="25" t="s">
        <v>165</v>
      </c>
      <c r="D1791" s="25" t="s">
        <v>2648</v>
      </c>
      <c r="E1791" s="25"/>
      <c r="F1791" s="25"/>
      <c r="G1791" s="25" t="s">
        <v>3914</v>
      </c>
    </row>
    <row r="1792" spans="1:8" ht="18" hidden="1" customHeight="1" outlineLevel="2" x14ac:dyDescent="0.2">
      <c r="A1792" s="25"/>
      <c r="B1792" s="25" t="s">
        <v>352</v>
      </c>
      <c r="C1792" s="25" t="s">
        <v>165</v>
      </c>
      <c r="D1792" s="25" t="s">
        <v>2649</v>
      </c>
      <c r="E1792" s="25"/>
      <c r="F1792" s="25"/>
      <c r="G1792" s="25" t="s">
        <v>3914</v>
      </c>
    </row>
    <row r="1793" spans="1:8" ht="18" hidden="1" customHeight="1" outlineLevel="2" x14ac:dyDescent="0.2">
      <c r="A1793" s="25"/>
      <c r="B1793" s="25"/>
      <c r="C1793" s="25"/>
      <c r="D1793" s="25"/>
      <c r="E1793" s="25"/>
      <c r="F1793" s="25"/>
      <c r="G1793" s="25"/>
    </row>
    <row r="1794" spans="1:8" ht="18" hidden="1" customHeight="1" outlineLevel="2" x14ac:dyDescent="0.2">
      <c r="A1794" s="25"/>
      <c r="B1794" s="25" t="s">
        <v>352</v>
      </c>
      <c r="C1794" s="25" t="s">
        <v>164</v>
      </c>
      <c r="D1794" s="25" t="s">
        <v>2642</v>
      </c>
      <c r="E1794" s="25"/>
      <c r="F1794" s="25"/>
      <c r="G1794" s="25" t="s">
        <v>3914</v>
      </c>
    </row>
    <row r="1795" spans="1:8" ht="18" hidden="1" customHeight="1" outlineLevel="2" x14ac:dyDescent="0.2">
      <c r="A1795" s="25"/>
      <c r="B1795" s="25" t="s">
        <v>352</v>
      </c>
      <c r="C1795" s="25" t="s">
        <v>164</v>
      </c>
      <c r="D1795" s="25" t="s">
        <v>2643</v>
      </c>
      <c r="E1795" s="25"/>
      <c r="F1795" s="25"/>
      <c r="G1795" s="25" t="s">
        <v>3914</v>
      </c>
    </row>
    <row r="1796" spans="1:8" ht="18" hidden="1" customHeight="1" outlineLevel="2" x14ac:dyDescent="0.2">
      <c r="A1796" s="25"/>
      <c r="B1796" s="25" t="s">
        <v>352</v>
      </c>
      <c r="C1796" s="25" t="s">
        <v>164</v>
      </c>
      <c r="D1796" s="25" t="s">
        <v>2644</v>
      </c>
      <c r="E1796" s="25"/>
      <c r="F1796" s="25"/>
      <c r="G1796" s="25" t="s">
        <v>3914</v>
      </c>
    </row>
    <row r="1797" spans="1:8" ht="18" hidden="1" customHeight="1" outlineLevel="2" x14ac:dyDescent="0.2">
      <c r="A1797" s="25"/>
      <c r="B1797" s="25" t="s">
        <v>352</v>
      </c>
      <c r="C1797" s="25" t="s">
        <v>164</v>
      </c>
      <c r="D1797" s="25" t="s">
        <v>2645</v>
      </c>
      <c r="E1797" s="25"/>
      <c r="F1797" s="25"/>
      <c r="G1797" s="25" t="s">
        <v>3914</v>
      </c>
    </row>
    <row r="1798" spans="1:8" ht="18" hidden="1" customHeight="1" outlineLevel="2" x14ac:dyDescent="0.2">
      <c r="A1798" s="25"/>
      <c r="B1798" s="25" t="s">
        <v>352</v>
      </c>
      <c r="C1798" s="25" t="s">
        <v>164</v>
      </c>
      <c r="D1798" s="25" t="s">
        <v>2646</v>
      </c>
      <c r="E1798" s="25"/>
      <c r="F1798" s="25"/>
      <c r="G1798" s="25" t="s">
        <v>3914</v>
      </c>
    </row>
    <row r="1799" spans="1:8" ht="18" hidden="1" customHeight="1" outlineLevel="2" x14ac:dyDescent="0.2">
      <c r="A1799" s="25"/>
      <c r="B1799" s="25" t="s">
        <v>352</v>
      </c>
      <c r="C1799" s="25" t="s">
        <v>164</v>
      </c>
      <c r="D1799" s="25" t="s">
        <v>2647</v>
      </c>
      <c r="E1799" s="25"/>
      <c r="F1799" s="25"/>
      <c r="G1799" s="25" t="s">
        <v>3914</v>
      </c>
    </row>
    <row r="1800" spans="1:8" ht="18" hidden="1" customHeight="1" outlineLevel="2" x14ac:dyDescent="0.2">
      <c r="A1800" s="25"/>
      <c r="B1800" s="25" t="s">
        <v>352</v>
      </c>
      <c r="C1800" s="25" t="s">
        <v>164</v>
      </c>
      <c r="D1800" s="25" t="s">
        <v>2648</v>
      </c>
      <c r="E1800" s="25"/>
      <c r="F1800" s="25"/>
      <c r="G1800" s="25" t="s">
        <v>3914</v>
      </c>
    </row>
    <row r="1801" spans="1:8" ht="18" hidden="1" customHeight="1" outlineLevel="2" x14ac:dyDescent="0.2">
      <c r="A1801" s="25"/>
      <c r="B1801" s="25" t="s">
        <v>352</v>
      </c>
      <c r="C1801" s="25" t="s">
        <v>164</v>
      </c>
      <c r="D1801" s="25" t="s">
        <v>2649</v>
      </c>
      <c r="E1801" s="25"/>
      <c r="F1801" s="25"/>
      <c r="G1801" s="25" t="s">
        <v>3914</v>
      </c>
    </row>
    <row r="1802" spans="1:8" ht="18" hidden="1" customHeight="1" outlineLevel="2" x14ac:dyDescent="0.2">
      <c r="A1802" s="25"/>
      <c r="B1802" s="25"/>
      <c r="C1802" s="25"/>
      <c r="D1802" s="25"/>
      <c r="E1802" s="25"/>
      <c r="F1802" s="25"/>
      <c r="G1802" s="25"/>
    </row>
    <row r="1803" spans="1:8" ht="18" hidden="1" customHeight="1" outlineLevel="1" x14ac:dyDescent="0.2">
      <c r="A1803" s="119" t="s">
        <v>144</v>
      </c>
      <c r="B1803" s="120"/>
      <c r="C1803" s="120"/>
      <c r="D1803" s="120"/>
      <c r="E1803" s="120"/>
      <c r="F1803" s="120"/>
      <c r="G1803" s="120"/>
      <c r="H1803" s="120"/>
    </row>
    <row r="1804" spans="1:8" ht="18" hidden="1" customHeight="1" outlineLevel="2" x14ac:dyDescent="0.2">
      <c r="A1804" s="25"/>
      <c r="B1804" s="25" t="s">
        <v>352</v>
      </c>
      <c r="C1804" s="25" t="s">
        <v>166</v>
      </c>
      <c r="D1804" s="25" t="s">
        <v>2642</v>
      </c>
      <c r="E1804" s="25"/>
      <c r="F1804" s="25"/>
      <c r="G1804" s="25" t="s">
        <v>3914</v>
      </c>
    </row>
    <row r="1805" spans="1:8" ht="18" hidden="1" customHeight="1" outlineLevel="2" x14ac:dyDescent="0.2">
      <c r="A1805" s="25"/>
      <c r="B1805" s="25" t="s">
        <v>352</v>
      </c>
      <c r="C1805" s="25" t="s">
        <v>166</v>
      </c>
      <c r="D1805" s="25" t="s">
        <v>2643</v>
      </c>
      <c r="E1805" s="25"/>
      <c r="F1805" s="25"/>
      <c r="G1805" s="25" t="s">
        <v>3914</v>
      </c>
    </row>
    <row r="1806" spans="1:8" ht="18" hidden="1" customHeight="1" outlineLevel="2" x14ac:dyDescent="0.2">
      <c r="A1806" s="25"/>
      <c r="B1806" s="25" t="s">
        <v>352</v>
      </c>
      <c r="C1806" s="25" t="s">
        <v>166</v>
      </c>
      <c r="D1806" s="25" t="s">
        <v>2644</v>
      </c>
      <c r="E1806" s="25"/>
      <c r="F1806" s="25"/>
      <c r="G1806" s="25" t="s">
        <v>3914</v>
      </c>
    </row>
    <row r="1807" spans="1:8" ht="18" hidden="1" customHeight="1" outlineLevel="2" x14ac:dyDescent="0.2">
      <c r="A1807" s="25"/>
      <c r="B1807" s="25" t="s">
        <v>352</v>
      </c>
      <c r="C1807" s="25" t="s">
        <v>166</v>
      </c>
      <c r="D1807" s="25" t="s">
        <v>2645</v>
      </c>
      <c r="E1807" s="25"/>
      <c r="F1807" s="25"/>
      <c r="G1807" s="25" t="s">
        <v>3914</v>
      </c>
    </row>
    <row r="1808" spans="1:8" ht="18" hidden="1" customHeight="1" outlineLevel="2" x14ac:dyDescent="0.2">
      <c r="A1808" s="25"/>
      <c r="B1808" s="25" t="s">
        <v>352</v>
      </c>
      <c r="C1808" s="25" t="s">
        <v>166</v>
      </c>
      <c r="D1808" s="25" t="s">
        <v>2646</v>
      </c>
      <c r="E1808" s="25"/>
      <c r="F1808" s="25"/>
      <c r="G1808" s="25" t="s">
        <v>3914</v>
      </c>
    </row>
    <row r="1809" spans="1:8" ht="18" hidden="1" customHeight="1" outlineLevel="2" x14ac:dyDescent="0.2">
      <c r="A1809" s="25"/>
      <c r="B1809" s="25" t="s">
        <v>352</v>
      </c>
      <c r="C1809" s="25" t="s">
        <v>166</v>
      </c>
      <c r="D1809" s="25" t="s">
        <v>2647</v>
      </c>
      <c r="E1809" s="25"/>
      <c r="F1809" s="25"/>
      <c r="G1809" s="25" t="s">
        <v>3914</v>
      </c>
    </row>
    <row r="1810" spans="1:8" ht="18" hidden="1" customHeight="1" outlineLevel="2" x14ac:dyDescent="0.2">
      <c r="A1810" s="25"/>
      <c r="B1810" s="25" t="s">
        <v>352</v>
      </c>
      <c r="C1810" s="25" t="s">
        <v>166</v>
      </c>
      <c r="D1810" s="25" t="s">
        <v>2648</v>
      </c>
      <c r="E1810" s="25"/>
      <c r="F1810" s="25"/>
      <c r="G1810" s="25" t="s">
        <v>3914</v>
      </c>
    </row>
    <row r="1811" spans="1:8" ht="18" hidden="1" customHeight="1" outlineLevel="2" x14ac:dyDescent="0.2">
      <c r="A1811" s="25"/>
      <c r="B1811" s="25" t="s">
        <v>352</v>
      </c>
      <c r="C1811" s="25" t="s">
        <v>166</v>
      </c>
      <c r="D1811" s="25" t="s">
        <v>2649</v>
      </c>
      <c r="E1811" s="25"/>
      <c r="F1811" s="25"/>
      <c r="G1811" s="25" t="s">
        <v>3914</v>
      </c>
    </row>
    <row r="1812" spans="1:8" ht="18" hidden="1" customHeight="1" outlineLevel="2" x14ac:dyDescent="0.2">
      <c r="A1812" s="25"/>
      <c r="B1812" s="25"/>
      <c r="C1812" s="25"/>
      <c r="D1812" s="25"/>
      <c r="E1812" s="25"/>
      <c r="F1812" s="25"/>
      <c r="G1812" s="25"/>
    </row>
    <row r="1813" spans="1:8" ht="18" hidden="1" customHeight="1" outlineLevel="2" x14ac:dyDescent="0.2">
      <c r="A1813" s="25"/>
      <c r="B1813" s="25" t="s">
        <v>352</v>
      </c>
      <c r="C1813" s="25" t="s">
        <v>163</v>
      </c>
      <c r="D1813" s="25" t="s">
        <v>2642</v>
      </c>
      <c r="E1813" s="25"/>
      <c r="F1813" s="25"/>
      <c r="G1813" s="25" t="s">
        <v>3914</v>
      </c>
    </row>
    <row r="1814" spans="1:8" ht="18" hidden="1" customHeight="1" outlineLevel="2" x14ac:dyDescent="0.2">
      <c r="A1814" s="25"/>
      <c r="B1814" s="25" t="s">
        <v>352</v>
      </c>
      <c r="C1814" s="25" t="s">
        <v>163</v>
      </c>
      <c r="D1814" s="25" t="s">
        <v>2643</v>
      </c>
      <c r="E1814" s="25"/>
      <c r="F1814" s="25"/>
      <c r="G1814" s="25" t="s">
        <v>3914</v>
      </c>
    </row>
    <row r="1815" spans="1:8" ht="18" hidden="1" customHeight="1" outlineLevel="2" x14ac:dyDescent="0.2">
      <c r="A1815" s="25"/>
      <c r="B1815" s="25" t="s">
        <v>352</v>
      </c>
      <c r="C1815" s="25" t="s">
        <v>163</v>
      </c>
      <c r="D1815" s="25" t="s">
        <v>2644</v>
      </c>
      <c r="E1815" s="25"/>
      <c r="F1815" s="25"/>
      <c r="G1815" s="25" t="s">
        <v>3914</v>
      </c>
    </row>
    <row r="1816" spans="1:8" ht="18" hidden="1" customHeight="1" outlineLevel="2" x14ac:dyDescent="0.2">
      <c r="A1816" s="25"/>
      <c r="B1816" s="25" t="s">
        <v>352</v>
      </c>
      <c r="C1816" s="25" t="s">
        <v>163</v>
      </c>
      <c r="D1816" s="25" t="s">
        <v>2645</v>
      </c>
      <c r="E1816" s="25"/>
      <c r="F1816" s="25"/>
      <c r="G1816" s="25" t="s">
        <v>3914</v>
      </c>
    </row>
    <row r="1817" spans="1:8" ht="18" hidden="1" customHeight="1" outlineLevel="2" x14ac:dyDescent="0.2">
      <c r="A1817" s="25"/>
      <c r="B1817" s="25" t="s">
        <v>352</v>
      </c>
      <c r="C1817" s="25" t="s">
        <v>163</v>
      </c>
      <c r="D1817" s="25" t="s">
        <v>2646</v>
      </c>
      <c r="E1817" s="25"/>
      <c r="F1817" s="25"/>
      <c r="G1817" s="25" t="s">
        <v>3914</v>
      </c>
    </row>
    <row r="1818" spans="1:8" ht="18" hidden="1" customHeight="1" outlineLevel="2" x14ac:dyDescent="0.2">
      <c r="A1818" s="25"/>
      <c r="B1818" s="25" t="s">
        <v>352</v>
      </c>
      <c r="C1818" s="25" t="s">
        <v>163</v>
      </c>
      <c r="D1818" s="25" t="s">
        <v>2647</v>
      </c>
      <c r="E1818" s="25"/>
      <c r="F1818" s="25"/>
      <c r="G1818" s="25" t="s">
        <v>3914</v>
      </c>
    </row>
    <row r="1819" spans="1:8" ht="18" hidden="1" customHeight="1" outlineLevel="2" x14ac:dyDescent="0.2">
      <c r="A1819" s="25"/>
      <c r="B1819" s="25" t="s">
        <v>352</v>
      </c>
      <c r="C1819" s="25" t="s">
        <v>163</v>
      </c>
      <c r="D1819" s="25" t="s">
        <v>2648</v>
      </c>
      <c r="E1819" s="25"/>
      <c r="F1819" s="25"/>
      <c r="G1819" s="25" t="s">
        <v>3914</v>
      </c>
    </row>
    <row r="1820" spans="1:8" ht="18" hidden="1" customHeight="1" outlineLevel="2" x14ac:dyDescent="0.2">
      <c r="A1820" s="25"/>
      <c r="B1820" s="25" t="s">
        <v>352</v>
      </c>
      <c r="C1820" s="25" t="s">
        <v>163</v>
      </c>
      <c r="D1820" s="25" t="s">
        <v>2649</v>
      </c>
      <c r="E1820" s="25"/>
      <c r="F1820" s="25"/>
      <c r="G1820" s="25" t="s">
        <v>3914</v>
      </c>
    </row>
    <row r="1821" spans="1:8" ht="18" hidden="1" customHeight="1" outlineLevel="2" x14ac:dyDescent="0.2">
      <c r="A1821" s="25"/>
      <c r="B1821" s="25"/>
      <c r="C1821" s="25"/>
      <c r="D1821" s="25"/>
      <c r="E1821" s="25"/>
      <c r="F1821" s="25"/>
      <c r="G1821" s="25"/>
    </row>
    <row r="1822" spans="1:8" ht="18" hidden="1" customHeight="1" outlineLevel="1" x14ac:dyDescent="0.2">
      <c r="A1822" s="119" t="s">
        <v>167</v>
      </c>
      <c r="B1822" s="120"/>
      <c r="C1822" s="120"/>
      <c r="D1822" s="120"/>
      <c r="E1822" s="120"/>
      <c r="F1822" s="120"/>
      <c r="G1822" s="120"/>
      <c r="H1822" s="120"/>
    </row>
    <row r="1823" spans="1:8" ht="18" hidden="1" customHeight="1" outlineLevel="2" x14ac:dyDescent="0.2">
      <c r="A1823" s="25"/>
      <c r="B1823" s="25" t="s">
        <v>352</v>
      </c>
      <c r="C1823" s="25" t="s">
        <v>2721</v>
      </c>
      <c r="D1823" s="25" t="s">
        <v>2642</v>
      </c>
      <c r="E1823" s="25"/>
      <c r="F1823" s="25"/>
      <c r="G1823" s="25" t="s">
        <v>3914</v>
      </c>
    </row>
    <row r="1824" spans="1:8" ht="18" hidden="1" customHeight="1" outlineLevel="2" x14ac:dyDescent="0.2">
      <c r="A1824" s="25"/>
      <c r="B1824" s="25" t="s">
        <v>352</v>
      </c>
      <c r="C1824" s="25" t="s">
        <v>2721</v>
      </c>
      <c r="D1824" s="25" t="s">
        <v>2643</v>
      </c>
      <c r="E1824" s="25"/>
      <c r="F1824" s="25"/>
      <c r="G1824" s="25" t="s">
        <v>3914</v>
      </c>
    </row>
    <row r="1825" spans="1:8" ht="18" hidden="1" customHeight="1" outlineLevel="2" x14ac:dyDescent="0.2">
      <c r="A1825" s="25"/>
      <c r="B1825" s="25" t="s">
        <v>352</v>
      </c>
      <c r="C1825" s="25" t="s">
        <v>2721</v>
      </c>
      <c r="D1825" s="25" t="s">
        <v>2644</v>
      </c>
      <c r="E1825" s="25"/>
      <c r="F1825" s="25"/>
      <c r="G1825" s="25" t="s">
        <v>3914</v>
      </c>
    </row>
    <row r="1826" spans="1:8" ht="18" hidden="1" customHeight="1" outlineLevel="2" x14ac:dyDescent="0.2">
      <c r="A1826" s="25"/>
      <c r="B1826" s="25" t="s">
        <v>352</v>
      </c>
      <c r="C1826" s="25" t="s">
        <v>2721</v>
      </c>
      <c r="D1826" s="25" t="s">
        <v>2645</v>
      </c>
      <c r="E1826" s="25"/>
      <c r="F1826" s="25"/>
      <c r="G1826" s="25" t="s">
        <v>3914</v>
      </c>
    </row>
    <row r="1827" spans="1:8" ht="18" hidden="1" customHeight="1" outlineLevel="2" x14ac:dyDescent="0.2">
      <c r="A1827" s="25"/>
      <c r="B1827" s="25" t="s">
        <v>352</v>
      </c>
      <c r="C1827" s="25" t="s">
        <v>2721</v>
      </c>
      <c r="D1827" s="25" t="s">
        <v>2646</v>
      </c>
      <c r="E1827" s="25"/>
      <c r="F1827" s="25"/>
      <c r="G1827" s="25" t="s">
        <v>3914</v>
      </c>
    </row>
    <row r="1828" spans="1:8" ht="18" hidden="1" customHeight="1" outlineLevel="2" x14ac:dyDescent="0.2">
      <c r="A1828" s="25"/>
      <c r="B1828" s="25" t="s">
        <v>352</v>
      </c>
      <c r="C1828" s="25" t="s">
        <v>2721</v>
      </c>
      <c r="D1828" s="25" t="s">
        <v>2647</v>
      </c>
      <c r="E1828" s="25"/>
      <c r="F1828" s="25"/>
      <c r="G1828" s="25" t="s">
        <v>3914</v>
      </c>
    </row>
    <row r="1829" spans="1:8" ht="18" hidden="1" customHeight="1" outlineLevel="2" x14ac:dyDescent="0.2">
      <c r="A1829" s="25"/>
      <c r="B1829" s="25" t="s">
        <v>352</v>
      </c>
      <c r="C1829" s="25" t="s">
        <v>2721</v>
      </c>
      <c r="D1829" s="25" t="s">
        <v>2648</v>
      </c>
      <c r="E1829" s="25"/>
      <c r="F1829" s="25"/>
      <c r="G1829" s="25" t="s">
        <v>3914</v>
      </c>
    </row>
    <row r="1830" spans="1:8" ht="18" hidden="1" customHeight="1" outlineLevel="2" x14ac:dyDescent="0.2">
      <c r="A1830" s="25"/>
      <c r="B1830" s="25" t="s">
        <v>352</v>
      </c>
      <c r="C1830" s="25" t="s">
        <v>2721</v>
      </c>
      <c r="D1830" s="25" t="s">
        <v>2649</v>
      </c>
      <c r="E1830" s="25"/>
      <c r="F1830" s="25"/>
      <c r="G1830" s="25" t="s">
        <v>3914</v>
      </c>
    </row>
    <row r="1831" spans="1:8" ht="18" hidden="1" customHeight="1" outlineLevel="2" x14ac:dyDescent="0.2">
      <c r="A1831" s="25"/>
      <c r="B1831" s="25"/>
      <c r="C1831" s="25"/>
      <c r="D1831" s="25"/>
      <c r="E1831" s="25"/>
      <c r="F1831" s="25"/>
      <c r="G1831" s="25"/>
    </row>
    <row r="1832" spans="1:8" ht="18" hidden="1" customHeight="1" outlineLevel="1" x14ac:dyDescent="0.2">
      <c r="A1832" s="119" t="s">
        <v>168</v>
      </c>
      <c r="B1832" s="120"/>
      <c r="C1832" s="120"/>
      <c r="D1832" s="120"/>
      <c r="E1832" s="120"/>
      <c r="F1832" s="120"/>
      <c r="G1832" s="120"/>
      <c r="H1832" s="120"/>
    </row>
    <row r="1833" spans="1:8" ht="18" hidden="1" customHeight="1" outlineLevel="2" x14ac:dyDescent="0.2">
      <c r="A1833" s="25"/>
      <c r="B1833" s="25" t="s">
        <v>352</v>
      </c>
      <c r="C1833" s="25" t="s">
        <v>2641</v>
      </c>
      <c r="D1833" s="25" t="s">
        <v>2642</v>
      </c>
      <c r="E1833" s="25"/>
      <c r="F1833" s="25"/>
      <c r="G1833" s="25" t="s">
        <v>3914</v>
      </c>
    </row>
    <row r="1834" spans="1:8" ht="18" hidden="1" customHeight="1" outlineLevel="2" x14ac:dyDescent="0.2">
      <c r="A1834" s="25"/>
      <c r="B1834" s="25" t="s">
        <v>352</v>
      </c>
      <c r="C1834" s="25" t="s">
        <v>2641</v>
      </c>
      <c r="D1834" s="25" t="s">
        <v>2643</v>
      </c>
      <c r="E1834" s="25"/>
      <c r="F1834" s="25"/>
      <c r="G1834" s="25" t="s">
        <v>3914</v>
      </c>
    </row>
    <row r="1835" spans="1:8" ht="18" hidden="1" customHeight="1" outlineLevel="2" x14ac:dyDescent="0.2">
      <c r="A1835" s="25"/>
      <c r="B1835" s="25" t="s">
        <v>352</v>
      </c>
      <c r="C1835" s="25" t="s">
        <v>2641</v>
      </c>
      <c r="D1835" s="25" t="s">
        <v>2644</v>
      </c>
      <c r="E1835" s="25"/>
      <c r="F1835" s="25"/>
      <c r="G1835" s="25" t="s">
        <v>3914</v>
      </c>
    </row>
    <row r="1836" spans="1:8" ht="18" hidden="1" customHeight="1" outlineLevel="2" x14ac:dyDescent="0.2">
      <c r="A1836" s="25"/>
      <c r="B1836" s="25" t="s">
        <v>352</v>
      </c>
      <c r="C1836" s="25" t="s">
        <v>2641</v>
      </c>
      <c r="D1836" s="25" t="s">
        <v>2645</v>
      </c>
      <c r="E1836" s="25"/>
      <c r="F1836" s="25"/>
      <c r="G1836" s="25" t="s">
        <v>3914</v>
      </c>
    </row>
    <row r="1837" spans="1:8" ht="18" hidden="1" customHeight="1" outlineLevel="2" x14ac:dyDescent="0.2">
      <c r="A1837" s="25"/>
      <c r="B1837" s="25" t="s">
        <v>352</v>
      </c>
      <c r="C1837" s="25" t="s">
        <v>2641</v>
      </c>
      <c r="D1837" s="25" t="s">
        <v>2646</v>
      </c>
      <c r="E1837" s="25"/>
      <c r="F1837" s="25"/>
      <c r="G1837" s="25" t="s">
        <v>3914</v>
      </c>
    </row>
    <row r="1838" spans="1:8" ht="18" hidden="1" customHeight="1" outlineLevel="2" x14ac:dyDescent="0.2">
      <c r="A1838" s="25"/>
      <c r="B1838" s="25" t="s">
        <v>352</v>
      </c>
      <c r="C1838" s="25" t="s">
        <v>2641</v>
      </c>
      <c r="D1838" s="25" t="s">
        <v>2647</v>
      </c>
      <c r="E1838" s="25"/>
      <c r="F1838" s="25"/>
      <c r="G1838" s="25" t="s">
        <v>3914</v>
      </c>
    </row>
    <row r="1839" spans="1:8" ht="18" hidden="1" customHeight="1" outlineLevel="2" x14ac:dyDescent="0.2">
      <c r="A1839" s="25"/>
      <c r="B1839" s="25" t="s">
        <v>352</v>
      </c>
      <c r="C1839" s="25" t="s">
        <v>2641</v>
      </c>
      <c r="D1839" s="25" t="s">
        <v>2648</v>
      </c>
      <c r="E1839" s="25"/>
      <c r="F1839" s="25"/>
      <c r="G1839" s="25" t="s">
        <v>3914</v>
      </c>
    </row>
    <row r="1840" spans="1:8" ht="18" hidden="1" customHeight="1" outlineLevel="2" x14ac:dyDescent="0.2">
      <c r="A1840" s="25"/>
      <c r="B1840" s="25" t="s">
        <v>352</v>
      </c>
      <c r="C1840" s="25" t="s">
        <v>2641</v>
      </c>
      <c r="D1840" s="25" t="s">
        <v>2649</v>
      </c>
      <c r="E1840" s="25"/>
      <c r="F1840" s="25"/>
      <c r="G1840" s="25" t="s">
        <v>3914</v>
      </c>
    </row>
    <row r="1841" spans="1:8" ht="18" hidden="1" customHeight="1" outlineLevel="2" x14ac:dyDescent="0.2">
      <c r="A1841" s="25"/>
      <c r="B1841" s="25"/>
      <c r="C1841" s="25"/>
      <c r="D1841" s="25"/>
      <c r="E1841" s="25"/>
      <c r="F1841" s="25"/>
      <c r="G1841" s="25" t="s">
        <v>3914</v>
      </c>
    </row>
    <row r="1842" spans="1:8" ht="18" hidden="1" customHeight="1" outlineLevel="2" x14ac:dyDescent="0.2">
      <c r="A1842" s="25"/>
      <c r="B1842" s="25" t="s">
        <v>352</v>
      </c>
      <c r="C1842" s="65" t="s">
        <v>2650</v>
      </c>
      <c r="D1842" s="25" t="s">
        <v>2642</v>
      </c>
      <c r="E1842" s="25"/>
      <c r="F1842" s="25"/>
      <c r="G1842" s="25" t="s">
        <v>3914</v>
      </c>
    </row>
    <row r="1843" spans="1:8" ht="18" hidden="1" customHeight="1" outlineLevel="2" x14ac:dyDescent="0.2">
      <c r="A1843" s="25"/>
      <c r="B1843" s="25" t="s">
        <v>352</v>
      </c>
      <c r="C1843" s="65" t="s">
        <v>2650</v>
      </c>
      <c r="D1843" s="25" t="s">
        <v>2643</v>
      </c>
      <c r="E1843" s="25"/>
      <c r="F1843" s="25"/>
      <c r="G1843" s="25" t="s">
        <v>3914</v>
      </c>
    </row>
    <row r="1844" spans="1:8" ht="18" hidden="1" customHeight="1" outlineLevel="2" x14ac:dyDescent="0.2">
      <c r="A1844" s="25"/>
      <c r="B1844" s="25" t="s">
        <v>352</v>
      </c>
      <c r="C1844" s="65" t="s">
        <v>2650</v>
      </c>
      <c r="D1844" s="25" t="s">
        <v>2644</v>
      </c>
      <c r="E1844" s="25"/>
      <c r="F1844" s="25"/>
      <c r="G1844" s="25" t="s">
        <v>3914</v>
      </c>
    </row>
    <row r="1845" spans="1:8" ht="18" hidden="1" customHeight="1" outlineLevel="2" x14ac:dyDescent="0.2">
      <c r="A1845" s="25"/>
      <c r="B1845" s="25" t="s">
        <v>352</v>
      </c>
      <c r="C1845" s="65" t="s">
        <v>2650</v>
      </c>
      <c r="D1845" s="25" t="s">
        <v>2645</v>
      </c>
      <c r="E1845" s="25"/>
      <c r="F1845" s="25"/>
      <c r="G1845" s="25" t="s">
        <v>3914</v>
      </c>
    </row>
    <row r="1846" spans="1:8" ht="18" hidden="1" customHeight="1" outlineLevel="2" x14ac:dyDescent="0.2">
      <c r="A1846" s="25"/>
      <c r="B1846" s="25" t="s">
        <v>352</v>
      </c>
      <c r="C1846" s="65" t="s">
        <v>2650</v>
      </c>
      <c r="D1846" s="25" t="s">
        <v>2646</v>
      </c>
      <c r="E1846" s="25"/>
      <c r="F1846" s="25"/>
      <c r="G1846" s="25" t="s">
        <v>3914</v>
      </c>
    </row>
    <row r="1847" spans="1:8" ht="18" hidden="1" customHeight="1" outlineLevel="2" x14ac:dyDescent="0.2">
      <c r="A1847" s="25"/>
      <c r="B1847" s="25" t="s">
        <v>352</v>
      </c>
      <c r="C1847" s="65" t="s">
        <v>2650</v>
      </c>
      <c r="D1847" s="25" t="s">
        <v>2647</v>
      </c>
      <c r="E1847" s="25"/>
      <c r="F1847" s="25"/>
      <c r="G1847" s="25" t="s">
        <v>3914</v>
      </c>
    </row>
    <row r="1848" spans="1:8" ht="18" hidden="1" customHeight="1" outlineLevel="2" x14ac:dyDescent="0.2">
      <c r="A1848" s="25"/>
      <c r="B1848" s="25" t="s">
        <v>352</v>
      </c>
      <c r="C1848" s="65" t="s">
        <v>2650</v>
      </c>
      <c r="D1848" s="25" t="s">
        <v>2648</v>
      </c>
      <c r="E1848" s="25"/>
      <c r="F1848" s="25"/>
      <c r="G1848" s="25" t="s">
        <v>3914</v>
      </c>
    </row>
    <row r="1849" spans="1:8" ht="18" hidden="1" customHeight="1" outlineLevel="2" x14ac:dyDescent="0.2">
      <c r="A1849" s="25"/>
      <c r="B1849" s="25" t="s">
        <v>352</v>
      </c>
      <c r="C1849" s="65" t="s">
        <v>2650</v>
      </c>
      <c r="D1849" s="25" t="s">
        <v>2649</v>
      </c>
      <c r="E1849" s="25"/>
      <c r="F1849" s="25"/>
      <c r="G1849" s="25" t="s">
        <v>3914</v>
      </c>
    </row>
    <row r="1850" spans="1:8" ht="18" hidden="1" customHeight="1" outlineLevel="2" x14ac:dyDescent="0.2">
      <c r="A1850" s="25"/>
      <c r="B1850" s="25"/>
      <c r="C1850" s="25"/>
      <c r="D1850" s="25"/>
      <c r="E1850" s="25"/>
      <c r="F1850" s="25"/>
      <c r="G1850" s="25"/>
    </row>
    <row r="1851" spans="1:8" ht="18" hidden="1" customHeight="1" outlineLevel="1" x14ac:dyDescent="0.2">
      <c r="A1851" s="119" t="s">
        <v>3925</v>
      </c>
      <c r="B1851" s="120"/>
      <c r="C1851" s="120"/>
      <c r="D1851" s="120"/>
      <c r="E1851" s="120"/>
      <c r="F1851" s="120"/>
      <c r="G1851" s="120"/>
      <c r="H1851" s="120"/>
    </row>
    <row r="1852" spans="1:8" ht="18" hidden="1" customHeight="1" outlineLevel="2" x14ac:dyDescent="0.2">
      <c r="A1852" s="25"/>
      <c r="B1852" s="25" t="s">
        <v>352</v>
      </c>
      <c r="C1852" s="25" t="s">
        <v>2651</v>
      </c>
      <c r="D1852" s="25" t="s">
        <v>2642</v>
      </c>
      <c r="E1852" s="25"/>
      <c r="F1852" s="25"/>
      <c r="G1852" s="25" t="s">
        <v>3914</v>
      </c>
    </row>
    <row r="1853" spans="1:8" ht="18" hidden="1" customHeight="1" outlineLevel="2" x14ac:dyDescent="0.2">
      <c r="A1853" s="25"/>
      <c r="B1853" s="25" t="s">
        <v>352</v>
      </c>
      <c r="C1853" s="25" t="s">
        <v>2651</v>
      </c>
      <c r="D1853" s="25" t="s">
        <v>2643</v>
      </c>
      <c r="E1853" s="25"/>
      <c r="F1853" s="25"/>
      <c r="G1853" s="25" t="s">
        <v>3914</v>
      </c>
    </row>
    <row r="1854" spans="1:8" ht="18" hidden="1" customHeight="1" outlineLevel="2" x14ac:dyDescent="0.2">
      <c r="A1854" s="25"/>
      <c r="B1854" s="25" t="s">
        <v>352</v>
      </c>
      <c r="C1854" s="25" t="s">
        <v>2651</v>
      </c>
      <c r="D1854" s="25" t="s">
        <v>2644</v>
      </c>
      <c r="E1854" s="25"/>
      <c r="F1854" s="25"/>
      <c r="G1854" s="25" t="s">
        <v>3914</v>
      </c>
    </row>
    <row r="1855" spans="1:8" ht="18" hidden="1" customHeight="1" outlineLevel="2" x14ac:dyDescent="0.2">
      <c r="A1855" s="25"/>
      <c r="B1855" s="25" t="s">
        <v>352</v>
      </c>
      <c r="C1855" s="25" t="s">
        <v>2651</v>
      </c>
      <c r="D1855" s="25" t="s">
        <v>2645</v>
      </c>
      <c r="E1855" s="25"/>
      <c r="F1855" s="25"/>
      <c r="G1855" s="25" t="s">
        <v>3914</v>
      </c>
    </row>
    <row r="1856" spans="1:8" ht="18" hidden="1" customHeight="1" outlineLevel="2" x14ac:dyDescent="0.2">
      <c r="A1856" s="25"/>
      <c r="B1856" s="25" t="s">
        <v>352</v>
      </c>
      <c r="C1856" s="25" t="s">
        <v>2651</v>
      </c>
      <c r="D1856" s="25" t="s">
        <v>2646</v>
      </c>
      <c r="E1856" s="25"/>
      <c r="F1856" s="25"/>
      <c r="G1856" s="25" t="s">
        <v>3914</v>
      </c>
    </row>
    <row r="1857" spans="2:7" s="25" customFormat="1" ht="18" hidden="1" customHeight="1" outlineLevel="2" x14ac:dyDescent="0.2">
      <c r="B1857" s="25" t="s">
        <v>352</v>
      </c>
      <c r="C1857" s="25" t="s">
        <v>2651</v>
      </c>
      <c r="D1857" s="25" t="s">
        <v>2647</v>
      </c>
      <c r="G1857" s="25" t="s">
        <v>3914</v>
      </c>
    </row>
    <row r="1858" spans="2:7" s="25" customFormat="1" ht="18" hidden="1" customHeight="1" outlineLevel="2" x14ac:dyDescent="0.2">
      <c r="B1858" s="25" t="s">
        <v>352</v>
      </c>
      <c r="C1858" s="25" t="s">
        <v>2651</v>
      </c>
      <c r="D1858" s="25" t="s">
        <v>2648</v>
      </c>
      <c r="G1858" s="25" t="s">
        <v>3914</v>
      </c>
    </row>
    <row r="1859" spans="2:7" s="25" customFormat="1" ht="18" hidden="1" customHeight="1" outlineLevel="2" x14ac:dyDescent="0.2">
      <c r="B1859" s="25" t="s">
        <v>352</v>
      </c>
      <c r="C1859" s="25" t="s">
        <v>2651</v>
      </c>
      <c r="D1859" s="25" t="s">
        <v>2649</v>
      </c>
      <c r="G1859" s="25" t="s">
        <v>3914</v>
      </c>
    </row>
    <row r="1860" spans="2:7" s="25" customFormat="1" ht="18" hidden="1" customHeight="1" outlineLevel="2" x14ac:dyDescent="0.2"/>
    <row r="1861" spans="2:7" s="25" customFormat="1" ht="18" hidden="1" customHeight="1" outlineLevel="2" x14ac:dyDescent="0.2">
      <c r="B1861" s="25" t="s">
        <v>352</v>
      </c>
      <c r="C1861" s="25" t="s">
        <v>2652</v>
      </c>
      <c r="D1861" s="25" t="s">
        <v>2653</v>
      </c>
      <c r="G1861" s="25" t="s">
        <v>3914</v>
      </c>
    </row>
    <row r="1862" spans="2:7" s="25" customFormat="1" ht="18" hidden="1" customHeight="1" outlineLevel="2" x14ac:dyDescent="0.2">
      <c r="B1862" s="25" t="s">
        <v>352</v>
      </c>
      <c r="C1862" s="25" t="s">
        <v>2652</v>
      </c>
      <c r="D1862" s="25" t="s">
        <v>2654</v>
      </c>
      <c r="G1862" s="25" t="s">
        <v>3914</v>
      </c>
    </row>
    <row r="1863" spans="2:7" s="25" customFormat="1" ht="18" hidden="1" customHeight="1" outlineLevel="2" x14ac:dyDescent="0.2">
      <c r="B1863" s="25" t="s">
        <v>352</v>
      </c>
      <c r="C1863" s="25" t="s">
        <v>2652</v>
      </c>
      <c r="D1863" s="25" t="s">
        <v>2655</v>
      </c>
      <c r="G1863" s="25" t="s">
        <v>3914</v>
      </c>
    </row>
    <row r="1864" spans="2:7" s="25" customFormat="1" ht="18" hidden="1" customHeight="1" outlineLevel="2" x14ac:dyDescent="0.2">
      <c r="B1864" s="25" t="s">
        <v>352</v>
      </c>
      <c r="C1864" s="25" t="s">
        <v>2652</v>
      </c>
      <c r="D1864" s="25" t="s">
        <v>2656</v>
      </c>
      <c r="G1864" s="25" t="s">
        <v>3914</v>
      </c>
    </row>
    <row r="1865" spans="2:7" s="25" customFormat="1" ht="18" hidden="1" customHeight="1" outlineLevel="2" x14ac:dyDescent="0.2">
      <c r="B1865" s="25" t="s">
        <v>352</v>
      </c>
      <c r="C1865" s="25" t="s">
        <v>2652</v>
      </c>
      <c r="D1865" s="25" t="s">
        <v>2657</v>
      </c>
      <c r="G1865" s="25" t="s">
        <v>3914</v>
      </c>
    </row>
    <row r="1866" spans="2:7" s="25" customFormat="1" ht="18" hidden="1" customHeight="1" outlineLevel="2" x14ac:dyDescent="0.2">
      <c r="B1866" s="25" t="s">
        <v>352</v>
      </c>
      <c r="C1866" s="25" t="s">
        <v>2652</v>
      </c>
      <c r="D1866" s="25" t="s">
        <v>2658</v>
      </c>
      <c r="G1866" s="25" t="s">
        <v>3914</v>
      </c>
    </row>
    <row r="1867" spans="2:7" s="25" customFormat="1" ht="18" hidden="1" customHeight="1" outlineLevel="2" x14ac:dyDescent="0.2">
      <c r="B1867" s="25" t="s">
        <v>352</v>
      </c>
      <c r="C1867" s="25" t="s">
        <v>2652</v>
      </c>
      <c r="D1867" s="25" t="s">
        <v>2659</v>
      </c>
      <c r="G1867" s="25" t="s">
        <v>3914</v>
      </c>
    </row>
    <row r="1868" spans="2:7" s="25" customFormat="1" ht="18" hidden="1" customHeight="1" outlineLevel="2" x14ac:dyDescent="0.2">
      <c r="B1868" s="25" t="s">
        <v>352</v>
      </c>
      <c r="C1868" s="25" t="s">
        <v>2652</v>
      </c>
      <c r="D1868" s="25" t="s">
        <v>2660</v>
      </c>
      <c r="G1868" s="25" t="s">
        <v>3914</v>
      </c>
    </row>
    <row r="1869" spans="2:7" s="25" customFormat="1" ht="18" hidden="1" customHeight="1" outlineLevel="2" x14ac:dyDescent="0.2">
      <c r="B1869" s="25" t="s">
        <v>352</v>
      </c>
      <c r="C1869" s="25" t="s">
        <v>2652</v>
      </c>
      <c r="D1869" s="25" t="s">
        <v>2661</v>
      </c>
      <c r="G1869" s="25" t="s">
        <v>3914</v>
      </c>
    </row>
    <row r="1870" spans="2:7" s="25" customFormat="1" ht="18" hidden="1" customHeight="1" outlineLevel="2" x14ac:dyDescent="0.2">
      <c r="B1870" s="25" t="s">
        <v>352</v>
      </c>
      <c r="C1870" s="25" t="s">
        <v>2652</v>
      </c>
      <c r="D1870" s="25" t="s">
        <v>2662</v>
      </c>
      <c r="G1870" s="25" t="s">
        <v>3914</v>
      </c>
    </row>
    <row r="1871" spans="2:7" s="25" customFormat="1" ht="18" hidden="1" customHeight="1" outlineLevel="2" x14ac:dyDescent="0.2">
      <c r="B1871" s="25" t="s">
        <v>352</v>
      </c>
      <c r="C1871" s="25" t="s">
        <v>2652</v>
      </c>
      <c r="D1871" s="25" t="s">
        <v>2663</v>
      </c>
      <c r="G1871" s="25" t="s">
        <v>3914</v>
      </c>
    </row>
    <row r="1872" spans="2:7" s="25" customFormat="1" ht="18" hidden="1" customHeight="1" outlineLevel="2" x14ac:dyDescent="0.2">
      <c r="B1872" s="25" t="s">
        <v>352</v>
      </c>
      <c r="C1872" s="25" t="s">
        <v>2652</v>
      </c>
      <c r="D1872" s="25" t="s">
        <v>2664</v>
      </c>
      <c r="G1872" s="25" t="s">
        <v>3914</v>
      </c>
    </row>
    <row r="1873" spans="2:7" s="25" customFormat="1" ht="18" hidden="1" customHeight="1" outlineLevel="2" x14ac:dyDescent="0.2">
      <c r="B1873" s="25" t="s">
        <v>352</v>
      </c>
      <c r="C1873" s="25" t="s">
        <v>2652</v>
      </c>
      <c r="D1873" s="25" t="s">
        <v>2665</v>
      </c>
      <c r="G1873" s="25" t="s">
        <v>3914</v>
      </c>
    </row>
    <row r="1874" spans="2:7" s="25" customFormat="1" ht="18" hidden="1" customHeight="1" outlineLevel="2" x14ac:dyDescent="0.2">
      <c r="B1874" s="25" t="s">
        <v>352</v>
      </c>
      <c r="C1874" s="25" t="s">
        <v>2652</v>
      </c>
      <c r="D1874" s="25" t="s">
        <v>2666</v>
      </c>
      <c r="G1874" s="25" t="s">
        <v>3914</v>
      </c>
    </row>
    <row r="1875" spans="2:7" s="25" customFormat="1" ht="18" hidden="1" customHeight="1" outlineLevel="2" x14ac:dyDescent="0.2">
      <c r="B1875" s="25" t="s">
        <v>352</v>
      </c>
      <c r="C1875" s="25" t="s">
        <v>2652</v>
      </c>
      <c r="D1875" s="25" t="s">
        <v>2667</v>
      </c>
      <c r="G1875" s="25" t="s">
        <v>3914</v>
      </c>
    </row>
    <row r="1876" spans="2:7" s="25" customFormat="1" ht="18" hidden="1" customHeight="1" outlineLevel="2" x14ac:dyDescent="0.2">
      <c r="B1876" s="25" t="s">
        <v>352</v>
      </c>
      <c r="C1876" s="25" t="s">
        <v>2652</v>
      </c>
      <c r="D1876" s="25" t="s">
        <v>2668</v>
      </c>
      <c r="G1876" s="25" t="s">
        <v>3914</v>
      </c>
    </row>
    <row r="1877" spans="2:7" s="25" customFormat="1" ht="18" hidden="1" customHeight="1" outlineLevel="2" x14ac:dyDescent="0.2">
      <c r="B1877" s="25" t="s">
        <v>352</v>
      </c>
      <c r="C1877" s="25" t="s">
        <v>2652</v>
      </c>
      <c r="D1877" s="25" t="s">
        <v>2669</v>
      </c>
      <c r="G1877" s="25" t="s">
        <v>3914</v>
      </c>
    </row>
    <row r="1878" spans="2:7" s="25" customFormat="1" ht="18" hidden="1" customHeight="1" outlineLevel="2" x14ac:dyDescent="0.2">
      <c r="B1878" s="25" t="s">
        <v>352</v>
      </c>
      <c r="C1878" s="25" t="s">
        <v>2652</v>
      </c>
      <c r="D1878" s="25" t="s">
        <v>2670</v>
      </c>
      <c r="G1878" s="25" t="s">
        <v>3914</v>
      </c>
    </row>
    <row r="1879" spans="2:7" s="25" customFormat="1" ht="18" hidden="1" customHeight="1" outlineLevel="2" x14ac:dyDescent="0.2"/>
    <row r="1880" spans="2:7" s="25" customFormat="1" ht="18" hidden="1" customHeight="1" outlineLevel="2" x14ac:dyDescent="0.2">
      <c r="B1880" s="25" t="s">
        <v>352</v>
      </c>
      <c r="C1880" s="25" t="s">
        <v>3924</v>
      </c>
      <c r="D1880" s="25" t="s">
        <v>2671</v>
      </c>
      <c r="G1880" s="25" t="s">
        <v>3923</v>
      </c>
    </row>
    <row r="1881" spans="2:7" s="25" customFormat="1" ht="18" hidden="1" customHeight="1" outlineLevel="2" x14ac:dyDescent="0.2">
      <c r="B1881" s="25" t="s">
        <v>352</v>
      </c>
      <c r="C1881" s="25" t="s">
        <v>3924</v>
      </c>
      <c r="D1881" s="25" t="s">
        <v>2672</v>
      </c>
      <c r="G1881" s="25" t="s">
        <v>3923</v>
      </c>
    </row>
    <row r="1882" spans="2:7" s="25" customFormat="1" ht="18" hidden="1" customHeight="1" outlineLevel="2" x14ac:dyDescent="0.2">
      <c r="B1882" s="25" t="s">
        <v>352</v>
      </c>
      <c r="C1882" s="25" t="s">
        <v>3924</v>
      </c>
      <c r="D1882" s="25" t="s">
        <v>2673</v>
      </c>
      <c r="G1882" s="25" t="s">
        <v>3923</v>
      </c>
    </row>
    <row r="1883" spans="2:7" s="25" customFormat="1" ht="18" hidden="1" customHeight="1" outlineLevel="2" x14ac:dyDescent="0.2">
      <c r="B1883" s="25" t="s">
        <v>352</v>
      </c>
      <c r="C1883" s="25" t="s">
        <v>3924</v>
      </c>
      <c r="D1883" s="25" t="s">
        <v>2674</v>
      </c>
      <c r="G1883" s="25" t="s">
        <v>3923</v>
      </c>
    </row>
    <row r="1884" spans="2:7" s="25" customFormat="1" ht="18" hidden="1" customHeight="1" outlineLevel="2" x14ac:dyDescent="0.2">
      <c r="B1884" s="25" t="s">
        <v>352</v>
      </c>
      <c r="C1884" s="25" t="s">
        <v>3924</v>
      </c>
      <c r="D1884" s="25" t="s">
        <v>2675</v>
      </c>
      <c r="G1884" s="25" t="s">
        <v>3923</v>
      </c>
    </row>
    <row r="1885" spans="2:7" s="25" customFormat="1" ht="18" hidden="1" customHeight="1" outlineLevel="2" x14ac:dyDescent="0.2">
      <c r="B1885" s="25" t="s">
        <v>352</v>
      </c>
      <c r="C1885" s="25" t="s">
        <v>3924</v>
      </c>
      <c r="D1885" s="25" t="s">
        <v>2676</v>
      </c>
      <c r="G1885" s="25" t="s">
        <v>3923</v>
      </c>
    </row>
    <row r="1886" spans="2:7" s="25" customFormat="1" ht="18" hidden="1" customHeight="1" outlineLevel="2" x14ac:dyDescent="0.2">
      <c r="B1886" s="25" t="s">
        <v>352</v>
      </c>
      <c r="C1886" s="25" t="s">
        <v>3924</v>
      </c>
      <c r="D1886" s="25" t="s">
        <v>2677</v>
      </c>
      <c r="G1886" s="25" t="s">
        <v>3923</v>
      </c>
    </row>
    <row r="1887" spans="2:7" s="25" customFormat="1" ht="18" hidden="1" customHeight="1" outlineLevel="2" x14ac:dyDescent="0.2">
      <c r="B1887" s="25" t="s">
        <v>352</v>
      </c>
      <c r="C1887" s="25" t="s">
        <v>3924</v>
      </c>
      <c r="D1887" s="25" t="s">
        <v>2678</v>
      </c>
      <c r="G1887" s="25" t="s">
        <v>3923</v>
      </c>
    </row>
    <row r="1888" spans="2:7" s="25" customFormat="1" ht="18" hidden="1" customHeight="1" outlineLevel="2" x14ac:dyDescent="0.2">
      <c r="B1888" s="25" t="s">
        <v>352</v>
      </c>
      <c r="C1888" s="25" t="s">
        <v>3924</v>
      </c>
      <c r="D1888" s="25" t="s">
        <v>2679</v>
      </c>
      <c r="G1888" s="25" t="s">
        <v>3923</v>
      </c>
    </row>
    <row r="1889" spans="1:8" ht="18" hidden="1" customHeight="1" outlineLevel="2" x14ac:dyDescent="0.2">
      <c r="A1889" s="25"/>
      <c r="B1889" s="25" t="s">
        <v>352</v>
      </c>
      <c r="C1889" s="25" t="s">
        <v>3924</v>
      </c>
      <c r="D1889" s="25" t="s">
        <v>2680</v>
      </c>
      <c r="E1889" s="25"/>
      <c r="F1889" s="25"/>
      <c r="G1889" s="25" t="s">
        <v>3923</v>
      </c>
    </row>
    <row r="1890" spans="1:8" ht="18" hidden="1" customHeight="1" outlineLevel="2" x14ac:dyDescent="0.2">
      <c r="A1890" s="25"/>
      <c r="B1890" s="25" t="s">
        <v>352</v>
      </c>
      <c r="C1890" s="25" t="s">
        <v>3924</v>
      </c>
      <c r="D1890" s="25" t="s">
        <v>2681</v>
      </c>
      <c r="E1890" s="25"/>
      <c r="F1890" s="25"/>
      <c r="G1890" s="25" t="s">
        <v>3923</v>
      </c>
    </row>
    <row r="1891" spans="1:8" ht="18" hidden="1" customHeight="1" outlineLevel="2" x14ac:dyDescent="0.2">
      <c r="A1891" s="25"/>
      <c r="B1891" s="25" t="s">
        <v>352</v>
      </c>
      <c r="C1891" s="25" t="s">
        <v>3924</v>
      </c>
      <c r="D1891" s="25" t="s">
        <v>2682</v>
      </c>
      <c r="E1891" s="25"/>
      <c r="F1891" s="25"/>
      <c r="G1891" s="25" t="s">
        <v>3923</v>
      </c>
    </row>
    <row r="1892" spans="1:8" ht="18" hidden="1" customHeight="1" outlineLevel="2" x14ac:dyDescent="0.2">
      <c r="A1892" s="25"/>
      <c r="B1892" s="25" t="s">
        <v>352</v>
      </c>
      <c r="C1892" s="25" t="s">
        <v>3924</v>
      </c>
      <c r="D1892" s="25" t="s">
        <v>2683</v>
      </c>
      <c r="E1892" s="25"/>
      <c r="F1892" s="25"/>
      <c r="G1892" s="25" t="s">
        <v>3923</v>
      </c>
    </row>
    <row r="1893" spans="1:8" ht="18" hidden="1" customHeight="1" outlineLevel="2" x14ac:dyDescent="0.2">
      <c r="A1893" s="25"/>
      <c r="B1893" s="25"/>
      <c r="C1893" s="25"/>
      <c r="D1893" s="25"/>
      <c r="E1893" s="25"/>
      <c r="F1893" s="25"/>
      <c r="G1893" s="25"/>
    </row>
    <row r="1894" spans="1:8" ht="18" hidden="1" customHeight="1" outlineLevel="1" x14ac:dyDescent="0.2">
      <c r="A1894" s="119" t="s">
        <v>3926</v>
      </c>
      <c r="B1894" s="120"/>
      <c r="C1894" s="120"/>
      <c r="D1894" s="120"/>
      <c r="E1894" s="120"/>
      <c r="F1894" s="120"/>
      <c r="G1894" s="120"/>
      <c r="H1894" s="120"/>
    </row>
    <row r="1895" spans="1:8" ht="18" hidden="1" customHeight="1" outlineLevel="2" x14ac:dyDescent="0.2">
      <c r="A1895" s="25"/>
      <c r="B1895" s="25" t="s">
        <v>352</v>
      </c>
      <c r="C1895" s="25" t="s">
        <v>2684</v>
      </c>
      <c r="D1895" s="25" t="s">
        <v>2685</v>
      </c>
      <c r="E1895" s="25"/>
      <c r="F1895" s="25"/>
      <c r="G1895" s="25" t="s">
        <v>3914</v>
      </c>
    </row>
    <row r="1896" spans="1:8" ht="18" hidden="1" customHeight="1" outlineLevel="2" x14ac:dyDescent="0.2">
      <c r="A1896" s="25"/>
      <c r="B1896" s="25" t="s">
        <v>352</v>
      </c>
      <c r="C1896" s="25" t="s">
        <v>2684</v>
      </c>
      <c r="D1896" s="25" t="s">
        <v>2686</v>
      </c>
      <c r="E1896" s="25"/>
      <c r="F1896" s="25"/>
      <c r="G1896" s="25" t="s">
        <v>3914</v>
      </c>
    </row>
    <row r="1897" spans="1:8" ht="18" hidden="1" customHeight="1" outlineLevel="2" x14ac:dyDescent="0.2">
      <c r="A1897" s="25"/>
      <c r="B1897" s="25" t="s">
        <v>352</v>
      </c>
      <c r="C1897" s="25" t="s">
        <v>2684</v>
      </c>
      <c r="D1897" s="25" t="s">
        <v>2687</v>
      </c>
      <c r="E1897" s="25"/>
      <c r="F1897" s="25"/>
      <c r="G1897" s="25" t="s">
        <v>3914</v>
      </c>
    </row>
    <row r="1898" spans="1:8" ht="18" hidden="1" customHeight="1" outlineLevel="2" x14ac:dyDescent="0.2">
      <c r="A1898" s="25"/>
      <c r="B1898" s="25" t="s">
        <v>352</v>
      </c>
      <c r="C1898" s="25" t="s">
        <v>2684</v>
      </c>
      <c r="D1898" s="25" t="s">
        <v>2688</v>
      </c>
      <c r="E1898" s="25"/>
      <c r="F1898" s="25"/>
      <c r="G1898" s="25" t="s">
        <v>3914</v>
      </c>
    </row>
    <row r="1899" spans="1:8" ht="18" hidden="1" customHeight="1" outlineLevel="2" x14ac:dyDescent="0.2">
      <c r="A1899" s="25"/>
      <c r="B1899" s="25" t="s">
        <v>352</v>
      </c>
      <c r="C1899" s="25" t="s">
        <v>2684</v>
      </c>
      <c r="D1899" s="25" t="s">
        <v>2689</v>
      </c>
      <c r="E1899" s="25"/>
      <c r="F1899" s="25"/>
      <c r="G1899" s="25" t="s">
        <v>3914</v>
      </c>
    </row>
    <row r="1900" spans="1:8" ht="18" hidden="1" customHeight="1" outlineLevel="2" x14ac:dyDescent="0.2">
      <c r="A1900" s="25"/>
      <c r="B1900" s="25" t="s">
        <v>352</v>
      </c>
      <c r="C1900" s="25" t="s">
        <v>2684</v>
      </c>
      <c r="D1900" s="25" t="s">
        <v>2690</v>
      </c>
      <c r="E1900" s="25"/>
      <c r="F1900" s="25"/>
      <c r="G1900" s="25" t="s">
        <v>3914</v>
      </c>
    </row>
    <row r="1901" spans="1:8" ht="18" hidden="1" customHeight="1" outlineLevel="2" x14ac:dyDescent="0.2">
      <c r="A1901" s="25"/>
      <c r="B1901" s="25" t="s">
        <v>352</v>
      </c>
      <c r="C1901" s="25" t="s">
        <v>2684</v>
      </c>
      <c r="D1901" s="25" t="s">
        <v>2691</v>
      </c>
      <c r="E1901" s="25"/>
      <c r="F1901" s="25"/>
      <c r="G1901" s="25" t="s">
        <v>3914</v>
      </c>
    </row>
    <row r="1902" spans="1:8" ht="18" hidden="1" customHeight="1" outlineLevel="2" x14ac:dyDescent="0.2">
      <c r="A1902" s="25"/>
      <c r="B1902" s="25" t="s">
        <v>352</v>
      </c>
      <c r="C1902" s="25" t="s">
        <v>2684</v>
      </c>
      <c r="D1902" s="25" t="s">
        <v>2692</v>
      </c>
      <c r="E1902" s="25"/>
      <c r="F1902" s="25"/>
      <c r="G1902" s="25" t="s">
        <v>3914</v>
      </c>
    </row>
    <row r="1903" spans="1:8" ht="18" hidden="1" customHeight="1" outlineLevel="2" x14ac:dyDescent="0.2">
      <c r="A1903" s="25"/>
      <c r="B1903" s="25" t="s">
        <v>352</v>
      </c>
      <c r="C1903" s="25" t="s">
        <v>2684</v>
      </c>
      <c r="D1903" s="25" t="s">
        <v>2693</v>
      </c>
      <c r="E1903" s="25"/>
      <c r="F1903" s="25"/>
      <c r="G1903" s="25" t="s">
        <v>3914</v>
      </c>
    </row>
    <row r="1904" spans="1:8" ht="18" hidden="1" customHeight="1" outlineLevel="2" x14ac:dyDescent="0.2">
      <c r="A1904" s="25"/>
      <c r="B1904" s="25" t="s">
        <v>352</v>
      </c>
      <c r="C1904" s="25" t="s">
        <v>2684</v>
      </c>
      <c r="D1904" s="25" t="s">
        <v>2694</v>
      </c>
      <c r="E1904" s="25"/>
      <c r="F1904" s="25"/>
      <c r="G1904" s="25" t="s">
        <v>3914</v>
      </c>
    </row>
    <row r="1905" spans="1:8" ht="18" hidden="1" customHeight="1" outlineLevel="2" x14ac:dyDescent="0.2">
      <c r="A1905" s="25"/>
      <c r="B1905" s="25" t="s">
        <v>352</v>
      </c>
      <c r="C1905" s="25" t="s">
        <v>2684</v>
      </c>
      <c r="D1905" s="25" t="s">
        <v>2695</v>
      </c>
      <c r="E1905" s="25"/>
      <c r="F1905" s="25"/>
      <c r="G1905" s="25" t="s">
        <v>3914</v>
      </c>
    </row>
    <row r="1906" spans="1:8" ht="18" hidden="1" customHeight="1" outlineLevel="2" x14ac:dyDescent="0.2">
      <c r="A1906" s="25"/>
      <c r="B1906" s="25" t="s">
        <v>352</v>
      </c>
      <c r="C1906" s="25" t="s">
        <v>2684</v>
      </c>
      <c r="D1906" s="25" t="s">
        <v>2696</v>
      </c>
      <c r="E1906" s="25"/>
      <c r="F1906" s="25"/>
      <c r="G1906" s="25" t="s">
        <v>3914</v>
      </c>
    </row>
    <row r="1907" spans="1:8" ht="18" hidden="1" customHeight="1" outlineLevel="2" x14ac:dyDescent="0.2">
      <c r="A1907" s="25"/>
      <c r="B1907" s="25" t="s">
        <v>352</v>
      </c>
      <c r="C1907" s="25" t="s">
        <v>2684</v>
      </c>
      <c r="D1907" s="25" t="s">
        <v>2697</v>
      </c>
      <c r="E1907" s="25"/>
      <c r="F1907" s="25"/>
      <c r="G1907" s="25" t="s">
        <v>3914</v>
      </c>
    </row>
    <row r="1908" spans="1:8" ht="18" hidden="1" customHeight="1" outlineLevel="2" x14ac:dyDescent="0.2">
      <c r="A1908" s="25"/>
      <c r="B1908" s="25" t="s">
        <v>352</v>
      </c>
      <c r="C1908" s="25" t="s">
        <v>2684</v>
      </c>
      <c r="D1908" s="25" t="s">
        <v>2698</v>
      </c>
      <c r="E1908" s="25"/>
      <c r="F1908" s="25"/>
      <c r="G1908" s="25" t="s">
        <v>3914</v>
      </c>
    </row>
    <row r="1909" spans="1:8" ht="18" hidden="1" customHeight="1" outlineLevel="2" x14ac:dyDescent="0.2">
      <c r="A1909" s="25"/>
      <c r="B1909" s="25" t="s">
        <v>352</v>
      </c>
      <c r="C1909" s="25" t="s">
        <v>2684</v>
      </c>
      <c r="D1909" s="25" t="s">
        <v>2699</v>
      </c>
      <c r="E1909" s="25"/>
      <c r="F1909" s="25"/>
      <c r="G1909" s="25" t="s">
        <v>3914</v>
      </c>
    </row>
    <row r="1910" spans="1:8" ht="18" hidden="1" customHeight="1" outlineLevel="2" x14ac:dyDescent="0.2">
      <c r="A1910" s="25"/>
      <c r="B1910" s="25" t="s">
        <v>352</v>
      </c>
      <c r="C1910" s="25" t="s">
        <v>2684</v>
      </c>
      <c r="D1910" s="25" t="s">
        <v>2700</v>
      </c>
      <c r="E1910" s="25"/>
      <c r="F1910" s="25"/>
      <c r="G1910" s="25" t="s">
        <v>3914</v>
      </c>
    </row>
    <row r="1911" spans="1:8" ht="18" hidden="1" customHeight="1" outlineLevel="2" x14ac:dyDescent="0.2">
      <c r="A1911" s="25"/>
      <c r="B1911" s="25"/>
      <c r="C1911" s="25"/>
      <c r="D1911" s="25"/>
      <c r="E1911" s="25"/>
      <c r="F1911" s="25"/>
      <c r="G1911" s="25"/>
    </row>
    <row r="1912" spans="1:8" ht="18" hidden="1" customHeight="1" outlineLevel="1" x14ac:dyDescent="0.2">
      <c r="A1912" s="119" t="s">
        <v>140</v>
      </c>
      <c r="B1912" s="120"/>
      <c r="C1912" s="120"/>
      <c r="D1912" s="120"/>
      <c r="E1912" s="120"/>
      <c r="F1912" s="120"/>
      <c r="G1912" s="120"/>
      <c r="H1912" s="120"/>
    </row>
    <row r="1913" spans="1:8" ht="18" hidden="1" customHeight="1" outlineLevel="2" x14ac:dyDescent="0.2">
      <c r="A1913" s="25"/>
      <c r="B1913" s="25" t="s">
        <v>352</v>
      </c>
      <c r="C1913" s="25" t="s">
        <v>2701</v>
      </c>
      <c r="D1913" s="25" t="s">
        <v>2702</v>
      </c>
      <c r="E1913" s="25"/>
      <c r="F1913" s="25"/>
      <c r="G1913" s="25" t="s">
        <v>3914</v>
      </c>
    </row>
    <row r="1914" spans="1:8" ht="18" hidden="1" customHeight="1" outlineLevel="2" x14ac:dyDescent="0.2">
      <c r="A1914" s="25"/>
      <c r="B1914" s="25" t="s">
        <v>352</v>
      </c>
      <c r="C1914" s="25" t="s">
        <v>2701</v>
      </c>
      <c r="D1914" s="25" t="s">
        <v>2703</v>
      </c>
      <c r="E1914" s="25"/>
      <c r="F1914" s="25"/>
      <c r="G1914" s="25" t="s">
        <v>3914</v>
      </c>
    </row>
    <row r="1915" spans="1:8" ht="18" hidden="1" customHeight="1" outlineLevel="2" x14ac:dyDescent="0.2">
      <c r="A1915" s="25"/>
      <c r="B1915" s="25" t="s">
        <v>352</v>
      </c>
      <c r="C1915" s="25" t="s">
        <v>2701</v>
      </c>
      <c r="D1915" s="25" t="s">
        <v>2704</v>
      </c>
      <c r="E1915" s="25"/>
      <c r="F1915" s="25"/>
      <c r="G1915" s="25" t="s">
        <v>3914</v>
      </c>
    </row>
    <row r="1916" spans="1:8" ht="18" hidden="1" customHeight="1" outlineLevel="2" x14ac:dyDescent="0.2">
      <c r="A1916" s="25"/>
      <c r="B1916" s="25" t="s">
        <v>352</v>
      </c>
      <c r="C1916" s="25" t="s">
        <v>2701</v>
      </c>
      <c r="D1916" s="25" t="s">
        <v>2705</v>
      </c>
      <c r="E1916" s="25"/>
      <c r="F1916" s="25"/>
      <c r="G1916" s="25" t="s">
        <v>3914</v>
      </c>
    </row>
    <row r="1917" spans="1:8" ht="18" hidden="1" customHeight="1" outlineLevel="2" x14ac:dyDescent="0.2">
      <c r="A1917" s="25"/>
      <c r="B1917" s="25" t="s">
        <v>352</v>
      </c>
      <c r="C1917" s="25" t="s">
        <v>2701</v>
      </c>
      <c r="D1917" s="25" t="s">
        <v>2706</v>
      </c>
      <c r="E1917" s="25"/>
      <c r="F1917" s="25"/>
      <c r="G1917" s="25" t="s">
        <v>3914</v>
      </c>
    </row>
    <row r="1918" spans="1:8" ht="18" hidden="1" customHeight="1" outlineLevel="2" x14ac:dyDescent="0.2">
      <c r="A1918" s="25"/>
      <c r="B1918" s="25" t="s">
        <v>352</v>
      </c>
      <c r="C1918" s="25" t="s">
        <v>2701</v>
      </c>
      <c r="D1918" s="25" t="s">
        <v>2707</v>
      </c>
      <c r="E1918" s="25"/>
      <c r="F1918" s="25"/>
      <c r="G1918" s="25" t="s">
        <v>3914</v>
      </c>
    </row>
    <row r="1919" spans="1:8" ht="18" hidden="1" customHeight="1" outlineLevel="2" x14ac:dyDescent="0.2">
      <c r="A1919" s="25"/>
      <c r="B1919" s="25" t="s">
        <v>352</v>
      </c>
      <c r="C1919" s="25" t="s">
        <v>2701</v>
      </c>
      <c r="D1919" s="25" t="s">
        <v>2708</v>
      </c>
      <c r="E1919" s="25"/>
      <c r="F1919" s="25"/>
      <c r="G1919" s="25" t="s">
        <v>3914</v>
      </c>
    </row>
    <row r="1920" spans="1:8" ht="18" hidden="1" customHeight="1" outlineLevel="2" x14ac:dyDescent="0.2">
      <c r="A1920" s="25"/>
      <c r="B1920" s="25" t="s">
        <v>352</v>
      </c>
      <c r="C1920" s="25" t="s">
        <v>2701</v>
      </c>
      <c r="D1920" s="25" t="s">
        <v>2709</v>
      </c>
      <c r="E1920" s="25"/>
      <c r="F1920" s="25"/>
      <c r="G1920" s="25" t="s">
        <v>3914</v>
      </c>
    </row>
    <row r="1921" spans="2:7" s="25" customFormat="1" ht="18" hidden="1" customHeight="1" outlineLevel="2" x14ac:dyDescent="0.2">
      <c r="B1921" s="25" t="s">
        <v>352</v>
      </c>
      <c r="C1921" s="25" t="s">
        <v>2701</v>
      </c>
      <c r="D1921" s="25" t="s">
        <v>2710</v>
      </c>
      <c r="G1921" s="25" t="s">
        <v>3914</v>
      </c>
    </row>
    <row r="1922" spans="2:7" s="25" customFormat="1" ht="18" hidden="1" customHeight="1" outlineLevel="2" x14ac:dyDescent="0.2">
      <c r="B1922" s="25" t="s">
        <v>352</v>
      </c>
      <c r="C1922" s="25" t="s">
        <v>2701</v>
      </c>
      <c r="D1922" s="25" t="s">
        <v>2711</v>
      </c>
      <c r="G1922" s="25" t="s">
        <v>3914</v>
      </c>
    </row>
    <row r="1923" spans="2:7" s="25" customFormat="1" ht="18" hidden="1" customHeight="1" outlineLevel="2" x14ac:dyDescent="0.2">
      <c r="B1923" s="25" t="s">
        <v>352</v>
      </c>
      <c r="C1923" s="25" t="s">
        <v>2701</v>
      </c>
      <c r="D1923" s="25" t="s">
        <v>2712</v>
      </c>
      <c r="G1923" s="25" t="s">
        <v>3914</v>
      </c>
    </row>
    <row r="1924" spans="2:7" s="25" customFormat="1" ht="18" hidden="1" customHeight="1" outlineLevel="2" x14ac:dyDescent="0.2"/>
    <row r="1925" spans="2:7" s="25" customFormat="1" ht="18" hidden="1" customHeight="1" outlineLevel="2" x14ac:dyDescent="0.2">
      <c r="B1925" s="25" t="s">
        <v>352</v>
      </c>
      <c r="C1925" s="25" t="s">
        <v>2713</v>
      </c>
      <c r="D1925" s="25" t="s">
        <v>2703</v>
      </c>
      <c r="G1925" s="25" t="s">
        <v>3914</v>
      </c>
    </row>
    <row r="1926" spans="2:7" s="25" customFormat="1" ht="18" hidden="1" customHeight="1" outlineLevel="2" x14ac:dyDescent="0.2">
      <c r="B1926" s="25" t="s">
        <v>352</v>
      </c>
      <c r="C1926" s="25" t="s">
        <v>2713</v>
      </c>
      <c r="D1926" s="25" t="s">
        <v>2704</v>
      </c>
      <c r="G1926" s="25" t="s">
        <v>3914</v>
      </c>
    </row>
    <row r="1927" spans="2:7" s="25" customFormat="1" ht="18" hidden="1" customHeight="1" outlineLevel="2" x14ac:dyDescent="0.2">
      <c r="B1927" s="25" t="s">
        <v>352</v>
      </c>
      <c r="C1927" s="25" t="s">
        <v>2713</v>
      </c>
      <c r="D1927" s="25" t="s">
        <v>2705</v>
      </c>
      <c r="G1927" s="25" t="s">
        <v>3914</v>
      </c>
    </row>
    <row r="1928" spans="2:7" s="25" customFormat="1" ht="18" hidden="1" customHeight="1" outlineLevel="2" x14ac:dyDescent="0.2">
      <c r="B1928" s="25" t="s">
        <v>352</v>
      </c>
      <c r="C1928" s="25" t="s">
        <v>2713</v>
      </c>
      <c r="D1928" s="25" t="s">
        <v>2707</v>
      </c>
      <c r="G1928" s="25" t="s">
        <v>3914</v>
      </c>
    </row>
    <row r="1929" spans="2:7" s="25" customFormat="1" ht="18" hidden="1" customHeight="1" outlineLevel="2" x14ac:dyDescent="0.2">
      <c r="B1929" s="25" t="s">
        <v>352</v>
      </c>
      <c r="C1929" s="25" t="s">
        <v>2713</v>
      </c>
      <c r="D1929" s="25" t="s">
        <v>2714</v>
      </c>
      <c r="G1929" s="25" t="s">
        <v>3914</v>
      </c>
    </row>
    <row r="1930" spans="2:7" s="25" customFormat="1" ht="18" hidden="1" customHeight="1" outlineLevel="2" x14ac:dyDescent="0.2">
      <c r="B1930" s="25" t="s">
        <v>352</v>
      </c>
      <c r="C1930" s="25" t="s">
        <v>2713</v>
      </c>
      <c r="D1930" s="25" t="s">
        <v>2708</v>
      </c>
      <c r="G1930" s="25" t="s">
        <v>3914</v>
      </c>
    </row>
    <row r="1931" spans="2:7" s="25" customFormat="1" ht="18" hidden="1" customHeight="1" outlineLevel="2" x14ac:dyDescent="0.2"/>
    <row r="1932" spans="2:7" s="25" customFormat="1" ht="18" hidden="1" customHeight="1" outlineLevel="2" x14ac:dyDescent="0.2">
      <c r="B1932" s="25" t="s">
        <v>352</v>
      </c>
      <c r="C1932" s="25" t="s">
        <v>3917</v>
      </c>
      <c r="D1932" s="25" t="s">
        <v>2715</v>
      </c>
      <c r="G1932" s="25" t="s">
        <v>3918</v>
      </c>
    </row>
    <row r="1933" spans="2:7" s="25" customFormat="1" ht="18" hidden="1" customHeight="1" outlineLevel="2" x14ac:dyDescent="0.2">
      <c r="B1933" s="25" t="s">
        <v>352</v>
      </c>
      <c r="C1933" s="25" t="s">
        <v>3917</v>
      </c>
      <c r="D1933" s="25" t="s">
        <v>2716</v>
      </c>
      <c r="G1933" s="25" t="s">
        <v>3918</v>
      </c>
    </row>
    <row r="1934" spans="2:7" s="25" customFormat="1" ht="18" hidden="1" customHeight="1" outlineLevel="2" x14ac:dyDescent="0.2">
      <c r="B1934" s="25" t="s">
        <v>352</v>
      </c>
      <c r="C1934" s="25" t="s">
        <v>3917</v>
      </c>
      <c r="D1934" s="25" t="s">
        <v>2717</v>
      </c>
      <c r="G1934" s="25" t="s">
        <v>3918</v>
      </c>
    </row>
    <row r="1935" spans="2:7" s="25" customFormat="1" ht="18" hidden="1" customHeight="1" outlineLevel="2" x14ac:dyDescent="0.2">
      <c r="B1935" s="25" t="s">
        <v>352</v>
      </c>
      <c r="C1935" s="25" t="s">
        <v>3917</v>
      </c>
      <c r="D1935" s="25" t="s">
        <v>2718</v>
      </c>
      <c r="G1935" s="25" t="s">
        <v>3918</v>
      </c>
    </row>
    <row r="1936" spans="2:7" s="25" customFormat="1" ht="18" hidden="1" customHeight="1" outlineLevel="2" x14ac:dyDescent="0.2">
      <c r="B1936" s="25" t="s">
        <v>352</v>
      </c>
      <c r="C1936" s="25" t="s">
        <v>3917</v>
      </c>
      <c r="D1936" s="25" t="s">
        <v>2719</v>
      </c>
      <c r="G1936" s="25" t="s">
        <v>3918</v>
      </c>
    </row>
    <row r="1937" spans="2:7" s="25" customFormat="1" ht="18" hidden="1" customHeight="1" outlineLevel="2" x14ac:dyDescent="0.2"/>
    <row r="1938" spans="2:7" s="25" customFormat="1" ht="18" hidden="1" customHeight="1" outlineLevel="2" x14ac:dyDescent="0.2">
      <c r="B1938" s="25" t="s">
        <v>352</v>
      </c>
      <c r="C1938" s="25" t="s">
        <v>3920</v>
      </c>
      <c r="D1938" s="25" t="s">
        <v>2720</v>
      </c>
      <c r="G1938" s="25" t="s">
        <v>3919</v>
      </c>
    </row>
    <row r="1939" spans="2:7" s="25" customFormat="1" ht="18" hidden="1" customHeight="1" outlineLevel="2" x14ac:dyDescent="0.2"/>
    <row r="1940" spans="2:7" s="25" customFormat="1" ht="18" hidden="1" customHeight="1" outlineLevel="2" x14ac:dyDescent="0.2">
      <c r="B1940" s="25" t="s">
        <v>352</v>
      </c>
      <c r="C1940" s="25" t="s">
        <v>3916</v>
      </c>
      <c r="D1940" s="25" t="s">
        <v>2703</v>
      </c>
      <c r="G1940" s="25" t="s">
        <v>3921</v>
      </c>
    </row>
    <row r="1941" spans="2:7" s="25" customFormat="1" ht="18" hidden="1" customHeight="1" outlineLevel="2" x14ac:dyDescent="0.2">
      <c r="B1941" s="25" t="s">
        <v>352</v>
      </c>
      <c r="C1941" s="25" t="s">
        <v>3916</v>
      </c>
      <c r="D1941" s="25" t="s">
        <v>2722</v>
      </c>
      <c r="G1941" s="25" t="s">
        <v>3921</v>
      </c>
    </row>
    <row r="1942" spans="2:7" s="25" customFormat="1" ht="18" hidden="1" customHeight="1" outlineLevel="2" x14ac:dyDescent="0.2">
      <c r="B1942" s="25" t="s">
        <v>352</v>
      </c>
      <c r="C1942" s="25" t="s">
        <v>3916</v>
      </c>
      <c r="D1942" s="25" t="s">
        <v>2707</v>
      </c>
      <c r="G1942" s="25" t="s">
        <v>3921</v>
      </c>
    </row>
    <row r="1943" spans="2:7" s="25" customFormat="1" ht="18" hidden="1" customHeight="1" outlineLevel="2" x14ac:dyDescent="0.2">
      <c r="B1943" s="25" t="s">
        <v>352</v>
      </c>
      <c r="C1943" s="25" t="s">
        <v>3916</v>
      </c>
      <c r="D1943" s="25" t="s">
        <v>2708</v>
      </c>
      <c r="G1943" s="25" t="s">
        <v>3921</v>
      </c>
    </row>
    <row r="1944" spans="2:7" s="25" customFormat="1" ht="18" hidden="1" customHeight="1" outlineLevel="2" x14ac:dyDescent="0.2">
      <c r="B1944" s="25" t="s">
        <v>352</v>
      </c>
      <c r="C1944" s="25" t="s">
        <v>3916</v>
      </c>
      <c r="D1944" s="25" t="s">
        <v>2723</v>
      </c>
      <c r="G1944" s="25" t="s">
        <v>3921</v>
      </c>
    </row>
    <row r="1945" spans="2:7" s="25" customFormat="1" ht="18" hidden="1" customHeight="1" outlineLevel="2" x14ac:dyDescent="0.2">
      <c r="B1945" s="25" t="s">
        <v>352</v>
      </c>
      <c r="C1945" s="25" t="s">
        <v>3916</v>
      </c>
      <c r="D1945" s="25" t="s">
        <v>2724</v>
      </c>
      <c r="G1945" s="25" t="s">
        <v>3921</v>
      </c>
    </row>
    <row r="1946" spans="2:7" s="25" customFormat="1" ht="18" hidden="1" customHeight="1" outlineLevel="2" x14ac:dyDescent="0.2">
      <c r="B1946" s="25" t="s">
        <v>352</v>
      </c>
      <c r="C1946" s="25" t="s">
        <v>3916</v>
      </c>
      <c r="D1946" s="25" t="s">
        <v>2725</v>
      </c>
      <c r="G1946" s="25" t="s">
        <v>3921</v>
      </c>
    </row>
    <row r="1947" spans="2:7" s="25" customFormat="1" ht="18" hidden="1" customHeight="1" outlineLevel="2" x14ac:dyDescent="0.2"/>
    <row r="1948" spans="2:7" s="25" customFormat="1" ht="18" hidden="1" customHeight="1" outlineLevel="2" x14ac:dyDescent="0.2">
      <c r="B1948" s="25" t="s">
        <v>352</v>
      </c>
      <c r="C1948" s="25" t="s">
        <v>3916</v>
      </c>
      <c r="D1948" s="25" t="s">
        <v>2703</v>
      </c>
      <c r="G1948" s="25" t="s">
        <v>3922</v>
      </c>
    </row>
    <row r="1949" spans="2:7" s="25" customFormat="1" ht="18" hidden="1" customHeight="1" outlineLevel="2" x14ac:dyDescent="0.2">
      <c r="B1949" s="25" t="s">
        <v>352</v>
      </c>
      <c r="C1949" s="25" t="s">
        <v>3916</v>
      </c>
      <c r="D1949" s="25" t="s">
        <v>2722</v>
      </c>
      <c r="G1949" s="25" t="s">
        <v>3922</v>
      </c>
    </row>
    <row r="1950" spans="2:7" s="25" customFormat="1" ht="18" hidden="1" customHeight="1" outlineLevel="2" x14ac:dyDescent="0.2">
      <c r="B1950" s="25" t="s">
        <v>352</v>
      </c>
      <c r="C1950" s="25" t="s">
        <v>3916</v>
      </c>
      <c r="D1950" s="25" t="s">
        <v>2707</v>
      </c>
      <c r="G1950" s="25" t="s">
        <v>3922</v>
      </c>
    </row>
    <row r="1951" spans="2:7" s="25" customFormat="1" ht="18" hidden="1" customHeight="1" outlineLevel="2" x14ac:dyDescent="0.2">
      <c r="B1951" s="25" t="s">
        <v>352</v>
      </c>
      <c r="C1951" s="25" t="s">
        <v>3916</v>
      </c>
      <c r="D1951" s="25" t="s">
        <v>2708</v>
      </c>
      <c r="G1951" s="25" t="s">
        <v>3922</v>
      </c>
    </row>
    <row r="1952" spans="2:7" s="25" customFormat="1" ht="18" hidden="1" customHeight="1" outlineLevel="2" x14ac:dyDescent="0.2">
      <c r="B1952" s="25" t="s">
        <v>352</v>
      </c>
      <c r="C1952" s="25" t="s">
        <v>3916</v>
      </c>
      <c r="D1952" s="25" t="s">
        <v>2723</v>
      </c>
      <c r="G1952" s="25" t="s">
        <v>3922</v>
      </c>
    </row>
    <row r="1953" spans="1:35" ht="18" hidden="1" customHeight="1" outlineLevel="2" x14ac:dyDescent="0.2">
      <c r="A1953" s="25"/>
      <c r="B1953" s="25" t="s">
        <v>352</v>
      </c>
      <c r="C1953" s="25" t="s">
        <v>3916</v>
      </c>
      <c r="D1953" s="25" t="s">
        <v>2724</v>
      </c>
      <c r="E1953" s="25"/>
      <c r="F1953" s="25"/>
      <c r="G1953" s="25" t="s">
        <v>3922</v>
      </c>
    </row>
    <row r="1954" spans="1:35" ht="18" hidden="1" customHeight="1" outlineLevel="2" x14ac:dyDescent="0.2">
      <c r="A1954" s="25"/>
      <c r="B1954" s="25" t="s">
        <v>352</v>
      </c>
      <c r="C1954" s="25" t="s">
        <v>3916</v>
      </c>
      <c r="D1954" s="25" t="s">
        <v>2725</v>
      </c>
      <c r="E1954" s="25"/>
      <c r="F1954" s="25"/>
      <c r="G1954" s="25" t="s">
        <v>3922</v>
      </c>
    </row>
    <row r="1955" spans="1:35" ht="18" hidden="1" customHeight="1" outlineLevel="2" x14ac:dyDescent="0.2">
      <c r="A1955" s="25"/>
      <c r="B1955" s="25"/>
      <c r="C1955" s="25"/>
      <c r="D1955" s="25"/>
      <c r="E1955" s="25"/>
      <c r="F1955" s="25"/>
      <c r="G1955" s="25"/>
    </row>
    <row r="1956" spans="1:35" ht="18" customHeight="1" collapsed="1" x14ac:dyDescent="0.2">
      <c r="A1956" s="125" t="s">
        <v>4008</v>
      </c>
      <c r="B1956" s="126"/>
      <c r="C1956" s="126"/>
      <c r="D1956" s="126"/>
      <c r="E1956" s="126"/>
      <c r="F1956" s="126"/>
      <c r="G1956" s="126"/>
      <c r="H1956" s="126"/>
      <c r="AG1956" s="10" t="s">
        <v>4038</v>
      </c>
      <c r="AH1956" s="10" t="s">
        <v>4019</v>
      </c>
      <c r="AI1956" s="10" t="s">
        <v>4018</v>
      </c>
    </row>
    <row r="1957" spans="1:35" ht="18" hidden="1" customHeight="1" outlineLevel="1" x14ac:dyDescent="0.2">
      <c r="A1957" s="119" t="s">
        <v>3927</v>
      </c>
      <c r="B1957" s="120"/>
      <c r="C1957" s="120"/>
      <c r="D1957" s="120"/>
      <c r="E1957" s="120"/>
      <c r="F1957" s="120"/>
      <c r="G1957" s="120"/>
      <c r="H1957" s="120"/>
    </row>
    <row r="1958" spans="1:35" ht="18" hidden="1" customHeight="1" outlineLevel="2" x14ac:dyDescent="0.2">
      <c r="A1958" s="25"/>
      <c r="B1958" s="25"/>
      <c r="C1958" s="25" t="s">
        <v>3928</v>
      </c>
      <c r="D1958" s="25" t="s">
        <v>4060</v>
      </c>
      <c r="E1958" s="25"/>
      <c r="F1958" s="25"/>
      <c r="G1958" s="25"/>
      <c r="H1958" s="25" t="s">
        <v>2065</v>
      </c>
      <c r="AG1958" s="10">
        <v>523218</v>
      </c>
      <c r="AH1958" s="10">
        <v>45353</v>
      </c>
      <c r="AI1958" s="1">
        <v>904497</v>
      </c>
    </row>
    <row r="1959" spans="1:35" ht="18" hidden="1" customHeight="1" outlineLevel="2" x14ac:dyDescent="0.2">
      <c r="A1959" s="25"/>
      <c r="B1959" s="25"/>
      <c r="C1959" s="25" t="s">
        <v>3928</v>
      </c>
      <c r="D1959" s="25" t="s">
        <v>4021</v>
      </c>
      <c r="E1959" s="25"/>
      <c r="F1959" s="25"/>
      <c r="G1959" s="25"/>
      <c r="H1959" s="25" t="s">
        <v>2065</v>
      </c>
      <c r="AG1959" s="10">
        <v>523774</v>
      </c>
      <c r="AH1959" s="10">
        <v>45379</v>
      </c>
      <c r="AI1959" s="1">
        <v>904328</v>
      </c>
    </row>
    <row r="1960" spans="1:35" ht="18" hidden="1" customHeight="1" outlineLevel="2" x14ac:dyDescent="0.2">
      <c r="A1960" s="25"/>
      <c r="B1960" s="25"/>
      <c r="C1960" s="25" t="s">
        <v>3928</v>
      </c>
      <c r="D1960" s="25" t="s">
        <v>4020</v>
      </c>
      <c r="E1960" s="25"/>
      <c r="F1960" s="25"/>
      <c r="G1960" s="25"/>
      <c r="H1960" s="25" t="s">
        <v>2065</v>
      </c>
      <c r="AG1960" s="10">
        <v>523775</v>
      </c>
      <c r="AH1960" s="10">
        <v>45387</v>
      </c>
      <c r="AI1960" s="1">
        <v>904264</v>
      </c>
    </row>
    <row r="1961" spans="1:35" ht="18" hidden="1" customHeight="1" outlineLevel="2" x14ac:dyDescent="0.2">
      <c r="A1961" s="25"/>
      <c r="B1961" s="25"/>
      <c r="C1961" s="25" t="s">
        <v>3928</v>
      </c>
      <c r="D1961" s="25" t="s">
        <v>4022</v>
      </c>
      <c r="E1961" s="25"/>
      <c r="F1961" s="25"/>
      <c r="G1961" s="25"/>
      <c r="H1961" s="25" t="s">
        <v>2065</v>
      </c>
      <c r="AG1961" s="10">
        <v>523776</v>
      </c>
      <c r="AH1961" s="10">
        <v>45395</v>
      </c>
      <c r="AI1961" s="10">
        <v>904284</v>
      </c>
    </row>
    <row r="1962" spans="1:35" ht="18" hidden="1" customHeight="1" outlineLevel="2" x14ac:dyDescent="0.2">
      <c r="A1962" s="25"/>
      <c r="B1962" s="25"/>
      <c r="C1962" s="25" t="s">
        <v>3928</v>
      </c>
      <c r="D1962" s="25" t="s">
        <v>4055</v>
      </c>
      <c r="E1962" s="25"/>
      <c r="F1962" s="25"/>
      <c r="G1962" s="25"/>
      <c r="H1962" s="25" t="s">
        <v>2065</v>
      </c>
      <c r="AG1962" s="10">
        <v>523777</v>
      </c>
      <c r="AH1962" s="10">
        <v>45402</v>
      </c>
      <c r="AI1962" s="10">
        <v>904271</v>
      </c>
    </row>
    <row r="1963" spans="1:35" ht="18" hidden="1" customHeight="1" outlineLevel="2" x14ac:dyDescent="0.2">
      <c r="A1963" s="25"/>
      <c r="B1963" s="25"/>
      <c r="C1963" s="25" t="s">
        <v>3928</v>
      </c>
      <c r="D1963" s="25" t="s">
        <v>4056</v>
      </c>
      <c r="E1963" s="25"/>
      <c r="F1963" s="25"/>
      <c r="G1963" s="25"/>
      <c r="H1963" s="25" t="s">
        <v>2065</v>
      </c>
      <c r="AG1963" s="10">
        <v>523778</v>
      </c>
      <c r="AH1963" s="10">
        <v>45410</v>
      </c>
      <c r="AI1963" s="10">
        <v>904265</v>
      </c>
    </row>
    <row r="1964" spans="1:35" ht="18" hidden="1" customHeight="1" outlineLevel="2" x14ac:dyDescent="0.2">
      <c r="A1964" s="25"/>
      <c r="B1964" s="25"/>
      <c r="C1964" s="25" t="s">
        <v>3928</v>
      </c>
      <c r="D1964" s="25" t="s">
        <v>4057</v>
      </c>
      <c r="E1964" s="25"/>
      <c r="F1964" s="25"/>
      <c r="G1964" s="25"/>
      <c r="H1964" s="25" t="s">
        <v>2065</v>
      </c>
      <c r="AG1964" s="10">
        <v>523782</v>
      </c>
      <c r="AH1964" s="10">
        <v>45428</v>
      </c>
      <c r="AI1964" s="10">
        <v>904266</v>
      </c>
    </row>
    <row r="1965" spans="1:35" ht="18" hidden="1" customHeight="1" outlineLevel="2" x14ac:dyDescent="0.2">
      <c r="A1965" s="25"/>
      <c r="B1965" s="25"/>
      <c r="C1965" s="25" t="s">
        <v>3928</v>
      </c>
      <c r="D1965" s="25" t="s">
        <v>4058</v>
      </c>
      <c r="E1965" s="25"/>
      <c r="F1965" s="25"/>
      <c r="G1965" s="25"/>
      <c r="H1965" s="25" t="s">
        <v>2065</v>
      </c>
      <c r="AG1965" s="10">
        <v>523779</v>
      </c>
      <c r="AH1965" s="10">
        <v>45436</v>
      </c>
      <c r="AI1965" s="10">
        <v>904267</v>
      </c>
    </row>
    <row r="1966" spans="1:35" ht="18" hidden="1" customHeight="1" outlineLevel="2" x14ac:dyDescent="0.2">
      <c r="A1966" s="25"/>
      <c r="B1966" s="25"/>
      <c r="C1966" s="25" t="s">
        <v>3928</v>
      </c>
      <c r="D1966" s="25" t="s">
        <v>4059</v>
      </c>
      <c r="E1966" s="25"/>
      <c r="F1966" s="25"/>
      <c r="G1966" s="25"/>
      <c r="H1966" s="25" t="s">
        <v>2065</v>
      </c>
      <c r="AG1966" s="10">
        <v>523783</v>
      </c>
      <c r="AH1966" s="10">
        <v>45444</v>
      </c>
      <c r="AI1966" s="10">
        <v>904268</v>
      </c>
    </row>
    <row r="1967" spans="1:35" ht="18" hidden="1" customHeight="1" outlineLevel="2" x14ac:dyDescent="0.2">
      <c r="A1967" s="25"/>
      <c r="B1967" s="25"/>
      <c r="C1967" s="25"/>
      <c r="D1967" s="25"/>
      <c r="E1967" s="25"/>
      <c r="F1967" s="25"/>
      <c r="G1967" s="25"/>
      <c r="AG1967" s="10"/>
      <c r="AH1967" s="10"/>
      <c r="AI1967" s="10"/>
    </row>
    <row r="1968" spans="1:35" ht="18" hidden="1" customHeight="1" outlineLevel="1" x14ac:dyDescent="0.2">
      <c r="A1968" s="119" t="s">
        <v>124</v>
      </c>
      <c r="B1968" s="120"/>
      <c r="C1968" s="120"/>
      <c r="D1968" s="120"/>
      <c r="E1968" s="120"/>
      <c r="F1968" s="120"/>
      <c r="G1968" s="120"/>
      <c r="H1968" s="120"/>
      <c r="AG1968" s="10"/>
      <c r="AH1968" s="10"/>
      <c r="AI1968" s="10"/>
    </row>
    <row r="1969" spans="1:35" ht="18" hidden="1" customHeight="1" outlineLevel="2" x14ac:dyDescent="0.2">
      <c r="A1969" s="25"/>
      <c r="B1969" s="25"/>
      <c r="C1969" s="25" t="s">
        <v>3938</v>
      </c>
      <c r="D1969" s="25" t="s">
        <v>3929</v>
      </c>
      <c r="E1969" s="25"/>
      <c r="F1969" s="25"/>
      <c r="G1969" s="25"/>
      <c r="H1969" s="25" t="s">
        <v>57</v>
      </c>
      <c r="AG1969" s="10">
        <v>543402</v>
      </c>
      <c r="AH1969" s="10">
        <v>657306</v>
      </c>
      <c r="AI1969" s="10">
        <v>16001</v>
      </c>
    </row>
    <row r="1970" spans="1:35" ht="18" hidden="1" customHeight="1" outlineLevel="2" x14ac:dyDescent="0.2">
      <c r="A1970" s="25"/>
      <c r="B1970" s="25"/>
      <c r="C1970" s="25" t="s">
        <v>3938</v>
      </c>
      <c r="D1970" s="25" t="s">
        <v>3939</v>
      </c>
      <c r="E1970" s="25"/>
      <c r="F1970" s="25"/>
      <c r="G1970" s="25"/>
      <c r="H1970" s="25" t="s">
        <v>57</v>
      </c>
      <c r="AG1970" s="10">
        <v>523792</v>
      </c>
      <c r="AH1970" s="10">
        <v>657322</v>
      </c>
      <c r="AI1970" s="10">
        <v>16002</v>
      </c>
    </row>
    <row r="1971" spans="1:35" ht="18" hidden="1" customHeight="1" outlineLevel="2" x14ac:dyDescent="0.2">
      <c r="A1971" s="25"/>
      <c r="B1971" s="25"/>
      <c r="C1971" s="25" t="s">
        <v>3938</v>
      </c>
      <c r="D1971" s="25" t="s">
        <v>3930</v>
      </c>
      <c r="E1971" s="25"/>
      <c r="F1971" s="25"/>
      <c r="G1971" s="25"/>
      <c r="H1971" s="25" t="s">
        <v>57</v>
      </c>
      <c r="AG1971" s="10">
        <v>523793</v>
      </c>
      <c r="AH1971" s="10">
        <v>657348</v>
      </c>
      <c r="AI1971" s="10">
        <v>16003</v>
      </c>
    </row>
    <row r="1972" spans="1:35" ht="18" hidden="1" customHeight="1" outlineLevel="2" x14ac:dyDescent="0.2">
      <c r="A1972" s="25"/>
      <c r="B1972" s="25"/>
      <c r="C1972" s="25" t="s">
        <v>3938</v>
      </c>
      <c r="D1972" s="25" t="s">
        <v>3931</v>
      </c>
      <c r="E1972" s="25"/>
      <c r="F1972" s="25"/>
      <c r="G1972" s="25"/>
      <c r="H1972" s="25" t="s">
        <v>57</v>
      </c>
      <c r="AG1972" s="10">
        <v>523794</v>
      </c>
      <c r="AH1972" s="10">
        <v>657364</v>
      </c>
      <c r="AI1972" s="10">
        <v>16005</v>
      </c>
    </row>
    <row r="1973" spans="1:35" ht="18" hidden="1" customHeight="1" outlineLevel="2" x14ac:dyDescent="0.2">
      <c r="A1973" s="25"/>
      <c r="B1973" s="25"/>
      <c r="C1973" s="25" t="s">
        <v>3938</v>
      </c>
      <c r="D1973" s="25" t="s">
        <v>3932</v>
      </c>
      <c r="E1973" s="25"/>
      <c r="F1973" s="25"/>
      <c r="G1973" s="25"/>
      <c r="H1973" s="25" t="s">
        <v>57</v>
      </c>
      <c r="AG1973" s="10">
        <v>523795</v>
      </c>
      <c r="AH1973" s="10">
        <v>657380</v>
      </c>
      <c r="AI1973" s="10">
        <v>16007</v>
      </c>
    </row>
    <row r="1974" spans="1:35" ht="18" hidden="1" customHeight="1" outlineLevel="2" x14ac:dyDescent="0.2">
      <c r="A1974" s="25"/>
      <c r="B1974" s="25"/>
      <c r="C1974" s="25" t="s">
        <v>3938</v>
      </c>
      <c r="D1974" s="25" t="s">
        <v>3933</v>
      </c>
      <c r="E1974" s="25"/>
      <c r="F1974" s="25"/>
      <c r="G1974" s="25"/>
      <c r="H1974" s="25" t="s">
        <v>57</v>
      </c>
      <c r="AG1974" s="10">
        <v>523135</v>
      </c>
      <c r="AH1974" s="10">
        <v>657405</v>
      </c>
      <c r="AI1974" s="10">
        <v>16008</v>
      </c>
    </row>
    <row r="1975" spans="1:35" ht="18" hidden="1" customHeight="1" outlineLevel="2" x14ac:dyDescent="0.2">
      <c r="A1975" s="25"/>
      <c r="B1975" s="25"/>
      <c r="C1975" s="25"/>
      <c r="D1975" s="25"/>
      <c r="E1975" s="25"/>
      <c r="F1975" s="25"/>
      <c r="G1975" s="25"/>
      <c r="AG1975" s="10"/>
      <c r="AH1975" s="10"/>
      <c r="AI1975" s="10"/>
    </row>
    <row r="1976" spans="1:35" ht="18" hidden="1" customHeight="1" outlineLevel="2" x14ac:dyDescent="0.2">
      <c r="A1976" s="25"/>
      <c r="B1976" s="25"/>
      <c r="C1976" s="78" t="s">
        <v>3940</v>
      </c>
      <c r="D1976" s="20" t="s">
        <v>3929</v>
      </c>
      <c r="E1976" s="25"/>
      <c r="F1976" s="25"/>
      <c r="G1976" s="25"/>
      <c r="H1976" s="25" t="s">
        <v>57</v>
      </c>
      <c r="AG1976" s="10" t="s">
        <v>223</v>
      </c>
      <c r="AH1976" s="10">
        <v>658809</v>
      </c>
      <c r="AI1976" s="10">
        <v>16041</v>
      </c>
    </row>
    <row r="1977" spans="1:35" ht="18" hidden="1" customHeight="1" outlineLevel="2" x14ac:dyDescent="0.2">
      <c r="A1977" s="25"/>
      <c r="B1977" s="25"/>
      <c r="C1977" s="78" t="s">
        <v>3940</v>
      </c>
      <c r="D1977" s="20" t="s">
        <v>3939</v>
      </c>
      <c r="E1977" s="25"/>
      <c r="F1977" s="25"/>
      <c r="G1977" s="25"/>
      <c r="H1977" s="25" t="s">
        <v>57</v>
      </c>
      <c r="AG1977" s="10" t="s">
        <v>223</v>
      </c>
      <c r="AH1977" s="10">
        <v>658825</v>
      </c>
      <c r="AI1977" s="10">
        <v>16042</v>
      </c>
    </row>
    <row r="1978" spans="1:35" ht="18" hidden="1" customHeight="1" outlineLevel="2" x14ac:dyDescent="0.2">
      <c r="A1978" s="25"/>
      <c r="B1978" s="25"/>
      <c r="C1978" s="78" t="s">
        <v>3940</v>
      </c>
      <c r="D1978" s="77" t="s">
        <v>3930</v>
      </c>
      <c r="E1978" s="25"/>
      <c r="F1978" s="25"/>
      <c r="G1978" s="25" t="s">
        <v>4081</v>
      </c>
      <c r="H1978" s="25" t="s">
        <v>57</v>
      </c>
      <c r="AG1978" s="10">
        <v>524742</v>
      </c>
      <c r="AH1978" s="10">
        <v>658841</v>
      </c>
      <c r="AI1978" s="10">
        <v>16043</v>
      </c>
    </row>
    <row r="1979" spans="1:35" ht="18" hidden="1" customHeight="1" outlineLevel="2" x14ac:dyDescent="0.2">
      <c r="A1979" s="25"/>
      <c r="B1979" s="25"/>
      <c r="C1979" s="78" t="s">
        <v>3940</v>
      </c>
      <c r="D1979" s="11" t="s">
        <v>3931</v>
      </c>
      <c r="E1979" s="25"/>
      <c r="F1979" s="25"/>
      <c r="G1979" s="25" t="s">
        <v>4081</v>
      </c>
      <c r="H1979" s="25" t="s">
        <v>57</v>
      </c>
      <c r="AG1979" s="10">
        <v>524743</v>
      </c>
      <c r="AH1979" s="10">
        <v>658867</v>
      </c>
      <c r="AI1979" s="10">
        <v>16045</v>
      </c>
    </row>
    <row r="1980" spans="1:35" ht="18" hidden="1" customHeight="1" outlineLevel="2" x14ac:dyDescent="0.2">
      <c r="A1980" s="25"/>
      <c r="B1980" s="25"/>
      <c r="C1980" s="78" t="s">
        <v>3940</v>
      </c>
      <c r="D1980" s="11" t="s">
        <v>3932</v>
      </c>
      <c r="E1980" s="25"/>
      <c r="F1980" s="25"/>
      <c r="G1980" s="25" t="s">
        <v>4081</v>
      </c>
      <c r="H1980" s="25" t="s">
        <v>57</v>
      </c>
      <c r="AG1980" s="10">
        <v>524744</v>
      </c>
      <c r="AH1980" s="10">
        <v>658883</v>
      </c>
      <c r="AI1980" s="10">
        <v>16047</v>
      </c>
    </row>
    <row r="1981" spans="1:35" ht="18" hidden="1" customHeight="1" outlineLevel="2" x14ac:dyDescent="0.2">
      <c r="A1981" s="25"/>
      <c r="B1981" s="25"/>
      <c r="C1981" s="78" t="s">
        <v>3940</v>
      </c>
      <c r="D1981" s="11" t="s">
        <v>3933</v>
      </c>
      <c r="E1981" s="25"/>
      <c r="F1981" s="25"/>
      <c r="G1981" s="25" t="s">
        <v>4081</v>
      </c>
      <c r="H1981" s="25" t="s">
        <v>57</v>
      </c>
      <c r="AG1981" s="10">
        <v>524745</v>
      </c>
      <c r="AH1981" s="10">
        <v>658908</v>
      </c>
      <c r="AI1981" s="10">
        <v>16048</v>
      </c>
    </row>
    <row r="1982" spans="1:35" ht="18" hidden="1" customHeight="1" outlineLevel="2" x14ac:dyDescent="0.2">
      <c r="A1982" s="25"/>
      <c r="B1982" s="25"/>
      <c r="C1982" s="25"/>
      <c r="D1982" s="25"/>
      <c r="E1982" s="25"/>
      <c r="F1982" s="25"/>
      <c r="G1982" s="25"/>
      <c r="AG1982" s="10"/>
      <c r="AH1982" s="10"/>
      <c r="AI1982" s="10"/>
    </row>
    <row r="1983" spans="1:35" ht="18" hidden="1" customHeight="1" outlineLevel="1" x14ac:dyDescent="0.25">
      <c r="A1983" s="119" t="s">
        <v>3941</v>
      </c>
      <c r="B1983" s="120"/>
      <c r="C1983" s="120"/>
      <c r="D1983" s="120"/>
      <c r="E1983" s="120"/>
      <c r="F1983" s="120"/>
      <c r="G1983" s="120"/>
      <c r="H1983" s="120"/>
      <c r="K1983"/>
      <c r="AG1983" s="10"/>
      <c r="AH1983" s="10"/>
      <c r="AI1983" s="10"/>
    </row>
    <row r="1984" spans="1:35" ht="18" hidden="1" customHeight="1" outlineLevel="2" x14ac:dyDescent="0.25">
      <c r="A1984" s="25"/>
      <c r="B1984" s="25"/>
      <c r="C1984" s="78" t="s">
        <v>3942</v>
      </c>
      <c r="D1984" s="79" t="s">
        <v>3929</v>
      </c>
      <c r="E1984" s="25"/>
      <c r="F1984" s="25"/>
      <c r="G1984" s="25"/>
      <c r="K1984"/>
      <c r="AG1984" s="10">
        <v>547373</v>
      </c>
      <c r="AH1984" s="10" t="s">
        <v>4082</v>
      </c>
      <c r="AI1984" s="10">
        <v>860479</v>
      </c>
    </row>
    <row r="1985" spans="1:35" ht="18" hidden="1" customHeight="1" outlineLevel="2" x14ac:dyDescent="0.25">
      <c r="A1985" s="25"/>
      <c r="B1985" s="25"/>
      <c r="C1985" s="78" t="s">
        <v>3942</v>
      </c>
      <c r="D1985" s="77" t="s">
        <v>3930</v>
      </c>
      <c r="E1985" s="25"/>
      <c r="F1985" s="25"/>
      <c r="G1985" s="25"/>
      <c r="K1985"/>
      <c r="AG1985" s="10">
        <v>529601</v>
      </c>
      <c r="AH1985" s="10" t="s">
        <v>4083</v>
      </c>
      <c r="AI1985" s="10">
        <v>867766</v>
      </c>
    </row>
    <row r="1986" spans="1:35" ht="18" hidden="1" customHeight="1" outlineLevel="2" x14ac:dyDescent="0.25">
      <c r="A1986" s="25"/>
      <c r="B1986" s="25"/>
      <c r="C1986" s="78" t="s">
        <v>3942</v>
      </c>
      <c r="D1986" s="11" t="s">
        <v>3931</v>
      </c>
      <c r="E1986" s="25"/>
      <c r="F1986" s="25"/>
      <c r="G1986" s="25"/>
      <c r="K1986"/>
      <c r="AG1986" s="10">
        <v>529602</v>
      </c>
      <c r="AH1986" s="10" t="s">
        <v>4084</v>
      </c>
      <c r="AI1986" s="10">
        <v>867767</v>
      </c>
    </row>
    <row r="1987" spans="1:35" ht="18" hidden="1" customHeight="1" outlineLevel="2" x14ac:dyDescent="0.2">
      <c r="A1987" s="25"/>
      <c r="B1987" s="25"/>
      <c r="C1987" s="78" t="s">
        <v>3942</v>
      </c>
      <c r="D1987" s="11" t="s">
        <v>3932</v>
      </c>
      <c r="E1987" s="25"/>
      <c r="F1987" s="25"/>
      <c r="G1987" s="25"/>
      <c r="AG1987" s="10">
        <v>529603</v>
      </c>
      <c r="AH1987" s="10" t="s">
        <v>4085</v>
      </c>
      <c r="AI1987" s="10">
        <v>867768</v>
      </c>
    </row>
    <row r="1988" spans="1:35" ht="18" hidden="1" customHeight="1" outlineLevel="2" x14ac:dyDescent="0.2">
      <c r="A1988" s="25"/>
      <c r="B1988" s="25"/>
      <c r="C1988" s="78" t="s">
        <v>3942</v>
      </c>
      <c r="D1988" s="11" t="s">
        <v>3933</v>
      </c>
      <c r="E1988" s="25"/>
      <c r="F1988" s="25"/>
      <c r="G1988" s="25"/>
      <c r="AG1988" s="10">
        <v>529604</v>
      </c>
      <c r="AH1988" s="10" t="s">
        <v>4086</v>
      </c>
      <c r="AI1988" s="10">
        <v>867769</v>
      </c>
    </row>
    <row r="1989" spans="1:35" ht="18" hidden="1" customHeight="1" outlineLevel="2" x14ac:dyDescent="0.2">
      <c r="A1989" s="25"/>
      <c r="B1989" s="25"/>
      <c r="C1989" s="78" t="s">
        <v>3942</v>
      </c>
      <c r="D1989" s="11" t="s">
        <v>3934</v>
      </c>
      <c r="E1989" s="25"/>
      <c r="F1989" s="25"/>
      <c r="G1989" s="25"/>
      <c r="AG1989" s="10">
        <v>529605</v>
      </c>
      <c r="AH1989" s="10" t="s">
        <v>4087</v>
      </c>
      <c r="AI1989" s="10">
        <v>867770</v>
      </c>
    </row>
    <row r="1990" spans="1:35" ht="18" hidden="1" customHeight="1" outlineLevel="2" x14ac:dyDescent="0.2">
      <c r="A1990" s="25"/>
      <c r="B1990" s="25"/>
      <c r="C1990" s="78" t="s">
        <v>3942</v>
      </c>
      <c r="D1990" s="11" t="s">
        <v>3935</v>
      </c>
      <c r="E1990" s="25"/>
      <c r="F1990" s="25"/>
      <c r="G1990" s="25"/>
      <c r="AG1990" s="10">
        <v>529606</v>
      </c>
      <c r="AH1990" s="10" t="s">
        <v>4088</v>
      </c>
      <c r="AI1990" s="10">
        <v>867771</v>
      </c>
    </row>
    <row r="1991" spans="1:35" ht="18" hidden="1" customHeight="1" outlineLevel="2" x14ac:dyDescent="0.2">
      <c r="A1991" s="25"/>
      <c r="B1991" s="25"/>
      <c r="C1991" s="78" t="s">
        <v>3942</v>
      </c>
      <c r="D1991" s="11" t="s">
        <v>3936</v>
      </c>
      <c r="E1991" s="25"/>
      <c r="F1991" s="25"/>
      <c r="G1991" s="25"/>
      <c r="AG1991" s="10">
        <v>529607</v>
      </c>
      <c r="AH1991" s="10" t="s">
        <v>4089</v>
      </c>
      <c r="AI1991" s="10">
        <v>867772</v>
      </c>
    </row>
    <row r="1992" spans="1:35" ht="18" hidden="1" customHeight="1" outlineLevel="2" x14ac:dyDescent="0.2">
      <c r="A1992" s="25"/>
      <c r="B1992" s="25"/>
      <c r="C1992" s="78" t="s">
        <v>3942</v>
      </c>
      <c r="D1992" s="11" t="s">
        <v>3937</v>
      </c>
      <c r="E1992" s="25"/>
      <c r="F1992" s="25"/>
      <c r="G1992" s="25"/>
      <c r="AG1992" s="10">
        <v>529608</v>
      </c>
      <c r="AH1992" s="10" t="s">
        <v>4090</v>
      </c>
      <c r="AI1992" s="10">
        <v>866658</v>
      </c>
    </row>
    <row r="1993" spans="1:35" ht="18" hidden="1" customHeight="1" outlineLevel="2" x14ac:dyDescent="0.2">
      <c r="A1993" s="25"/>
      <c r="B1993" s="25"/>
      <c r="C1993" s="78"/>
      <c r="D1993" s="20"/>
      <c r="E1993" s="25"/>
      <c r="F1993" s="25"/>
      <c r="G1993" s="25"/>
      <c r="AG1993" s="10"/>
      <c r="AH1993" s="10"/>
      <c r="AI1993" s="10"/>
    </row>
    <row r="1994" spans="1:35" ht="18" hidden="1" customHeight="1" outlineLevel="2" x14ac:dyDescent="0.2">
      <c r="A1994" s="25"/>
      <c r="B1994" s="25"/>
      <c r="C1994" s="78" t="s">
        <v>3943</v>
      </c>
      <c r="D1994" s="79" t="s">
        <v>3929</v>
      </c>
      <c r="E1994" s="25"/>
      <c r="F1994" s="25"/>
      <c r="G1994" s="25"/>
      <c r="AG1994" s="10">
        <v>547600</v>
      </c>
      <c r="AH1994" s="10" t="s">
        <v>4091</v>
      </c>
      <c r="AI1994" s="10">
        <v>934622</v>
      </c>
    </row>
    <row r="1995" spans="1:35" ht="18" hidden="1" customHeight="1" outlineLevel="2" x14ac:dyDescent="0.2">
      <c r="A1995" s="25"/>
      <c r="B1995" s="25"/>
      <c r="C1995" s="78" t="s">
        <v>3943</v>
      </c>
      <c r="D1995" s="77" t="s">
        <v>3930</v>
      </c>
      <c r="E1995" s="25"/>
      <c r="F1995" s="25"/>
      <c r="G1995" s="25"/>
      <c r="AG1995" s="10">
        <v>529651</v>
      </c>
      <c r="AH1995" s="10" t="s">
        <v>4092</v>
      </c>
      <c r="AI1995" s="10">
        <v>867758</v>
      </c>
    </row>
    <row r="1996" spans="1:35" ht="18" hidden="1" customHeight="1" outlineLevel="2" x14ac:dyDescent="0.2">
      <c r="A1996" s="25"/>
      <c r="B1996" s="25"/>
      <c r="C1996" s="78" t="s">
        <v>3943</v>
      </c>
      <c r="D1996" s="11" t="s">
        <v>3931</v>
      </c>
      <c r="E1996" s="25"/>
      <c r="F1996" s="25"/>
      <c r="G1996" s="25"/>
      <c r="AG1996" s="10">
        <v>529652</v>
      </c>
      <c r="AH1996" s="10" t="s">
        <v>4093</v>
      </c>
      <c r="AI1996" s="10">
        <v>867759</v>
      </c>
    </row>
    <row r="1997" spans="1:35" ht="18" hidden="1" customHeight="1" outlineLevel="2" x14ac:dyDescent="0.2">
      <c r="A1997" s="25"/>
      <c r="B1997" s="25"/>
      <c r="C1997" s="78" t="s">
        <v>3943</v>
      </c>
      <c r="D1997" s="11" t="s">
        <v>3932</v>
      </c>
      <c r="E1997" s="25"/>
      <c r="F1997" s="25"/>
      <c r="G1997" s="25"/>
      <c r="AG1997" s="10">
        <v>529653</v>
      </c>
      <c r="AH1997" s="10" t="s">
        <v>4094</v>
      </c>
      <c r="AI1997" s="10">
        <v>867760</v>
      </c>
    </row>
    <row r="1998" spans="1:35" ht="18" hidden="1" customHeight="1" outlineLevel="2" x14ac:dyDescent="0.2">
      <c r="A1998" s="25"/>
      <c r="B1998" s="25"/>
      <c r="C1998" s="78" t="s">
        <v>3943</v>
      </c>
      <c r="D1998" s="11" t="s">
        <v>3933</v>
      </c>
      <c r="E1998" s="25"/>
      <c r="F1998" s="25"/>
      <c r="G1998" s="25"/>
      <c r="AG1998" s="10">
        <v>529654</v>
      </c>
      <c r="AH1998" s="10" t="s">
        <v>4095</v>
      </c>
      <c r="AI1998" s="10">
        <v>867761</v>
      </c>
    </row>
    <row r="1999" spans="1:35" ht="18" hidden="1" customHeight="1" outlineLevel="2" x14ac:dyDescent="0.2">
      <c r="A1999" s="25"/>
      <c r="B1999" s="25"/>
      <c r="C1999" s="78" t="s">
        <v>3943</v>
      </c>
      <c r="D1999" s="11" t="s">
        <v>3934</v>
      </c>
      <c r="E1999" s="25"/>
      <c r="F1999" s="25"/>
      <c r="G1999" s="25"/>
      <c r="AG1999" s="10">
        <v>529655</v>
      </c>
      <c r="AH1999" s="10" t="s">
        <v>4096</v>
      </c>
      <c r="AI1999" s="10">
        <v>867762</v>
      </c>
    </row>
    <row r="2000" spans="1:35" ht="18" hidden="1" customHeight="1" outlineLevel="2" x14ac:dyDescent="0.2">
      <c r="A2000" s="25"/>
      <c r="B2000" s="25"/>
      <c r="C2000" s="78" t="s">
        <v>3943</v>
      </c>
      <c r="D2000" s="11" t="s">
        <v>3935</v>
      </c>
      <c r="E2000" s="25"/>
      <c r="F2000" s="25"/>
      <c r="G2000" s="25"/>
      <c r="AG2000" s="10">
        <v>529656</v>
      </c>
      <c r="AH2000" s="10" t="s">
        <v>4097</v>
      </c>
      <c r="AI2000" s="10">
        <v>867763</v>
      </c>
    </row>
    <row r="2001" spans="1:35" ht="18" hidden="1" customHeight="1" outlineLevel="2" x14ac:dyDescent="0.2">
      <c r="A2001" s="25"/>
      <c r="B2001" s="25"/>
      <c r="C2001" s="78" t="s">
        <v>3943</v>
      </c>
      <c r="D2001" s="11" t="s">
        <v>3936</v>
      </c>
      <c r="E2001" s="25"/>
      <c r="F2001" s="25"/>
      <c r="G2001" s="25"/>
      <c r="AG2001" s="10">
        <v>529657</v>
      </c>
      <c r="AH2001" s="10" t="s">
        <v>4098</v>
      </c>
      <c r="AI2001" s="10">
        <v>867764</v>
      </c>
    </row>
    <row r="2002" spans="1:35" ht="18" hidden="1" customHeight="1" outlineLevel="2" x14ac:dyDescent="0.2">
      <c r="A2002" s="25"/>
      <c r="B2002" s="25"/>
      <c r="C2002" s="78" t="s">
        <v>3943</v>
      </c>
      <c r="D2002" s="11" t="s">
        <v>3937</v>
      </c>
      <c r="E2002" s="25"/>
      <c r="F2002" s="25"/>
      <c r="G2002" s="25"/>
      <c r="AG2002" s="10">
        <v>529658</v>
      </c>
      <c r="AH2002" s="10" t="s">
        <v>4099</v>
      </c>
      <c r="AI2002" s="10">
        <v>866661</v>
      </c>
    </row>
    <row r="2003" spans="1:35" ht="18" hidden="1" customHeight="1" outlineLevel="2" x14ac:dyDescent="0.2">
      <c r="A2003" s="25"/>
      <c r="B2003" s="25"/>
      <c r="C2003" s="78"/>
      <c r="D2003" s="11"/>
      <c r="E2003" s="25"/>
      <c r="F2003" s="25"/>
      <c r="G2003" s="25"/>
      <c r="AG2003" s="10"/>
      <c r="AH2003" s="10"/>
      <c r="AI2003" s="10"/>
    </row>
    <row r="2004" spans="1:35" ht="18" hidden="1" customHeight="1" outlineLevel="2" x14ac:dyDescent="0.2">
      <c r="A2004" s="25"/>
      <c r="B2004" s="25"/>
      <c r="C2004" s="78" t="s">
        <v>3944</v>
      </c>
      <c r="D2004" s="79" t="s">
        <v>3929</v>
      </c>
      <c r="E2004" s="25"/>
      <c r="F2004" s="25"/>
      <c r="G2004" s="25"/>
      <c r="AG2004" s="10"/>
      <c r="AH2004" s="10"/>
      <c r="AI2004" s="10"/>
    </row>
    <row r="2005" spans="1:35" ht="18" hidden="1" customHeight="1" outlineLevel="2" x14ac:dyDescent="0.2">
      <c r="A2005" s="25"/>
      <c r="B2005" s="25"/>
      <c r="C2005" s="78" t="s">
        <v>3944</v>
      </c>
      <c r="D2005" s="77" t="s">
        <v>3930</v>
      </c>
      <c r="E2005" s="25"/>
      <c r="F2005" s="25"/>
      <c r="G2005" s="25"/>
      <c r="AG2005" s="10">
        <v>529122</v>
      </c>
      <c r="AH2005" s="10" t="s">
        <v>223</v>
      </c>
      <c r="AI2005" s="10" t="s">
        <v>223</v>
      </c>
    </row>
    <row r="2006" spans="1:35" ht="18" hidden="1" customHeight="1" outlineLevel="2" x14ac:dyDescent="0.2">
      <c r="A2006" s="25"/>
      <c r="B2006" s="25"/>
      <c r="C2006" s="78" t="s">
        <v>3944</v>
      </c>
      <c r="D2006" s="11" t="s">
        <v>3931</v>
      </c>
      <c r="E2006" s="25"/>
      <c r="F2006" s="25"/>
      <c r="G2006" s="25"/>
      <c r="AG2006" s="10">
        <v>529121</v>
      </c>
      <c r="AH2006" s="10" t="s">
        <v>223</v>
      </c>
      <c r="AI2006" s="10" t="s">
        <v>223</v>
      </c>
    </row>
    <row r="2007" spans="1:35" ht="18" hidden="1" customHeight="1" outlineLevel="2" x14ac:dyDescent="0.2">
      <c r="A2007" s="25"/>
      <c r="B2007" s="25"/>
      <c r="C2007" s="78" t="s">
        <v>3944</v>
      </c>
      <c r="D2007" s="11" t="s">
        <v>3932</v>
      </c>
      <c r="E2007" s="25"/>
      <c r="F2007" s="25"/>
      <c r="G2007" s="25"/>
      <c r="AG2007" s="10">
        <v>529120</v>
      </c>
      <c r="AH2007" s="10" t="s">
        <v>223</v>
      </c>
      <c r="AI2007" s="10" t="s">
        <v>223</v>
      </c>
    </row>
    <row r="2008" spans="1:35" ht="18" hidden="1" customHeight="1" outlineLevel="2" x14ac:dyDescent="0.2">
      <c r="A2008" s="25"/>
      <c r="B2008" s="25"/>
      <c r="C2008" s="78" t="s">
        <v>3944</v>
      </c>
      <c r="D2008" s="11" t="s">
        <v>3933</v>
      </c>
      <c r="E2008" s="25"/>
      <c r="F2008" s="25"/>
      <c r="G2008" s="25"/>
      <c r="AG2008" s="10">
        <v>529119</v>
      </c>
      <c r="AH2008" s="10" t="s">
        <v>223</v>
      </c>
      <c r="AI2008" s="10" t="s">
        <v>223</v>
      </c>
    </row>
    <row r="2009" spans="1:35" ht="18" hidden="1" customHeight="1" outlineLevel="2" x14ac:dyDescent="0.2">
      <c r="A2009" s="25"/>
      <c r="B2009" s="25"/>
      <c r="C2009" s="78" t="s">
        <v>3944</v>
      </c>
      <c r="D2009" s="11" t="s">
        <v>3934</v>
      </c>
      <c r="E2009" s="25"/>
      <c r="F2009" s="25"/>
      <c r="G2009" s="25"/>
      <c r="AG2009" s="10">
        <v>529100</v>
      </c>
      <c r="AH2009" s="10" t="s">
        <v>223</v>
      </c>
      <c r="AI2009" s="10" t="s">
        <v>223</v>
      </c>
    </row>
    <row r="2010" spans="1:35" ht="18" hidden="1" customHeight="1" outlineLevel="2" x14ac:dyDescent="0.2">
      <c r="A2010" s="25"/>
      <c r="B2010" s="25"/>
      <c r="C2010" s="78" t="s">
        <v>3944</v>
      </c>
      <c r="D2010" s="11" t="s">
        <v>3935</v>
      </c>
      <c r="E2010" s="25"/>
      <c r="F2010" s="25"/>
      <c r="G2010" s="25"/>
      <c r="AG2010" s="10">
        <v>529118</v>
      </c>
      <c r="AH2010" s="10" t="s">
        <v>223</v>
      </c>
      <c r="AI2010" s="10" t="s">
        <v>223</v>
      </c>
    </row>
    <row r="2011" spans="1:35" ht="18" hidden="1" customHeight="1" outlineLevel="2" x14ac:dyDescent="0.2">
      <c r="A2011" s="25"/>
      <c r="B2011" s="25"/>
      <c r="C2011" s="78" t="s">
        <v>3944</v>
      </c>
      <c r="D2011" s="11" t="s">
        <v>3936</v>
      </c>
      <c r="E2011" s="25"/>
      <c r="F2011" s="25"/>
      <c r="G2011" s="25"/>
      <c r="AG2011" s="10">
        <v>529117</v>
      </c>
      <c r="AH2011" s="10" t="s">
        <v>223</v>
      </c>
      <c r="AI2011" s="10" t="s">
        <v>223</v>
      </c>
    </row>
    <row r="2012" spans="1:35" ht="18" hidden="1" customHeight="1" outlineLevel="2" x14ac:dyDescent="0.2">
      <c r="A2012" s="25"/>
      <c r="B2012" s="25"/>
      <c r="C2012" s="78" t="s">
        <v>3944</v>
      </c>
      <c r="D2012" s="11" t="s">
        <v>3937</v>
      </c>
      <c r="E2012" s="25"/>
      <c r="F2012" s="25"/>
      <c r="G2012" s="25"/>
      <c r="AG2012" s="10">
        <v>529116</v>
      </c>
      <c r="AH2012" s="10" t="s">
        <v>223</v>
      </c>
      <c r="AI2012" s="10" t="s">
        <v>223</v>
      </c>
    </row>
    <row r="2013" spans="1:35" ht="18" hidden="1" customHeight="1" outlineLevel="2" x14ac:dyDescent="0.2">
      <c r="A2013" s="25"/>
      <c r="B2013" s="25"/>
      <c r="C2013" s="25"/>
      <c r="D2013" s="25"/>
      <c r="E2013" s="25"/>
      <c r="F2013" s="25"/>
      <c r="G2013" s="25"/>
      <c r="AG2013" s="10"/>
      <c r="AH2013" s="10"/>
      <c r="AI2013" s="10"/>
    </row>
    <row r="2014" spans="1:35" ht="18" hidden="1" customHeight="1" outlineLevel="1" x14ac:dyDescent="0.2">
      <c r="A2014" s="119" t="s">
        <v>3945</v>
      </c>
      <c r="B2014" s="120"/>
      <c r="C2014" s="120"/>
      <c r="D2014" s="120"/>
      <c r="E2014" s="120"/>
      <c r="F2014" s="120"/>
      <c r="G2014" s="120"/>
      <c r="H2014" s="120"/>
      <c r="AG2014" s="10"/>
      <c r="AH2014" s="10"/>
      <c r="AI2014" s="10"/>
    </row>
    <row r="2015" spans="1:35" ht="18" hidden="1" customHeight="1" outlineLevel="2" x14ac:dyDescent="0.2">
      <c r="A2015" s="25"/>
      <c r="B2015" s="25"/>
      <c r="C2015" s="25" t="s">
        <v>3965</v>
      </c>
      <c r="D2015" s="25" t="s">
        <v>3946</v>
      </c>
      <c r="E2015" s="25"/>
      <c r="F2015" s="25"/>
      <c r="G2015" s="25"/>
      <c r="AG2015" s="10">
        <v>529139</v>
      </c>
      <c r="AH2015" s="10" t="s">
        <v>4100</v>
      </c>
      <c r="AI2015" s="10">
        <v>864321</v>
      </c>
    </row>
    <row r="2016" spans="1:35" ht="18" hidden="1" customHeight="1" outlineLevel="2" x14ac:dyDescent="0.2">
      <c r="A2016" s="25"/>
      <c r="B2016" s="25"/>
      <c r="C2016" s="25" t="s">
        <v>3965</v>
      </c>
      <c r="D2016" s="25" t="s">
        <v>3947</v>
      </c>
      <c r="E2016" s="25"/>
      <c r="F2016" s="25"/>
      <c r="G2016" s="25"/>
      <c r="AG2016" s="10">
        <v>529400</v>
      </c>
      <c r="AH2016" s="10" t="s">
        <v>4101</v>
      </c>
      <c r="AI2016" s="10">
        <v>864628</v>
      </c>
    </row>
    <row r="2017" spans="1:35" ht="18" hidden="1" customHeight="1" outlineLevel="2" x14ac:dyDescent="0.2">
      <c r="A2017" s="25"/>
      <c r="B2017" s="25"/>
      <c r="C2017" s="25" t="s">
        <v>3965</v>
      </c>
      <c r="D2017" s="25" t="s">
        <v>3948</v>
      </c>
      <c r="E2017" s="25"/>
      <c r="F2017" s="25"/>
      <c r="G2017" s="25"/>
      <c r="AG2017" s="10">
        <v>529402</v>
      </c>
      <c r="AH2017" s="10" t="s">
        <v>4102</v>
      </c>
      <c r="AI2017" s="10">
        <v>867835</v>
      </c>
    </row>
    <row r="2018" spans="1:35" ht="18" hidden="1" customHeight="1" outlineLevel="2" x14ac:dyDescent="0.2">
      <c r="A2018" s="25"/>
      <c r="B2018" s="25"/>
      <c r="C2018" s="25" t="s">
        <v>3965</v>
      </c>
      <c r="D2018" s="25" t="s">
        <v>3949</v>
      </c>
      <c r="E2018" s="25"/>
      <c r="F2018" s="25"/>
      <c r="G2018" s="25"/>
      <c r="AG2018" s="10">
        <v>529404</v>
      </c>
      <c r="AH2018" s="10" t="s">
        <v>4103</v>
      </c>
      <c r="AI2018" s="10">
        <v>865686</v>
      </c>
    </row>
    <row r="2019" spans="1:35" ht="18" hidden="1" customHeight="1" outlineLevel="2" x14ac:dyDescent="0.2">
      <c r="A2019" s="25"/>
      <c r="B2019" s="25"/>
      <c r="C2019" s="25" t="s">
        <v>3965</v>
      </c>
      <c r="D2019" s="25" t="s">
        <v>3950</v>
      </c>
      <c r="E2019" s="25"/>
      <c r="F2019" s="25"/>
      <c r="G2019" s="25"/>
      <c r="AG2019" s="10">
        <v>529403</v>
      </c>
      <c r="AH2019" s="10" t="s">
        <v>4104</v>
      </c>
      <c r="AI2019" s="10">
        <v>865687</v>
      </c>
    </row>
    <row r="2020" spans="1:35" ht="18" hidden="1" customHeight="1" outlineLevel="2" x14ac:dyDescent="0.2">
      <c r="A2020" s="25"/>
      <c r="B2020" s="25"/>
      <c r="C2020" s="25" t="s">
        <v>3965</v>
      </c>
      <c r="D2020" s="25" t="s">
        <v>3951</v>
      </c>
      <c r="E2020" s="25"/>
      <c r="F2020" s="25"/>
      <c r="G2020" s="25"/>
      <c r="AG2020" s="10">
        <v>529407</v>
      </c>
      <c r="AH2020" s="10" t="s">
        <v>4105</v>
      </c>
      <c r="AI2020" s="10">
        <v>865697</v>
      </c>
    </row>
    <row r="2021" spans="1:35" ht="18" hidden="1" customHeight="1" outlineLevel="2" x14ac:dyDescent="0.2">
      <c r="A2021" s="25"/>
      <c r="B2021" s="25"/>
      <c r="C2021" s="25" t="s">
        <v>3965</v>
      </c>
      <c r="D2021" s="25" t="s">
        <v>3952</v>
      </c>
      <c r="E2021" s="25"/>
      <c r="F2021" s="25"/>
      <c r="G2021" s="25"/>
      <c r="AG2021" s="10">
        <v>529406</v>
      </c>
      <c r="AH2021" s="10" t="s">
        <v>4106</v>
      </c>
      <c r="AI2021" s="10">
        <v>865688</v>
      </c>
    </row>
    <row r="2022" spans="1:35" ht="18" hidden="1" customHeight="1" outlineLevel="2" x14ac:dyDescent="0.2">
      <c r="A2022" s="25"/>
      <c r="B2022" s="25"/>
      <c r="C2022" s="25" t="s">
        <v>3965</v>
      </c>
      <c r="D2022" s="25" t="s">
        <v>3953</v>
      </c>
      <c r="E2022" s="25"/>
      <c r="F2022" s="25"/>
      <c r="G2022" s="25"/>
      <c r="AG2022" s="10">
        <v>529406</v>
      </c>
      <c r="AH2022" s="10" t="s">
        <v>4107</v>
      </c>
      <c r="AI2022" s="10">
        <v>865689</v>
      </c>
    </row>
    <row r="2023" spans="1:35" ht="18" hidden="1" customHeight="1" outlineLevel="2" x14ac:dyDescent="0.2">
      <c r="A2023" s="25"/>
      <c r="B2023" s="25"/>
      <c r="C2023" s="25" t="s">
        <v>3965</v>
      </c>
      <c r="D2023" s="25" t="s">
        <v>3954</v>
      </c>
      <c r="E2023" s="25"/>
      <c r="F2023" s="25"/>
      <c r="G2023" s="25"/>
      <c r="AG2023" s="10">
        <v>529411</v>
      </c>
      <c r="AH2023" s="10" t="s">
        <v>223</v>
      </c>
      <c r="AI2023" s="10">
        <v>408139</v>
      </c>
    </row>
    <row r="2024" spans="1:35" ht="18" hidden="1" customHeight="1" outlineLevel="2" x14ac:dyDescent="0.2">
      <c r="A2024" s="25"/>
      <c r="B2024" s="25"/>
      <c r="C2024" s="25" t="s">
        <v>3965</v>
      </c>
      <c r="D2024" s="25" t="s">
        <v>3955</v>
      </c>
      <c r="E2024" s="25"/>
      <c r="F2024" s="25"/>
      <c r="G2024" s="25"/>
      <c r="AG2024" s="10">
        <v>529410</v>
      </c>
      <c r="AH2024" s="10" t="s">
        <v>4108</v>
      </c>
      <c r="AI2024" s="10">
        <v>865690</v>
      </c>
    </row>
    <row r="2025" spans="1:35" ht="18" hidden="1" customHeight="1" outlineLevel="2" x14ac:dyDescent="0.2">
      <c r="A2025" s="25"/>
      <c r="B2025" s="25"/>
      <c r="C2025" s="25" t="s">
        <v>3965</v>
      </c>
      <c r="D2025" s="25" t="s">
        <v>3956</v>
      </c>
      <c r="E2025" s="25"/>
      <c r="F2025" s="25"/>
      <c r="G2025" s="25"/>
      <c r="AG2025" s="10">
        <v>529409</v>
      </c>
      <c r="AH2025" s="10" t="s">
        <v>4109</v>
      </c>
      <c r="AI2025" s="10">
        <v>865691</v>
      </c>
    </row>
    <row r="2026" spans="1:35" ht="18" hidden="1" customHeight="1" outlineLevel="2" x14ac:dyDescent="0.2">
      <c r="A2026" s="25"/>
      <c r="B2026" s="25"/>
      <c r="C2026" s="25" t="s">
        <v>3965</v>
      </c>
      <c r="D2026" s="25" t="s">
        <v>3957</v>
      </c>
      <c r="E2026" s="25"/>
      <c r="F2026" s="25"/>
      <c r="G2026" s="25"/>
      <c r="AG2026" s="10">
        <v>529408</v>
      </c>
      <c r="AH2026" s="10" t="s">
        <v>4110</v>
      </c>
      <c r="AI2026" s="10">
        <v>866463</v>
      </c>
    </row>
    <row r="2027" spans="1:35" ht="18" hidden="1" customHeight="1" outlineLevel="2" x14ac:dyDescent="0.2">
      <c r="A2027" s="25"/>
      <c r="B2027" s="25"/>
      <c r="C2027" s="25" t="s">
        <v>3965</v>
      </c>
      <c r="D2027" s="25" t="s">
        <v>3958</v>
      </c>
      <c r="E2027" s="25"/>
      <c r="F2027" s="25"/>
      <c r="G2027" s="25"/>
      <c r="AG2027" s="10">
        <v>529414</v>
      </c>
      <c r="AH2027" s="10" t="s">
        <v>4111</v>
      </c>
      <c r="AI2027" s="10">
        <v>866464</v>
      </c>
    </row>
    <row r="2028" spans="1:35" ht="18" hidden="1" customHeight="1" outlineLevel="2" x14ac:dyDescent="0.2">
      <c r="A2028" s="25"/>
      <c r="B2028" s="25"/>
      <c r="C2028" s="25" t="s">
        <v>3965</v>
      </c>
      <c r="D2028" s="25" t="s">
        <v>3959</v>
      </c>
      <c r="E2028" s="25"/>
      <c r="F2028" s="25"/>
      <c r="G2028" s="25"/>
      <c r="AG2028" s="10">
        <v>529413</v>
      </c>
      <c r="AH2028" s="10" t="s">
        <v>4112</v>
      </c>
      <c r="AI2028" s="10">
        <v>866465</v>
      </c>
    </row>
    <row r="2029" spans="1:35" ht="18" hidden="1" customHeight="1" outlineLevel="2" x14ac:dyDescent="0.2">
      <c r="A2029" s="25"/>
      <c r="B2029" s="25"/>
      <c r="C2029" s="25" t="s">
        <v>3965</v>
      </c>
      <c r="D2029" s="25" t="s">
        <v>3960</v>
      </c>
      <c r="E2029" s="25"/>
      <c r="F2029" s="25"/>
      <c r="G2029" s="25"/>
      <c r="AG2029" s="10">
        <v>529412</v>
      </c>
      <c r="AH2029" s="10" t="s">
        <v>4113</v>
      </c>
      <c r="AI2029" s="10">
        <v>866466</v>
      </c>
    </row>
    <row r="2030" spans="1:35" ht="18" hidden="1" customHeight="1" outlineLevel="2" x14ac:dyDescent="0.2">
      <c r="A2030" s="25"/>
      <c r="B2030" s="25"/>
      <c r="C2030" s="25" t="s">
        <v>3965</v>
      </c>
      <c r="D2030" s="25" t="s">
        <v>3961</v>
      </c>
      <c r="E2030" s="25"/>
      <c r="F2030" s="25"/>
      <c r="G2030" s="25"/>
      <c r="AG2030" s="10">
        <v>529419</v>
      </c>
      <c r="AH2030" s="10" t="s">
        <v>4114</v>
      </c>
      <c r="AI2030" s="10">
        <v>865693</v>
      </c>
    </row>
    <row r="2031" spans="1:35" ht="18" hidden="1" customHeight="1" outlineLevel="2" x14ac:dyDescent="0.2">
      <c r="A2031" s="25"/>
      <c r="B2031" s="25"/>
      <c r="C2031" s="25" t="s">
        <v>3965</v>
      </c>
      <c r="D2031" s="25" t="s">
        <v>3962</v>
      </c>
      <c r="E2031" s="25"/>
      <c r="F2031" s="25"/>
      <c r="G2031" s="25"/>
      <c r="AG2031" s="10">
        <v>529418</v>
      </c>
      <c r="AH2031" s="10" t="s">
        <v>4115</v>
      </c>
      <c r="AI2031" s="10">
        <v>865694</v>
      </c>
    </row>
    <row r="2032" spans="1:35" ht="18" hidden="1" customHeight="1" outlineLevel="2" x14ac:dyDescent="0.2">
      <c r="A2032" s="25"/>
      <c r="B2032" s="25"/>
      <c r="C2032" s="25" t="s">
        <v>3965</v>
      </c>
      <c r="D2032" s="25" t="s">
        <v>3963</v>
      </c>
      <c r="E2032" s="25"/>
      <c r="F2032" s="25"/>
      <c r="G2032" s="25"/>
      <c r="AG2032" s="10">
        <v>529417</v>
      </c>
      <c r="AH2032" s="10" t="s">
        <v>4116</v>
      </c>
      <c r="AI2032" s="10">
        <v>865695</v>
      </c>
    </row>
    <row r="2033" spans="1:35" ht="18" hidden="1" customHeight="1" outlineLevel="2" x14ac:dyDescent="0.2">
      <c r="A2033" s="25"/>
      <c r="B2033" s="25"/>
      <c r="C2033" s="25" t="s">
        <v>3965</v>
      </c>
      <c r="D2033" s="25" t="s">
        <v>3964</v>
      </c>
      <c r="E2033" s="25"/>
      <c r="F2033" s="25"/>
      <c r="G2033" s="25"/>
      <c r="AG2033" s="10">
        <v>529416</v>
      </c>
      <c r="AH2033" s="10" t="s">
        <v>4117</v>
      </c>
      <c r="AI2033" s="10">
        <v>865696</v>
      </c>
    </row>
    <row r="2034" spans="1:35" ht="18" hidden="1" customHeight="1" outlineLevel="2" x14ac:dyDescent="0.2">
      <c r="A2034" s="25"/>
      <c r="B2034" s="25"/>
      <c r="C2034" s="25"/>
      <c r="D2034" s="25"/>
      <c r="E2034" s="25"/>
      <c r="F2034" s="25"/>
      <c r="G2034" s="25"/>
      <c r="AG2034" s="10"/>
      <c r="AH2034" s="10"/>
      <c r="AI2034" s="10"/>
    </row>
    <row r="2035" spans="1:35" ht="18" hidden="1" customHeight="1" outlineLevel="1" x14ac:dyDescent="0.2">
      <c r="A2035" s="119" t="s">
        <v>3966</v>
      </c>
      <c r="B2035" s="120"/>
      <c r="C2035" s="120"/>
      <c r="D2035" s="120"/>
      <c r="E2035" s="120"/>
      <c r="F2035" s="120"/>
      <c r="G2035" s="120"/>
      <c r="H2035" s="120"/>
      <c r="AG2035" s="10"/>
      <c r="AH2035" s="10"/>
      <c r="AI2035" s="10"/>
    </row>
    <row r="2036" spans="1:35" ht="18" hidden="1" customHeight="1" outlineLevel="2" x14ac:dyDescent="0.2">
      <c r="A2036" s="25"/>
      <c r="B2036" s="25"/>
      <c r="C2036" s="25" t="s">
        <v>3967</v>
      </c>
      <c r="D2036" s="25" t="s">
        <v>3929</v>
      </c>
      <c r="E2036" s="25"/>
      <c r="F2036" s="25"/>
      <c r="G2036" s="25"/>
      <c r="AG2036" s="10">
        <v>529126</v>
      </c>
      <c r="AH2036" s="10" t="s">
        <v>4118</v>
      </c>
      <c r="AI2036" s="10">
        <v>860368</v>
      </c>
    </row>
    <row r="2037" spans="1:35" ht="18" hidden="1" customHeight="1" outlineLevel="2" x14ac:dyDescent="0.2">
      <c r="A2037" s="25"/>
      <c r="B2037" s="25"/>
      <c r="C2037" s="25" t="s">
        <v>3967</v>
      </c>
      <c r="D2037" s="25" t="s">
        <v>3930</v>
      </c>
      <c r="E2037" s="25"/>
      <c r="F2037" s="25"/>
      <c r="G2037" s="25"/>
      <c r="AG2037" s="10">
        <v>529002</v>
      </c>
      <c r="AH2037" s="10" t="s">
        <v>4119</v>
      </c>
      <c r="AI2037" s="10">
        <v>867774</v>
      </c>
    </row>
    <row r="2038" spans="1:35" ht="18" hidden="1" customHeight="1" outlineLevel="2" x14ac:dyDescent="0.2">
      <c r="A2038" s="25"/>
      <c r="B2038" s="25"/>
      <c r="C2038" s="25" t="s">
        <v>3967</v>
      </c>
      <c r="D2038" s="25" t="s">
        <v>3931</v>
      </c>
      <c r="E2038" s="25"/>
      <c r="F2038" s="25"/>
      <c r="G2038" s="25"/>
      <c r="AG2038" s="10">
        <v>529005</v>
      </c>
      <c r="AH2038" s="10" t="s">
        <v>4120</v>
      </c>
      <c r="AI2038" s="10">
        <v>867775</v>
      </c>
    </row>
    <row r="2039" spans="1:35" ht="18" hidden="1" customHeight="1" outlineLevel="2" x14ac:dyDescent="0.2">
      <c r="A2039" s="25"/>
      <c r="B2039" s="25"/>
      <c r="C2039" s="25" t="s">
        <v>3967</v>
      </c>
      <c r="D2039" s="25" t="s">
        <v>3932</v>
      </c>
      <c r="E2039" s="25"/>
      <c r="F2039" s="25"/>
      <c r="G2039" s="25"/>
      <c r="AG2039" s="10">
        <v>529007</v>
      </c>
      <c r="AH2039" s="10" t="s">
        <v>4121</v>
      </c>
      <c r="AI2039" s="10">
        <v>867777</v>
      </c>
    </row>
    <row r="2040" spans="1:35" ht="18" hidden="1" customHeight="1" outlineLevel="2" x14ac:dyDescent="0.2">
      <c r="A2040" s="25"/>
      <c r="B2040" s="25"/>
      <c r="C2040" s="25" t="s">
        <v>3967</v>
      </c>
      <c r="D2040" s="25" t="s">
        <v>3933</v>
      </c>
      <c r="E2040" s="25"/>
      <c r="F2040" s="25"/>
      <c r="G2040" s="25"/>
      <c r="AG2040" s="10">
        <v>529010</v>
      </c>
      <c r="AH2040" s="10" t="s">
        <v>4122</v>
      </c>
      <c r="AI2040" s="10">
        <v>867780</v>
      </c>
    </row>
    <row r="2041" spans="1:35" ht="18" hidden="1" customHeight="1" outlineLevel="2" x14ac:dyDescent="0.2">
      <c r="A2041" s="25"/>
      <c r="B2041" s="25"/>
      <c r="C2041" s="25" t="s">
        <v>3967</v>
      </c>
      <c r="D2041" s="25" t="s">
        <v>3934</v>
      </c>
      <c r="E2041" s="25"/>
      <c r="F2041" s="25"/>
      <c r="G2041" s="25"/>
      <c r="AG2041" s="10">
        <v>529014</v>
      </c>
      <c r="AH2041" s="10" t="s">
        <v>4123</v>
      </c>
      <c r="AI2041" s="10">
        <v>867784</v>
      </c>
    </row>
    <row r="2042" spans="1:35" ht="18" hidden="1" customHeight="1" outlineLevel="2" x14ac:dyDescent="0.2">
      <c r="A2042" s="25"/>
      <c r="B2042" s="25"/>
      <c r="C2042" s="25" t="s">
        <v>3967</v>
      </c>
      <c r="D2042" s="25" t="s">
        <v>3935</v>
      </c>
      <c r="E2042" s="25"/>
      <c r="F2042" s="25"/>
      <c r="G2042" s="25"/>
      <c r="AG2042" s="10">
        <v>529019</v>
      </c>
      <c r="AH2042" s="10" t="s">
        <v>4124</v>
      </c>
      <c r="AI2042" s="10">
        <v>867789</v>
      </c>
    </row>
    <row r="2043" spans="1:35" ht="18" hidden="1" customHeight="1" outlineLevel="2" x14ac:dyDescent="0.2">
      <c r="A2043" s="25"/>
      <c r="B2043" s="25"/>
      <c r="C2043" s="25" t="s">
        <v>3967</v>
      </c>
      <c r="D2043" s="25" t="s">
        <v>3936</v>
      </c>
      <c r="E2043" s="25"/>
      <c r="F2043" s="25"/>
      <c r="G2043" s="25"/>
      <c r="AG2043" s="10">
        <v>529025</v>
      </c>
      <c r="AH2043" s="10" t="s">
        <v>4125</v>
      </c>
      <c r="AI2043" s="10">
        <v>864258</v>
      </c>
    </row>
    <row r="2044" spans="1:35" ht="18" hidden="1" customHeight="1" outlineLevel="2" x14ac:dyDescent="0.2">
      <c r="A2044" s="25"/>
      <c r="B2044" s="25"/>
      <c r="C2044" s="25"/>
      <c r="D2044" s="25"/>
      <c r="E2044" s="25"/>
      <c r="F2044" s="25"/>
      <c r="G2044" s="25"/>
      <c r="AG2044" s="10"/>
      <c r="AH2044" s="10"/>
      <c r="AI2044" s="10"/>
    </row>
    <row r="2045" spans="1:35" ht="18" hidden="1" customHeight="1" outlineLevel="2" x14ac:dyDescent="0.2">
      <c r="A2045" s="25"/>
      <c r="B2045" s="25"/>
      <c r="C2045" s="25" t="s">
        <v>3968</v>
      </c>
      <c r="D2045" s="25" t="s">
        <v>3946</v>
      </c>
      <c r="E2045" s="25"/>
      <c r="F2045" s="25"/>
      <c r="G2045" s="25"/>
      <c r="AG2045" s="10">
        <v>529128</v>
      </c>
      <c r="AH2045" s="10" t="s">
        <v>4126</v>
      </c>
      <c r="AI2045" s="10" t="s">
        <v>223</v>
      </c>
    </row>
    <row r="2046" spans="1:35" ht="18" hidden="1" customHeight="1" outlineLevel="2" x14ac:dyDescent="0.2">
      <c r="A2046" s="25"/>
      <c r="B2046" s="25"/>
      <c r="C2046" s="25" t="s">
        <v>3968</v>
      </c>
      <c r="D2046" s="25" t="s">
        <v>3948</v>
      </c>
      <c r="E2046" s="25"/>
      <c r="F2046" s="25"/>
      <c r="G2046" s="25"/>
      <c r="AG2046" s="10">
        <v>529006</v>
      </c>
      <c r="AH2046" s="10" t="s">
        <v>4127</v>
      </c>
      <c r="AI2046" s="10">
        <v>866683</v>
      </c>
    </row>
    <row r="2047" spans="1:35" ht="18" hidden="1" customHeight="1" outlineLevel="2" x14ac:dyDescent="0.2">
      <c r="A2047" s="25"/>
      <c r="B2047" s="25"/>
      <c r="C2047" s="25" t="s">
        <v>3968</v>
      </c>
      <c r="D2047" s="25" t="s">
        <v>3949</v>
      </c>
      <c r="E2047" s="25"/>
      <c r="F2047" s="25"/>
      <c r="G2047" s="25"/>
      <c r="AG2047" s="10">
        <v>529009</v>
      </c>
      <c r="AH2047" s="10" t="s">
        <v>4128</v>
      </c>
      <c r="AI2047" s="10">
        <v>866684</v>
      </c>
    </row>
    <row r="2048" spans="1:35" ht="18" hidden="1" customHeight="1" outlineLevel="2" x14ac:dyDescent="0.2">
      <c r="A2048" s="25"/>
      <c r="B2048" s="25"/>
      <c r="C2048" s="25" t="s">
        <v>3968</v>
      </c>
      <c r="D2048" s="25" t="s">
        <v>3950</v>
      </c>
      <c r="E2048" s="25"/>
      <c r="F2048" s="25"/>
      <c r="G2048" s="25"/>
      <c r="AG2048" s="10">
        <v>529008</v>
      </c>
      <c r="AH2048" s="10" t="s">
        <v>4129</v>
      </c>
      <c r="AI2048" s="10">
        <v>867776</v>
      </c>
    </row>
    <row r="2049" spans="1:35" ht="18" hidden="1" customHeight="1" outlineLevel="2" x14ac:dyDescent="0.2">
      <c r="A2049" s="25"/>
      <c r="B2049" s="25"/>
      <c r="C2049" s="25" t="s">
        <v>3968</v>
      </c>
      <c r="D2049" s="25" t="s">
        <v>3951</v>
      </c>
      <c r="E2049" s="25"/>
      <c r="F2049" s="25"/>
      <c r="G2049" s="25"/>
      <c r="AG2049" s="10">
        <v>529013</v>
      </c>
      <c r="AH2049" s="10" t="s">
        <v>4130</v>
      </c>
      <c r="AI2049" s="10">
        <v>866685</v>
      </c>
    </row>
    <row r="2050" spans="1:35" ht="18" hidden="1" customHeight="1" outlineLevel="2" x14ac:dyDescent="0.2">
      <c r="A2050" s="25"/>
      <c r="B2050" s="25"/>
      <c r="C2050" s="25" t="s">
        <v>3968</v>
      </c>
      <c r="D2050" s="25" t="s">
        <v>3952</v>
      </c>
      <c r="E2050" s="25"/>
      <c r="F2050" s="25"/>
      <c r="G2050" s="25"/>
      <c r="AG2050" s="10">
        <v>529012</v>
      </c>
      <c r="AH2050" s="10" t="s">
        <v>4131</v>
      </c>
      <c r="AI2050" s="10">
        <v>867778</v>
      </c>
    </row>
    <row r="2051" spans="1:35" ht="18" hidden="1" customHeight="1" outlineLevel="2" x14ac:dyDescent="0.2">
      <c r="A2051" s="25"/>
      <c r="B2051" s="25"/>
      <c r="C2051" s="25" t="s">
        <v>3968</v>
      </c>
      <c r="D2051" s="25" t="s">
        <v>3953</v>
      </c>
      <c r="E2051" s="25"/>
      <c r="F2051" s="25"/>
      <c r="G2051" s="25"/>
      <c r="AG2051" s="10">
        <v>529011</v>
      </c>
      <c r="AH2051" s="10" t="s">
        <v>4132</v>
      </c>
      <c r="AI2051" s="10">
        <v>867779</v>
      </c>
    </row>
    <row r="2052" spans="1:35" ht="18" hidden="1" customHeight="1" outlineLevel="2" x14ac:dyDescent="0.2">
      <c r="A2052" s="25"/>
      <c r="B2052" s="25"/>
      <c r="C2052" s="25" t="s">
        <v>3968</v>
      </c>
      <c r="D2052" s="25" t="s">
        <v>3954</v>
      </c>
      <c r="E2052" s="25"/>
      <c r="F2052" s="25"/>
      <c r="G2052" s="25"/>
      <c r="AG2052" s="10">
        <v>529018</v>
      </c>
      <c r="AH2052" s="10" t="s">
        <v>4133</v>
      </c>
      <c r="AI2052" s="10">
        <v>866686</v>
      </c>
    </row>
    <row r="2053" spans="1:35" ht="18" hidden="1" customHeight="1" outlineLevel="2" x14ac:dyDescent="0.2">
      <c r="A2053" s="25"/>
      <c r="B2053" s="25"/>
      <c r="C2053" s="25" t="s">
        <v>3968</v>
      </c>
      <c r="D2053" s="25" t="s">
        <v>3955</v>
      </c>
      <c r="E2053" s="25"/>
      <c r="F2053" s="25"/>
      <c r="G2053" s="25"/>
      <c r="AG2053" s="10">
        <v>529017</v>
      </c>
      <c r="AH2053" s="10" t="s">
        <v>4134</v>
      </c>
      <c r="AI2053" s="10">
        <v>867781</v>
      </c>
    </row>
    <row r="2054" spans="1:35" ht="18" hidden="1" customHeight="1" outlineLevel="2" x14ac:dyDescent="0.2">
      <c r="A2054" s="25"/>
      <c r="B2054" s="25"/>
      <c r="C2054" s="25" t="s">
        <v>3968</v>
      </c>
      <c r="D2054" s="25" t="s">
        <v>3956</v>
      </c>
      <c r="E2054" s="25"/>
      <c r="F2054" s="25"/>
      <c r="G2054" s="25"/>
      <c r="AG2054" s="10">
        <v>529016</v>
      </c>
      <c r="AH2054" s="10" t="s">
        <v>4135</v>
      </c>
      <c r="AI2054" s="10">
        <v>867782</v>
      </c>
    </row>
    <row r="2055" spans="1:35" ht="18" hidden="1" customHeight="1" outlineLevel="2" x14ac:dyDescent="0.2">
      <c r="A2055" s="25"/>
      <c r="B2055" s="25"/>
      <c r="C2055" s="25" t="s">
        <v>3968</v>
      </c>
      <c r="D2055" s="25" t="s">
        <v>3957</v>
      </c>
      <c r="E2055" s="25"/>
      <c r="F2055" s="25"/>
      <c r="G2055" s="25"/>
      <c r="AG2055" s="10">
        <v>529015</v>
      </c>
      <c r="AH2055" s="10" t="s">
        <v>4136</v>
      </c>
      <c r="AI2055" s="10">
        <v>867783</v>
      </c>
    </row>
    <row r="2056" spans="1:35" ht="18" hidden="1" customHeight="1" outlineLevel="2" x14ac:dyDescent="0.2">
      <c r="A2056" s="25"/>
      <c r="B2056" s="25"/>
      <c r="C2056" s="25" t="s">
        <v>3968</v>
      </c>
      <c r="D2056" s="25" t="s">
        <v>3969</v>
      </c>
      <c r="E2056" s="25"/>
      <c r="F2056" s="25"/>
      <c r="G2056" s="25"/>
      <c r="AG2056" s="10">
        <v>529024</v>
      </c>
      <c r="AH2056" s="10" t="s">
        <v>4137</v>
      </c>
      <c r="AI2056" s="10">
        <v>866687</v>
      </c>
    </row>
    <row r="2057" spans="1:35" ht="18" hidden="1" customHeight="1" outlineLevel="2" x14ac:dyDescent="0.2">
      <c r="A2057" s="25"/>
      <c r="B2057" s="25"/>
      <c r="C2057" s="25" t="s">
        <v>3968</v>
      </c>
      <c r="D2057" s="25" t="s">
        <v>3970</v>
      </c>
      <c r="E2057" s="25"/>
      <c r="F2057" s="25"/>
      <c r="G2057" s="25"/>
      <c r="AG2057" s="10">
        <v>529023</v>
      </c>
      <c r="AH2057" s="10" t="s">
        <v>4138</v>
      </c>
      <c r="AI2057" s="10">
        <v>867785</v>
      </c>
    </row>
    <row r="2058" spans="1:35" ht="18" hidden="1" customHeight="1" outlineLevel="2" x14ac:dyDescent="0.2">
      <c r="A2058" s="25"/>
      <c r="B2058" s="25"/>
      <c r="C2058" s="25" t="s">
        <v>3968</v>
      </c>
      <c r="D2058" s="25" t="s">
        <v>3958</v>
      </c>
      <c r="E2058" s="25"/>
      <c r="F2058" s="25"/>
      <c r="G2058" s="25"/>
      <c r="AG2058" s="10">
        <v>529022</v>
      </c>
      <c r="AH2058" s="10" t="s">
        <v>4139</v>
      </c>
      <c r="AI2058" s="10">
        <v>867786</v>
      </c>
    </row>
    <row r="2059" spans="1:35" ht="18" hidden="1" customHeight="1" outlineLevel="2" x14ac:dyDescent="0.2">
      <c r="A2059" s="25"/>
      <c r="B2059" s="25"/>
      <c r="C2059" s="25" t="s">
        <v>3968</v>
      </c>
      <c r="D2059" s="25" t="s">
        <v>3959</v>
      </c>
      <c r="E2059" s="25"/>
      <c r="F2059" s="25"/>
      <c r="G2059" s="25"/>
      <c r="AG2059" s="10">
        <v>529021</v>
      </c>
      <c r="AH2059" s="10" t="s">
        <v>4140</v>
      </c>
      <c r="AI2059" s="10">
        <v>867787</v>
      </c>
    </row>
    <row r="2060" spans="1:35" ht="18" hidden="1" customHeight="1" outlineLevel="2" x14ac:dyDescent="0.2">
      <c r="A2060" s="25"/>
      <c r="B2060" s="25"/>
      <c r="C2060" s="25" t="s">
        <v>3968</v>
      </c>
      <c r="D2060" s="25" t="s">
        <v>3960</v>
      </c>
      <c r="E2060" s="25"/>
      <c r="F2060" s="25"/>
      <c r="G2060" s="25"/>
      <c r="AG2060" s="10">
        <v>529020</v>
      </c>
      <c r="AH2060" s="10" t="s">
        <v>4141</v>
      </c>
      <c r="AI2060" s="10">
        <v>867788</v>
      </c>
    </row>
    <row r="2061" spans="1:35" ht="18" hidden="1" customHeight="1" outlineLevel="2" x14ac:dyDescent="0.2">
      <c r="A2061" s="25"/>
      <c r="B2061" s="25"/>
      <c r="C2061" s="25" t="s">
        <v>3968</v>
      </c>
      <c r="D2061" s="25" t="s">
        <v>3971</v>
      </c>
      <c r="E2061" s="25"/>
      <c r="F2061" s="25"/>
      <c r="G2061" s="25"/>
      <c r="AG2061" s="10" t="s">
        <v>223</v>
      </c>
      <c r="AH2061" s="10" t="s">
        <v>4142</v>
      </c>
      <c r="AI2061" s="10">
        <v>866688</v>
      </c>
    </row>
    <row r="2062" spans="1:35" ht="18" hidden="1" customHeight="1" outlineLevel="2" x14ac:dyDescent="0.2">
      <c r="A2062" s="25"/>
      <c r="B2062" s="25"/>
      <c r="C2062" s="25" t="s">
        <v>3968</v>
      </c>
      <c r="D2062" s="25" t="s">
        <v>3972</v>
      </c>
      <c r="E2062" s="25"/>
      <c r="F2062" s="25"/>
      <c r="G2062" s="25"/>
      <c r="AG2062" s="10">
        <v>529030</v>
      </c>
      <c r="AH2062" s="10" t="s">
        <v>4143</v>
      </c>
      <c r="AI2062" s="10">
        <v>867790</v>
      </c>
    </row>
    <row r="2063" spans="1:35" ht="18" hidden="1" customHeight="1" outlineLevel="2" x14ac:dyDescent="0.2">
      <c r="A2063" s="25"/>
      <c r="B2063" s="25"/>
      <c r="C2063" s="25" t="s">
        <v>3968</v>
      </c>
      <c r="D2063" s="25" t="s">
        <v>3961</v>
      </c>
      <c r="E2063" s="25"/>
      <c r="F2063" s="25"/>
      <c r="G2063" s="25"/>
      <c r="AG2063" s="10">
        <v>529029</v>
      </c>
      <c r="AH2063" s="10" t="s">
        <v>4144</v>
      </c>
      <c r="AI2063" s="10">
        <v>867791</v>
      </c>
    </row>
    <row r="2064" spans="1:35" ht="18" hidden="1" customHeight="1" outlineLevel="2" x14ac:dyDescent="0.2">
      <c r="A2064" s="25"/>
      <c r="B2064" s="25"/>
      <c r="C2064" s="25" t="s">
        <v>3968</v>
      </c>
      <c r="D2064" s="25" t="s">
        <v>3962</v>
      </c>
      <c r="E2064" s="25"/>
      <c r="F2064" s="25"/>
      <c r="G2064" s="25"/>
      <c r="AG2064" s="10">
        <v>529028</v>
      </c>
      <c r="AH2064" s="10" t="s">
        <v>4145</v>
      </c>
      <c r="AI2064" s="10">
        <v>867792</v>
      </c>
    </row>
    <row r="2065" spans="1:35" ht="18" hidden="1" customHeight="1" outlineLevel="2" x14ac:dyDescent="0.2">
      <c r="A2065" s="25"/>
      <c r="B2065" s="25"/>
      <c r="C2065" s="25" t="s">
        <v>3968</v>
      </c>
      <c r="D2065" s="25" t="s">
        <v>3963</v>
      </c>
      <c r="E2065" s="25"/>
      <c r="F2065" s="25"/>
      <c r="G2065" s="25"/>
      <c r="AG2065" s="10">
        <v>529027</v>
      </c>
      <c r="AH2065" s="10" t="s">
        <v>4146</v>
      </c>
      <c r="AI2065" s="10">
        <v>867793</v>
      </c>
    </row>
    <row r="2066" spans="1:35" ht="18" hidden="1" customHeight="1" outlineLevel="2" x14ac:dyDescent="0.2">
      <c r="A2066" s="25"/>
      <c r="B2066" s="25"/>
      <c r="C2066" s="25" t="s">
        <v>3968</v>
      </c>
      <c r="D2066" s="25" t="s">
        <v>3964</v>
      </c>
      <c r="E2066" s="25"/>
      <c r="F2066" s="25"/>
      <c r="G2066" s="25"/>
      <c r="AG2066" s="10">
        <v>529026</v>
      </c>
      <c r="AH2066" s="10" t="s">
        <v>4147</v>
      </c>
      <c r="AI2066" s="10">
        <v>867794</v>
      </c>
    </row>
    <row r="2067" spans="1:35" ht="18" hidden="1" customHeight="1" outlineLevel="2" x14ac:dyDescent="0.2">
      <c r="A2067" s="25"/>
      <c r="B2067" s="25"/>
      <c r="C2067" s="25"/>
      <c r="D2067" s="25"/>
      <c r="E2067" s="25"/>
      <c r="F2067" s="25"/>
      <c r="G2067" s="25"/>
      <c r="AG2067" s="10"/>
      <c r="AH2067" s="10"/>
      <c r="AI2067" s="10"/>
    </row>
    <row r="2068" spans="1:35" ht="18" hidden="1" customHeight="1" outlineLevel="1" x14ac:dyDescent="0.2">
      <c r="A2068" s="119" t="s">
        <v>3991</v>
      </c>
      <c r="B2068" s="120"/>
      <c r="C2068" s="120"/>
      <c r="D2068" s="120"/>
      <c r="E2068" s="120"/>
      <c r="F2068" s="120"/>
      <c r="G2068" s="120"/>
      <c r="H2068" s="120"/>
      <c r="AG2068" s="10"/>
      <c r="AH2068" s="10"/>
      <c r="AI2068" s="10"/>
    </row>
    <row r="2069" spans="1:35" ht="18" hidden="1" customHeight="1" outlineLevel="2" x14ac:dyDescent="0.2">
      <c r="A2069" s="25"/>
      <c r="B2069" s="25"/>
      <c r="C2069" s="25" t="s">
        <v>3988</v>
      </c>
      <c r="D2069" s="25" t="s">
        <v>3946</v>
      </c>
      <c r="E2069" s="25"/>
      <c r="F2069" s="25"/>
      <c r="G2069" s="25"/>
      <c r="AG2069" s="10">
        <v>543179</v>
      </c>
      <c r="AH2069" s="10">
        <v>65615</v>
      </c>
      <c r="AI2069" s="10">
        <v>864986</v>
      </c>
    </row>
    <row r="2070" spans="1:35" ht="18" hidden="1" customHeight="1" outlineLevel="2" x14ac:dyDescent="0.2">
      <c r="A2070" s="25"/>
      <c r="B2070" s="25"/>
      <c r="C2070" s="25" t="s">
        <v>3988</v>
      </c>
      <c r="D2070" s="25" t="s">
        <v>3973</v>
      </c>
      <c r="E2070" s="25"/>
      <c r="F2070" s="25"/>
      <c r="G2070" s="25"/>
      <c r="AG2070" s="10">
        <v>530000</v>
      </c>
      <c r="AH2070" s="10" t="s">
        <v>4148</v>
      </c>
      <c r="AI2070" s="10">
        <v>865450</v>
      </c>
    </row>
    <row r="2071" spans="1:35" ht="18" hidden="1" customHeight="1" outlineLevel="2" x14ac:dyDescent="0.2">
      <c r="A2071" s="25"/>
      <c r="B2071" s="25"/>
      <c r="C2071" s="25" t="s">
        <v>3988</v>
      </c>
      <c r="D2071" s="25" t="s">
        <v>3974</v>
      </c>
      <c r="E2071" s="25"/>
      <c r="F2071" s="25"/>
      <c r="G2071" s="25"/>
      <c r="AG2071" s="10">
        <v>530001</v>
      </c>
      <c r="AH2071" s="10" t="s">
        <v>4149</v>
      </c>
      <c r="AI2071" s="10">
        <v>865451</v>
      </c>
    </row>
    <row r="2072" spans="1:35" ht="18" hidden="1" customHeight="1" outlineLevel="2" x14ac:dyDescent="0.2">
      <c r="A2072" s="25"/>
      <c r="B2072" s="25"/>
      <c r="C2072" s="25" t="s">
        <v>3988</v>
      </c>
      <c r="D2072" s="25" t="s">
        <v>3975</v>
      </c>
      <c r="E2072" s="25"/>
      <c r="F2072" s="25"/>
      <c r="G2072" s="25"/>
      <c r="AG2072" s="10">
        <v>530002</v>
      </c>
      <c r="AH2072" s="10" t="s">
        <v>4150</v>
      </c>
      <c r="AI2072" s="10">
        <v>865452</v>
      </c>
    </row>
    <row r="2073" spans="1:35" ht="18" hidden="1" customHeight="1" outlineLevel="2" x14ac:dyDescent="0.2">
      <c r="A2073" s="25"/>
      <c r="B2073" s="25"/>
      <c r="C2073" s="25" t="s">
        <v>3988</v>
      </c>
      <c r="D2073" s="25" t="s">
        <v>3976</v>
      </c>
      <c r="E2073" s="25"/>
      <c r="F2073" s="25"/>
      <c r="G2073" s="25"/>
      <c r="AG2073" s="10">
        <v>530003</v>
      </c>
      <c r="AH2073" s="10" t="s">
        <v>4151</v>
      </c>
      <c r="AI2073" s="10">
        <v>865453</v>
      </c>
    </row>
    <row r="2074" spans="1:35" ht="18" hidden="1" customHeight="1" outlineLevel="2" x14ac:dyDescent="0.2">
      <c r="A2074" s="25"/>
      <c r="B2074" s="25"/>
      <c r="C2074" s="25" t="s">
        <v>3988</v>
      </c>
      <c r="D2074" s="25" t="s">
        <v>3977</v>
      </c>
      <c r="E2074" s="25"/>
      <c r="F2074" s="25"/>
      <c r="G2074" s="25"/>
      <c r="AG2074" s="10">
        <v>533388</v>
      </c>
      <c r="AH2074" s="10" t="s">
        <v>4152</v>
      </c>
      <c r="AI2074" s="10">
        <v>865454</v>
      </c>
    </row>
    <row r="2075" spans="1:35" ht="18" hidden="1" customHeight="1" outlineLevel="2" x14ac:dyDescent="0.2">
      <c r="A2075" s="25"/>
      <c r="B2075" s="25"/>
      <c r="C2075" s="25"/>
      <c r="D2075" s="25"/>
      <c r="E2075" s="25"/>
      <c r="F2075" s="25"/>
      <c r="G2075" s="25"/>
      <c r="AG2075" s="10"/>
      <c r="AH2075" s="10"/>
      <c r="AI2075" s="10"/>
    </row>
    <row r="2076" spans="1:35" ht="18" hidden="1" customHeight="1" outlineLevel="2" x14ac:dyDescent="0.2">
      <c r="A2076" s="25"/>
      <c r="B2076" s="25"/>
      <c r="C2076" s="25" t="s">
        <v>3988</v>
      </c>
      <c r="D2076" s="25" t="s">
        <v>3978</v>
      </c>
      <c r="E2076" s="25"/>
      <c r="F2076" s="25"/>
      <c r="G2076" s="25"/>
      <c r="AG2076" s="10">
        <v>530006</v>
      </c>
      <c r="AH2076" s="10" t="s">
        <v>4153</v>
      </c>
      <c r="AI2076" s="10">
        <v>865457</v>
      </c>
    </row>
    <row r="2077" spans="1:35" ht="18" hidden="1" customHeight="1" outlineLevel="2" x14ac:dyDescent="0.2">
      <c r="A2077" s="25"/>
      <c r="B2077" s="25"/>
      <c r="C2077" s="25" t="s">
        <v>3988</v>
      </c>
      <c r="D2077" s="25" t="s">
        <v>3979</v>
      </c>
      <c r="E2077" s="25"/>
      <c r="F2077" s="25"/>
      <c r="G2077" s="25"/>
      <c r="AG2077" s="10">
        <v>530007</v>
      </c>
      <c r="AH2077" s="10" t="s">
        <v>4154</v>
      </c>
      <c r="AI2077" s="10">
        <v>865458</v>
      </c>
    </row>
    <row r="2078" spans="1:35" ht="18" hidden="1" customHeight="1" outlineLevel="2" x14ac:dyDescent="0.2">
      <c r="A2078" s="25"/>
      <c r="B2078" s="25"/>
      <c r="C2078" s="25" t="s">
        <v>3988</v>
      </c>
      <c r="D2078" s="25" t="s">
        <v>3980</v>
      </c>
      <c r="E2078" s="25"/>
      <c r="F2078" s="25"/>
      <c r="G2078" s="25"/>
      <c r="AG2078" s="10">
        <v>530008</v>
      </c>
      <c r="AH2078" s="10" t="s">
        <v>4155</v>
      </c>
      <c r="AI2078" s="10">
        <v>865459</v>
      </c>
    </row>
    <row r="2079" spans="1:35" ht="18" hidden="1" customHeight="1" outlineLevel="2" x14ac:dyDescent="0.2">
      <c r="A2079" s="25"/>
      <c r="B2079" s="25"/>
      <c r="C2079" s="25" t="s">
        <v>3988</v>
      </c>
      <c r="D2079" s="25" t="s">
        <v>3981</v>
      </c>
      <c r="E2079" s="25"/>
      <c r="F2079" s="25"/>
      <c r="G2079" s="25"/>
      <c r="AG2079" s="10">
        <v>533393</v>
      </c>
      <c r="AH2079" s="10" t="s">
        <v>4156</v>
      </c>
      <c r="AI2079" s="10">
        <v>865460</v>
      </c>
    </row>
    <row r="2080" spans="1:35" ht="18" hidden="1" customHeight="1" outlineLevel="2" x14ac:dyDescent="0.2">
      <c r="A2080" s="25"/>
      <c r="B2080" s="25"/>
      <c r="C2080" s="25"/>
      <c r="D2080" s="25"/>
      <c r="E2080" s="25"/>
      <c r="F2080" s="25"/>
      <c r="G2080" s="25"/>
      <c r="AG2080" s="10"/>
      <c r="AH2080" s="10"/>
      <c r="AI2080" s="10"/>
    </row>
    <row r="2081" spans="1:35" ht="18" hidden="1" customHeight="1" outlineLevel="2" x14ac:dyDescent="0.2">
      <c r="A2081" s="25"/>
      <c r="B2081" s="25"/>
      <c r="C2081" s="25" t="s">
        <v>3988</v>
      </c>
      <c r="D2081" s="25" t="s">
        <v>3982</v>
      </c>
      <c r="E2081" s="25"/>
      <c r="F2081" s="25"/>
      <c r="G2081" s="25"/>
      <c r="AG2081" s="10">
        <v>530011</v>
      </c>
      <c r="AH2081" s="10" t="s">
        <v>4157</v>
      </c>
      <c r="AI2081" s="10">
        <v>865463</v>
      </c>
    </row>
    <row r="2082" spans="1:35" ht="18" hidden="1" customHeight="1" outlineLevel="2" x14ac:dyDescent="0.2">
      <c r="A2082" s="25"/>
      <c r="B2082" s="25"/>
      <c r="C2082" s="25" t="s">
        <v>3988</v>
      </c>
      <c r="D2082" s="25" t="s">
        <v>3983</v>
      </c>
      <c r="E2082" s="25"/>
      <c r="F2082" s="25"/>
      <c r="G2082" s="25"/>
      <c r="AG2082" s="10">
        <v>530012</v>
      </c>
      <c r="AH2082" s="10" t="s">
        <v>4158</v>
      </c>
      <c r="AI2082" s="10">
        <v>865464</v>
      </c>
    </row>
    <row r="2083" spans="1:35" ht="18" hidden="1" customHeight="1" outlineLevel="2" x14ac:dyDescent="0.2">
      <c r="A2083" s="25"/>
      <c r="B2083" s="25"/>
      <c r="C2083" s="25" t="s">
        <v>3988</v>
      </c>
      <c r="D2083" s="25" t="s">
        <v>3984</v>
      </c>
      <c r="E2083" s="25"/>
      <c r="F2083" s="25"/>
      <c r="G2083" s="25"/>
      <c r="AG2083" s="10">
        <v>533493</v>
      </c>
      <c r="AH2083" s="10" t="s">
        <v>4159</v>
      </c>
      <c r="AI2083" s="10">
        <v>865465</v>
      </c>
    </row>
    <row r="2084" spans="1:35" ht="18" hidden="1" customHeight="1" outlineLevel="2" x14ac:dyDescent="0.2">
      <c r="A2084" s="25"/>
      <c r="B2084" s="25"/>
      <c r="C2084" s="25"/>
      <c r="D2084" s="25"/>
      <c r="E2084" s="25"/>
      <c r="F2084" s="25"/>
      <c r="G2084" s="25"/>
      <c r="AG2084" s="10"/>
      <c r="AH2084" s="10"/>
      <c r="AI2084" s="10"/>
    </row>
    <row r="2085" spans="1:35" ht="18" hidden="1" customHeight="1" outlineLevel="2" x14ac:dyDescent="0.2">
      <c r="A2085" s="25"/>
      <c r="B2085" s="25"/>
      <c r="C2085" s="25" t="s">
        <v>3988</v>
      </c>
      <c r="D2085" s="25" t="s">
        <v>3985</v>
      </c>
      <c r="E2085" s="25"/>
      <c r="F2085" s="25"/>
      <c r="G2085" s="25"/>
      <c r="AG2085" s="10">
        <v>530015</v>
      </c>
      <c r="AH2085" s="10" t="s">
        <v>4160</v>
      </c>
      <c r="AI2085" s="10">
        <v>865468</v>
      </c>
    </row>
    <row r="2086" spans="1:35" ht="18" hidden="1" customHeight="1" outlineLevel="2" x14ac:dyDescent="0.2">
      <c r="A2086" s="25"/>
      <c r="B2086" s="25"/>
      <c r="C2086" s="25" t="s">
        <v>3988</v>
      </c>
      <c r="D2086" s="25" t="s">
        <v>3986</v>
      </c>
      <c r="E2086" s="25"/>
      <c r="F2086" s="25"/>
      <c r="G2086" s="25"/>
      <c r="AG2086" s="10">
        <v>530016</v>
      </c>
      <c r="AH2086" s="10" t="s">
        <v>4161</v>
      </c>
      <c r="AI2086" s="10">
        <v>865469</v>
      </c>
    </row>
    <row r="2087" spans="1:35" ht="18" hidden="1" customHeight="1" outlineLevel="2" x14ac:dyDescent="0.2">
      <c r="A2087" s="25"/>
      <c r="B2087" s="25"/>
      <c r="C2087" s="25"/>
      <c r="D2087" s="25"/>
      <c r="E2087" s="25"/>
      <c r="F2087" s="25"/>
      <c r="G2087" s="25"/>
      <c r="AG2087" s="10"/>
      <c r="AH2087" s="10"/>
      <c r="AI2087" s="10"/>
    </row>
    <row r="2088" spans="1:35" ht="18" hidden="1" customHeight="1" outlineLevel="2" x14ac:dyDescent="0.2">
      <c r="A2088" s="25"/>
      <c r="B2088" s="25"/>
      <c r="C2088" s="25" t="s">
        <v>3988</v>
      </c>
      <c r="D2088" s="25" t="s">
        <v>3987</v>
      </c>
      <c r="E2088" s="25"/>
      <c r="F2088" s="25"/>
      <c r="G2088" s="25"/>
      <c r="AG2088" s="10">
        <v>530019</v>
      </c>
      <c r="AH2088" s="10" t="s">
        <v>4162</v>
      </c>
      <c r="AI2088" s="10">
        <v>865472</v>
      </c>
    </row>
    <row r="2089" spans="1:35" ht="18" hidden="1" customHeight="1" outlineLevel="2" x14ac:dyDescent="0.2">
      <c r="A2089" s="25"/>
      <c r="B2089" s="25"/>
      <c r="C2089" s="25"/>
      <c r="D2089" s="25"/>
      <c r="E2089" s="25"/>
      <c r="F2089" s="25"/>
      <c r="G2089" s="25"/>
      <c r="AG2089" s="10"/>
      <c r="AH2089" s="10"/>
      <c r="AI2089" s="10"/>
    </row>
    <row r="2090" spans="1:35" ht="18" hidden="1" customHeight="1" outlineLevel="2" x14ac:dyDescent="0.2">
      <c r="A2090" s="25"/>
      <c r="B2090" s="25"/>
      <c r="C2090" s="25" t="s">
        <v>3992</v>
      </c>
      <c r="D2090" s="25" t="s">
        <v>3930</v>
      </c>
      <c r="E2090" s="25"/>
      <c r="F2090" s="25"/>
      <c r="G2090" s="25"/>
      <c r="AG2090" s="10">
        <v>523281</v>
      </c>
      <c r="AH2090" s="10" t="s">
        <v>4163</v>
      </c>
      <c r="AI2090" s="10">
        <v>864528</v>
      </c>
    </row>
    <row r="2091" spans="1:35" ht="18" hidden="1" customHeight="1" outlineLevel="2" x14ac:dyDescent="0.2">
      <c r="A2091" s="25"/>
      <c r="B2091" s="25"/>
      <c r="C2091" s="25" t="s">
        <v>3992</v>
      </c>
      <c r="D2091" s="25" t="s">
        <v>3931</v>
      </c>
      <c r="E2091" s="25"/>
      <c r="F2091" s="25"/>
      <c r="G2091" s="25"/>
      <c r="AG2091" s="10">
        <v>523282</v>
      </c>
      <c r="AH2091" s="10" t="s">
        <v>4164</v>
      </c>
      <c r="AI2091" s="10">
        <v>864529</v>
      </c>
    </row>
    <row r="2092" spans="1:35" ht="18" hidden="1" customHeight="1" outlineLevel="2" x14ac:dyDescent="0.2">
      <c r="A2092" s="25"/>
      <c r="B2092" s="25"/>
      <c r="C2092" s="25" t="s">
        <v>3992</v>
      </c>
      <c r="D2092" s="25" t="s">
        <v>3932</v>
      </c>
      <c r="E2092" s="25"/>
      <c r="F2092" s="25"/>
      <c r="G2092" s="25"/>
      <c r="AG2092" s="10">
        <v>523283</v>
      </c>
      <c r="AH2092" s="10" t="s">
        <v>4165</v>
      </c>
      <c r="AI2092" s="10">
        <v>864530</v>
      </c>
    </row>
    <row r="2093" spans="1:35" ht="18" hidden="1" customHeight="1" outlineLevel="2" x14ac:dyDescent="0.2">
      <c r="A2093" s="25"/>
      <c r="B2093" s="25"/>
      <c r="C2093" s="25" t="s">
        <v>3992</v>
      </c>
      <c r="D2093" s="25" t="s">
        <v>3933</v>
      </c>
      <c r="E2093" s="25"/>
      <c r="F2093" s="25"/>
      <c r="G2093" s="25"/>
      <c r="AG2093" s="10">
        <v>523284</v>
      </c>
      <c r="AH2093" s="10" t="s">
        <v>4166</v>
      </c>
      <c r="AI2093" s="10">
        <v>864531</v>
      </c>
    </row>
    <row r="2094" spans="1:35" ht="18" hidden="1" customHeight="1" outlineLevel="2" x14ac:dyDescent="0.2">
      <c r="A2094" s="25"/>
      <c r="B2094" s="25"/>
      <c r="C2094" s="25" t="s">
        <v>3992</v>
      </c>
      <c r="D2094" s="25" t="s">
        <v>3934</v>
      </c>
      <c r="E2094" s="25"/>
      <c r="F2094" s="25"/>
      <c r="G2094" s="25"/>
      <c r="AG2094" s="10">
        <v>523285</v>
      </c>
      <c r="AH2094" s="10" t="s">
        <v>4167</v>
      </c>
      <c r="AI2094" s="10">
        <v>864540</v>
      </c>
    </row>
    <row r="2095" spans="1:35" ht="18" hidden="1" customHeight="1" outlineLevel="2" x14ac:dyDescent="0.2">
      <c r="A2095" s="25"/>
      <c r="B2095" s="25"/>
      <c r="C2095" s="25"/>
      <c r="D2095" s="25"/>
      <c r="E2095" s="25"/>
      <c r="F2095" s="25"/>
      <c r="G2095" s="25"/>
      <c r="AG2095" s="10"/>
      <c r="AH2095" s="10"/>
      <c r="AI2095" s="10"/>
    </row>
    <row r="2096" spans="1:35" ht="18" hidden="1" customHeight="1" outlineLevel="1" x14ac:dyDescent="0.2">
      <c r="A2096" s="119" t="s">
        <v>168</v>
      </c>
      <c r="B2096" s="120"/>
      <c r="C2096" s="120"/>
      <c r="D2096" s="120"/>
      <c r="E2096" s="120"/>
      <c r="F2096" s="120"/>
      <c r="G2096" s="120"/>
      <c r="H2096" s="120"/>
      <c r="AG2096" s="10"/>
      <c r="AH2096" s="10"/>
      <c r="AI2096" s="10"/>
    </row>
    <row r="2097" spans="1:35" ht="18" hidden="1" customHeight="1" outlineLevel="2" x14ac:dyDescent="0.2">
      <c r="A2097" s="25"/>
      <c r="B2097" s="25"/>
      <c r="C2097" s="25" t="s">
        <v>3989</v>
      </c>
      <c r="D2097" s="25" t="s">
        <v>3929</v>
      </c>
      <c r="E2097" s="25"/>
      <c r="F2097" s="25"/>
      <c r="G2097" s="25"/>
      <c r="AG2097" s="10">
        <v>529130</v>
      </c>
      <c r="AH2097" s="10">
        <v>41252</v>
      </c>
      <c r="AI2097" s="10">
        <v>860370</v>
      </c>
    </row>
    <row r="2098" spans="1:35" ht="18" hidden="1" customHeight="1" outlineLevel="2" x14ac:dyDescent="0.2">
      <c r="A2098" s="25"/>
      <c r="B2098" s="25"/>
      <c r="C2098" s="25" t="s">
        <v>3989</v>
      </c>
      <c r="D2098" s="25" t="s">
        <v>3930</v>
      </c>
      <c r="E2098" s="25"/>
      <c r="F2098" s="25"/>
      <c r="G2098" s="25"/>
      <c r="AG2098" s="10">
        <v>529352</v>
      </c>
      <c r="AH2098" s="10" t="s">
        <v>4168</v>
      </c>
      <c r="AI2098" s="10">
        <v>867855</v>
      </c>
    </row>
    <row r="2099" spans="1:35" ht="18" hidden="1" customHeight="1" outlineLevel="2" x14ac:dyDescent="0.25">
      <c r="A2099" s="25"/>
      <c r="B2099" s="25"/>
      <c r="C2099" s="25" t="s">
        <v>3989</v>
      </c>
      <c r="D2099" s="25" t="s">
        <v>3931</v>
      </c>
      <c r="E2099" s="25"/>
      <c r="F2099" s="25"/>
      <c r="G2099" s="25"/>
      <c r="K2099"/>
      <c r="AG2099" s="10">
        <v>529353</v>
      </c>
      <c r="AH2099" s="10" t="s">
        <v>4169</v>
      </c>
      <c r="AI2099" s="10">
        <v>867856</v>
      </c>
    </row>
    <row r="2100" spans="1:35" ht="18" hidden="1" customHeight="1" outlineLevel="2" x14ac:dyDescent="0.25">
      <c r="A2100" s="25"/>
      <c r="B2100" s="25"/>
      <c r="C2100" s="25" t="s">
        <v>3989</v>
      </c>
      <c r="D2100" s="25" t="s">
        <v>3932</v>
      </c>
      <c r="E2100" s="25"/>
      <c r="F2100" s="25"/>
      <c r="G2100" s="25"/>
      <c r="K2100"/>
      <c r="AG2100" s="10">
        <v>529354</v>
      </c>
      <c r="AH2100" s="10" t="s">
        <v>4170</v>
      </c>
      <c r="AI2100" s="10">
        <v>867857</v>
      </c>
    </row>
    <row r="2101" spans="1:35" ht="18" hidden="1" customHeight="1" outlineLevel="2" x14ac:dyDescent="0.25">
      <c r="A2101" s="25"/>
      <c r="B2101" s="25"/>
      <c r="C2101" s="25" t="s">
        <v>3989</v>
      </c>
      <c r="D2101" s="25" t="s">
        <v>3933</v>
      </c>
      <c r="E2101" s="25"/>
      <c r="F2101" s="25"/>
      <c r="G2101" s="25"/>
      <c r="K2101"/>
      <c r="AG2101" s="10">
        <v>529355</v>
      </c>
      <c r="AH2101" s="10" t="s">
        <v>4171</v>
      </c>
      <c r="AI2101" s="10">
        <v>867858</v>
      </c>
    </row>
    <row r="2102" spans="1:35" ht="18" hidden="1" customHeight="1" outlineLevel="2" x14ac:dyDescent="0.25">
      <c r="A2102" s="25"/>
      <c r="B2102" s="25"/>
      <c r="C2102" s="25" t="s">
        <v>3989</v>
      </c>
      <c r="D2102" s="25" t="s">
        <v>3934</v>
      </c>
      <c r="E2102" s="25"/>
      <c r="F2102" s="25"/>
      <c r="G2102" s="25"/>
      <c r="K2102"/>
      <c r="AG2102" s="10">
        <v>529356</v>
      </c>
      <c r="AH2102" s="10" t="s">
        <v>4172</v>
      </c>
      <c r="AI2102" s="10">
        <v>867859</v>
      </c>
    </row>
    <row r="2103" spans="1:35" ht="18" hidden="1" customHeight="1" outlineLevel="2" x14ac:dyDescent="0.25">
      <c r="A2103" s="25"/>
      <c r="B2103" s="25"/>
      <c r="C2103" s="25" t="s">
        <v>3989</v>
      </c>
      <c r="D2103" s="25" t="s">
        <v>3935</v>
      </c>
      <c r="E2103" s="25"/>
      <c r="F2103" s="25"/>
      <c r="G2103" s="25"/>
      <c r="K2103"/>
      <c r="AG2103" s="10">
        <v>529357</v>
      </c>
      <c r="AH2103" s="10" t="s">
        <v>4173</v>
      </c>
      <c r="AI2103" s="10">
        <v>867860</v>
      </c>
    </row>
    <row r="2104" spans="1:35" ht="18" hidden="1" customHeight="1" outlineLevel="2" x14ac:dyDescent="0.25">
      <c r="A2104" s="25"/>
      <c r="B2104" s="25"/>
      <c r="C2104" s="25" t="s">
        <v>3989</v>
      </c>
      <c r="D2104" s="25" t="s">
        <v>3936</v>
      </c>
      <c r="E2104" s="25"/>
      <c r="F2104" s="25"/>
      <c r="G2104" s="25"/>
      <c r="K2104"/>
      <c r="AG2104" s="10">
        <v>529358</v>
      </c>
      <c r="AH2104" s="10" t="s">
        <v>4174</v>
      </c>
      <c r="AI2104" s="10">
        <v>867861</v>
      </c>
    </row>
    <row r="2105" spans="1:35" ht="18" hidden="1" customHeight="1" outlineLevel="2" x14ac:dyDescent="0.25">
      <c r="A2105" s="25"/>
      <c r="B2105" s="25"/>
      <c r="C2105" s="25"/>
      <c r="D2105" s="25"/>
      <c r="E2105" s="25"/>
      <c r="F2105" s="25"/>
      <c r="G2105" s="25"/>
      <c r="K2105"/>
      <c r="AG2105" s="10"/>
      <c r="AH2105" s="10"/>
      <c r="AI2105" s="10"/>
    </row>
    <row r="2106" spans="1:35" ht="18" hidden="1" customHeight="1" outlineLevel="2" x14ac:dyDescent="0.25">
      <c r="A2106" s="25"/>
      <c r="B2106" s="25"/>
      <c r="C2106" s="25" t="s">
        <v>3990</v>
      </c>
      <c r="D2106" s="25" t="s">
        <v>3929</v>
      </c>
      <c r="E2106" s="25"/>
      <c r="F2106" s="25"/>
      <c r="G2106" s="25"/>
      <c r="K2106"/>
      <c r="AG2106" s="10">
        <v>523268</v>
      </c>
      <c r="AH2106" s="10">
        <v>65600</v>
      </c>
      <c r="AI2106" s="10">
        <v>863906</v>
      </c>
    </row>
    <row r="2107" spans="1:35" ht="18" hidden="1" customHeight="1" outlineLevel="2" x14ac:dyDescent="0.25">
      <c r="A2107" s="25"/>
      <c r="B2107" s="25"/>
      <c r="C2107" s="25" t="s">
        <v>3990</v>
      </c>
      <c r="D2107" s="25" t="s">
        <v>3930</v>
      </c>
      <c r="E2107" s="25"/>
      <c r="F2107" s="25"/>
      <c r="G2107" s="25"/>
      <c r="K2107"/>
      <c r="AG2107" s="10">
        <v>523431</v>
      </c>
      <c r="AH2107" s="10">
        <v>40775</v>
      </c>
      <c r="AI2107" s="10">
        <v>863908</v>
      </c>
    </row>
    <row r="2108" spans="1:35" ht="18" hidden="1" customHeight="1" outlineLevel="2" x14ac:dyDescent="0.2">
      <c r="A2108" s="25"/>
      <c r="B2108" s="25"/>
      <c r="C2108" s="25" t="s">
        <v>3990</v>
      </c>
      <c r="D2108" s="25" t="s">
        <v>3931</v>
      </c>
      <c r="E2108" s="25"/>
      <c r="F2108" s="25"/>
      <c r="G2108" s="25"/>
      <c r="AG2108" s="10">
        <v>523432</v>
      </c>
      <c r="AH2108" s="10">
        <v>40816</v>
      </c>
      <c r="AI2108" s="10">
        <v>863909</v>
      </c>
    </row>
    <row r="2109" spans="1:35" ht="18" hidden="1" customHeight="1" outlineLevel="2" x14ac:dyDescent="0.2">
      <c r="A2109" s="25"/>
      <c r="B2109" s="25"/>
      <c r="C2109" s="25" t="s">
        <v>3990</v>
      </c>
      <c r="D2109" s="25" t="s">
        <v>3932</v>
      </c>
      <c r="E2109" s="25"/>
      <c r="F2109" s="25"/>
      <c r="G2109" s="25"/>
      <c r="AG2109" s="10">
        <v>523433</v>
      </c>
      <c r="AH2109" s="10">
        <v>40824</v>
      </c>
      <c r="AI2109" s="10">
        <v>863911</v>
      </c>
    </row>
    <row r="2110" spans="1:35" ht="18" hidden="1" customHeight="1" outlineLevel="2" x14ac:dyDescent="0.2">
      <c r="A2110" s="25"/>
      <c r="B2110" s="25"/>
      <c r="C2110" s="25" t="s">
        <v>3990</v>
      </c>
      <c r="D2110" s="25" t="s">
        <v>3933</v>
      </c>
      <c r="E2110" s="25"/>
      <c r="F2110" s="25"/>
      <c r="G2110" s="25"/>
      <c r="AG2110" s="10">
        <v>523434</v>
      </c>
      <c r="AH2110" s="10">
        <v>40832</v>
      </c>
      <c r="AI2110" s="10">
        <v>863912</v>
      </c>
    </row>
    <row r="2111" spans="1:35" ht="18" hidden="1" customHeight="1" outlineLevel="2" x14ac:dyDescent="0.2">
      <c r="A2111" s="25"/>
      <c r="B2111" s="25"/>
      <c r="C2111" s="25" t="s">
        <v>3990</v>
      </c>
      <c r="D2111" s="25" t="s">
        <v>3934</v>
      </c>
      <c r="E2111" s="25"/>
      <c r="F2111" s="25"/>
      <c r="G2111" s="25"/>
      <c r="AG2111" s="10">
        <v>523435</v>
      </c>
      <c r="AH2111" s="10">
        <v>40840</v>
      </c>
      <c r="AI2111" s="10">
        <v>863913</v>
      </c>
    </row>
    <row r="2112" spans="1:35" ht="18" hidden="1" customHeight="1" outlineLevel="2" x14ac:dyDescent="0.2">
      <c r="A2112" s="25"/>
      <c r="B2112" s="25"/>
      <c r="C2112" s="25" t="s">
        <v>3990</v>
      </c>
      <c r="D2112" s="25" t="s">
        <v>3935</v>
      </c>
      <c r="E2112" s="25"/>
      <c r="F2112" s="25"/>
      <c r="G2112" s="25"/>
      <c r="AG2112" s="10">
        <v>523438</v>
      </c>
      <c r="AH2112" s="10">
        <v>40858</v>
      </c>
      <c r="AI2112" s="10">
        <v>864355</v>
      </c>
    </row>
    <row r="2113" spans="1:36" ht="18" hidden="1" customHeight="1" outlineLevel="2" x14ac:dyDescent="0.2">
      <c r="A2113" s="25"/>
      <c r="B2113" s="25"/>
      <c r="C2113" s="25" t="s">
        <v>3990</v>
      </c>
      <c r="D2113" s="25" t="s">
        <v>3936</v>
      </c>
      <c r="E2113" s="25"/>
      <c r="F2113" s="25"/>
      <c r="G2113" s="25"/>
      <c r="AG2113" s="10">
        <v>523436</v>
      </c>
      <c r="AH2113" s="10">
        <v>40866</v>
      </c>
      <c r="AI2113" s="10">
        <v>864253</v>
      </c>
    </row>
    <row r="2114" spans="1:36" ht="18" hidden="1" customHeight="1" outlineLevel="2" x14ac:dyDescent="0.2">
      <c r="A2114" s="25"/>
      <c r="B2114" s="25"/>
      <c r="C2114" s="25"/>
      <c r="D2114" s="25"/>
      <c r="E2114" s="25"/>
      <c r="F2114" s="25"/>
      <c r="G2114" s="25"/>
      <c r="AG2114" s="10"/>
      <c r="AH2114" s="10"/>
      <c r="AI2114" s="10"/>
    </row>
    <row r="2115" spans="1:36" ht="18" hidden="1" customHeight="1" outlineLevel="1" x14ac:dyDescent="0.2">
      <c r="A2115" s="119" t="s">
        <v>154</v>
      </c>
      <c r="B2115" s="120"/>
      <c r="C2115" s="120"/>
      <c r="D2115" s="120"/>
      <c r="E2115" s="120"/>
      <c r="F2115" s="120"/>
      <c r="G2115" s="120"/>
      <c r="H2115" s="120"/>
      <c r="AG2115" s="10"/>
      <c r="AH2115" s="10"/>
      <c r="AI2115" s="10"/>
    </row>
    <row r="2116" spans="1:36" ht="18" hidden="1" customHeight="1" outlineLevel="2" x14ac:dyDescent="0.2">
      <c r="A2116" s="25"/>
      <c r="B2116" s="25"/>
      <c r="C2116" s="25" t="s">
        <v>3993</v>
      </c>
      <c r="D2116" s="25" t="s">
        <v>3929</v>
      </c>
      <c r="E2116" s="25"/>
      <c r="F2116" s="25"/>
      <c r="G2116" s="25"/>
      <c r="AG2116" s="10">
        <v>524161</v>
      </c>
      <c r="AH2116" s="10">
        <v>60006232</v>
      </c>
      <c r="AI2116" s="10">
        <v>280005</v>
      </c>
    </row>
    <row r="2117" spans="1:36" ht="18" hidden="1" customHeight="1" outlineLevel="2" x14ac:dyDescent="0.2">
      <c r="A2117" s="25"/>
      <c r="B2117" s="25"/>
      <c r="C2117" s="25" t="s">
        <v>3993</v>
      </c>
      <c r="D2117" s="25" t="s">
        <v>3930</v>
      </c>
      <c r="E2117" s="25"/>
      <c r="F2117" s="25"/>
      <c r="G2117" s="25"/>
      <c r="AG2117" s="10">
        <v>543544</v>
      </c>
      <c r="AH2117" s="10">
        <v>37361</v>
      </c>
      <c r="AI2117" s="10">
        <v>867742</v>
      </c>
    </row>
    <row r="2118" spans="1:36" ht="18" hidden="1" customHeight="1" outlineLevel="2" x14ac:dyDescent="0.2">
      <c r="A2118" s="25"/>
      <c r="B2118" s="25"/>
      <c r="C2118" s="25" t="s">
        <v>3993</v>
      </c>
      <c r="D2118" s="25" t="s">
        <v>3931</v>
      </c>
      <c r="E2118" s="25"/>
      <c r="F2118" s="25"/>
      <c r="G2118" s="25"/>
      <c r="AG2118" s="10">
        <v>543545</v>
      </c>
      <c r="AH2118" s="10">
        <v>37362</v>
      </c>
      <c r="AI2118" s="10">
        <v>867743</v>
      </c>
    </row>
    <row r="2119" spans="1:36" ht="18" hidden="1" customHeight="1" outlineLevel="2" x14ac:dyDescent="0.2">
      <c r="A2119" s="25"/>
      <c r="B2119" s="25"/>
      <c r="C2119" s="25" t="s">
        <v>3993</v>
      </c>
      <c r="D2119" s="25" t="s">
        <v>3932</v>
      </c>
      <c r="E2119" s="25"/>
      <c r="F2119" s="25"/>
      <c r="G2119" s="25"/>
      <c r="AG2119" s="10">
        <v>543546</v>
      </c>
      <c r="AH2119" s="10">
        <v>37363</v>
      </c>
      <c r="AI2119" s="10">
        <v>867744</v>
      </c>
    </row>
    <row r="2120" spans="1:36" ht="18" hidden="1" customHeight="1" outlineLevel="2" x14ac:dyDescent="0.2">
      <c r="A2120" s="25"/>
      <c r="B2120" s="25"/>
      <c r="C2120" s="25" t="s">
        <v>3993</v>
      </c>
      <c r="D2120" s="25" t="s">
        <v>3933</v>
      </c>
      <c r="E2120" s="25"/>
      <c r="F2120" s="25"/>
      <c r="G2120" s="25"/>
      <c r="AG2120" s="10">
        <v>524172</v>
      </c>
      <c r="AH2120" s="10">
        <v>37364</v>
      </c>
      <c r="AI2120" s="10">
        <v>867745</v>
      </c>
    </row>
    <row r="2121" spans="1:36" ht="18" hidden="1" customHeight="1" outlineLevel="2" x14ac:dyDescent="0.2">
      <c r="A2121" s="25"/>
      <c r="B2121" s="25"/>
      <c r="C2121" s="25" t="s">
        <v>3993</v>
      </c>
      <c r="D2121" s="25" t="s">
        <v>3934</v>
      </c>
      <c r="E2121" s="25"/>
      <c r="F2121" s="25"/>
      <c r="G2121" s="25"/>
      <c r="AG2121" s="10">
        <v>524173</v>
      </c>
      <c r="AH2121" s="10">
        <v>37365</v>
      </c>
      <c r="AI2121" s="10">
        <v>867746</v>
      </c>
    </row>
    <row r="2122" spans="1:36" ht="18" hidden="1" customHeight="1" outlineLevel="2" x14ac:dyDescent="0.2">
      <c r="A2122" s="25"/>
      <c r="B2122" s="25"/>
      <c r="C2122" s="25" t="s">
        <v>3993</v>
      </c>
      <c r="D2122" s="25" t="s">
        <v>3935</v>
      </c>
      <c r="E2122" s="25"/>
      <c r="F2122" s="25"/>
      <c r="G2122" s="25"/>
      <c r="AG2122" s="10">
        <v>524174</v>
      </c>
      <c r="AH2122" s="10">
        <v>37366</v>
      </c>
      <c r="AI2122" s="10">
        <v>867747</v>
      </c>
    </row>
    <row r="2123" spans="1:36" ht="18" hidden="1" customHeight="1" outlineLevel="2" x14ac:dyDescent="0.2">
      <c r="A2123" s="25"/>
      <c r="B2123" s="25"/>
      <c r="C2123" s="25" t="s">
        <v>3993</v>
      </c>
      <c r="D2123" s="25" t="s">
        <v>3936</v>
      </c>
      <c r="E2123" s="25"/>
      <c r="F2123" s="25"/>
      <c r="G2123" s="25"/>
      <c r="AG2123" s="10">
        <v>524175</v>
      </c>
      <c r="AH2123" s="10">
        <v>37367</v>
      </c>
      <c r="AI2123" s="10">
        <v>867748</v>
      </c>
      <c r="AJ2123" s="10"/>
    </row>
    <row r="2124" spans="1:36" ht="18" hidden="1" customHeight="1" outlineLevel="2" x14ac:dyDescent="0.2">
      <c r="A2124" s="25"/>
      <c r="B2124" s="25"/>
      <c r="C2124" s="25"/>
      <c r="D2124" s="25"/>
      <c r="E2124" s="25"/>
      <c r="F2124" s="25"/>
      <c r="G2124" s="25"/>
      <c r="AG2124" s="10"/>
      <c r="AH2124" s="10"/>
      <c r="AI2124" s="10"/>
      <c r="AJ2124" s="10"/>
    </row>
    <row r="2125" spans="1:36" ht="18" hidden="1" customHeight="1" outlineLevel="1" x14ac:dyDescent="0.2">
      <c r="A2125" s="119" t="s">
        <v>4203</v>
      </c>
      <c r="B2125" s="120"/>
      <c r="C2125" s="120"/>
      <c r="D2125" s="120"/>
      <c r="E2125" s="120"/>
      <c r="F2125" s="120"/>
      <c r="G2125" s="120"/>
      <c r="H2125" s="120"/>
      <c r="AG2125" s="10"/>
      <c r="AH2125" s="10"/>
      <c r="AI2125" s="10"/>
      <c r="AJ2125" s="10"/>
    </row>
    <row r="2126" spans="1:36" ht="18" hidden="1" customHeight="1" outlineLevel="2" x14ac:dyDescent="0.2">
      <c r="A2126" s="25"/>
      <c r="B2126" s="25"/>
      <c r="C2126" s="25" t="s">
        <v>3994</v>
      </c>
      <c r="D2126" s="25" t="s">
        <v>3995</v>
      </c>
      <c r="E2126" s="25"/>
      <c r="F2126" s="25"/>
      <c r="G2126" s="25"/>
      <c r="H2126" s="25">
        <v>1000</v>
      </c>
      <c r="AG2126" s="10">
        <v>533303</v>
      </c>
      <c r="AH2126" s="10">
        <v>60040910</v>
      </c>
      <c r="AI2126" s="10">
        <v>300881</v>
      </c>
      <c r="AJ2126" s="10"/>
    </row>
    <row r="2127" spans="1:36" ht="18" hidden="1" customHeight="1" outlineLevel="2" x14ac:dyDescent="0.2">
      <c r="A2127" s="25"/>
      <c r="B2127" s="25"/>
      <c r="C2127" s="25"/>
      <c r="D2127" s="25"/>
      <c r="E2127" s="25"/>
      <c r="F2127" s="25"/>
      <c r="G2127" s="25"/>
      <c r="AG2127" s="10"/>
      <c r="AH2127" s="10"/>
      <c r="AI2127" s="10"/>
      <c r="AJ2127" s="10"/>
    </row>
    <row r="2128" spans="1:36" ht="18" hidden="1" customHeight="1" outlineLevel="2" x14ac:dyDescent="0.2">
      <c r="A2128" s="25"/>
      <c r="B2128" s="25" t="s">
        <v>3371</v>
      </c>
      <c r="C2128" s="70" t="s">
        <v>2075</v>
      </c>
      <c r="D2128" s="25" t="s">
        <v>885</v>
      </c>
      <c r="E2128" s="25"/>
      <c r="F2128" s="25"/>
      <c r="G2128" s="25"/>
      <c r="H2128" s="25" t="s">
        <v>267</v>
      </c>
      <c r="J2128" s="75"/>
      <c r="AG2128" s="10">
        <v>547579</v>
      </c>
      <c r="AH2128" s="10">
        <v>975267</v>
      </c>
      <c r="AI2128" s="10">
        <v>300877</v>
      </c>
    </row>
    <row r="2129" spans="1:35" ht="18" hidden="1" customHeight="1" outlineLevel="2" x14ac:dyDescent="0.2">
      <c r="A2129" s="25"/>
      <c r="B2129" s="25"/>
      <c r="C2129" s="25" t="s">
        <v>3996</v>
      </c>
      <c r="D2129" s="25" t="s">
        <v>889</v>
      </c>
      <c r="E2129" s="25"/>
      <c r="F2129" s="25"/>
      <c r="G2129" s="25"/>
      <c r="H2129" s="25" t="s">
        <v>267</v>
      </c>
      <c r="AG2129" s="10">
        <v>533327</v>
      </c>
      <c r="AH2129" s="10">
        <v>975270</v>
      </c>
      <c r="AI2129" s="10">
        <v>924789</v>
      </c>
    </row>
    <row r="2130" spans="1:35" ht="18" hidden="1" customHeight="1" outlineLevel="2" x14ac:dyDescent="0.2">
      <c r="A2130" s="25"/>
      <c r="B2130" s="25"/>
      <c r="C2130" s="25" t="s">
        <v>3997</v>
      </c>
      <c r="D2130" s="25" t="s">
        <v>885</v>
      </c>
      <c r="E2130" s="25"/>
      <c r="F2130" s="25"/>
      <c r="G2130" s="25" t="s">
        <v>885</v>
      </c>
      <c r="H2130" s="25" t="s">
        <v>3108</v>
      </c>
      <c r="AG2130" s="10">
        <v>533589</v>
      </c>
      <c r="AH2130" s="10">
        <v>37920</v>
      </c>
      <c r="AI2130" s="10">
        <v>300876</v>
      </c>
    </row>
    <row r="2131" spans="1:35" ht="18" hidden="1" customHeight="1" outlineLevel="2" x14ac:dyDescent="0.2">
      <c r="A2131" s="25"/>
      <c r="B2131" s="25"/>
      <c r="C2131" s="25"/>
      <c r="D2131" s="25"/>
      <c r="E2131" s="25"/>
      <c r="F2131" s="25"/>
      <c r="G2131" s="25"/>
      <c r="AG2131" s="10"/>
      <c r="AH2131" s="10"/>
      <c r="AI2131" s="10"/>
    </row>
    <row r="2132" spans="1:35" ht="18" hidden="1" customHeight="1" outlineLevel="2" x14ac:dyDescent="0.2">
      <c r="A2132" s="25"/>
      <c r="B2132" s="25"/>
      <c r="C2132" s="25" t="s">
        <v>3998</v>
      </c>
      <c r="D2132" s="25" t="s">
        <v>3999</v>
      </c>
      <c r="E2132" s="25"/>
      <c r="F2132" s="25"/>
      <c r="G2132" s="25" t="s">
        <v>4004</v>
      </c>
      <c r="AG2132" s="10">
        <v>533588</v>
      </c>
      <c r="AH2132" s="10">
        <v>240447</v>
      </c>
      <c r="AI2132" s="10">
        <v>822115</v>
      </c>
    </row>
    <row r="2133" spans="1:35" ht="18" hidden="1" customHeight="1" outlineLevel="2" x14ac:dyDescent="0.2">
      <c r="A2133" s="25"/>
      <c r="B2133" s="25"/>
      <c r="C2133" s="25" t="s">
        <v>4000</v>
      </c>
      <c r="D2133" s="25" t="s">
        <v>4001</v>
      </c>
      <c r="E2133" s="25"/>
      <c r="F2133" s="25"/>
      <c r="G2133" s="25" t="s">
        <v>4005</v>
      </c>
      <c r="AG2133" s="10">
        <v>547518</v>
      </c>
      <c r="AH2133" s="10">
        <v>240448</v>
      </c>
      <c r="AI2133" s="10">
        <v>821776</v>
      </c>
    </row>
    <row r="2134" spans="1:35" ht="18" hidden="1" customHeight="1" outlineLevel="2" x14ac:dyDescent="0.2">
      <c r="A2134" s="25"/>
      <c r="B2134" s="25"/>
      <c r="C2134" s="25" t="s">
        <v>3998</v>
      </c>
      <c r="D2134" s="25" t="s">
        <v>4002</v>
      </c>
      <c r="E2134" s="25"/>
      <c r="F2134" s="25"/>
      <c r="G2134" s="25" t="s">
        <v>4006</v>
      </c>
      <c r="AG2134" s="10">
        <v>547650</v>
      </c>
      <c r="AH2134" s="10">
        <v>240445</v>
      </c>
      <c r="AI2134" s="10">
        <v>821773</v>
      </c>
    </row>
    <row r="2135" spans="1:35" ht="18" hidden="1" customHeight="1" outlineLevel="2" x14ac:dyDescent="0.2">
      <c r="A2135" s="25"/>
      <c r="B2135" s="25"/>
      <c r="C2135" s="25" t="s">
        <v>4000</v>
      </c>
      <c r="D2135" s="25" t="s">
        <v>4003</v>
      </c>
      <c r="E2135" s="25"/>
      <c r="F2135" s="25"/>
      <c r="G2135" s="25" t="s">
        <v>4007</v>
      </c>
      <c r="AG2135" s="10">
        <v>547519</v>
      </c>
      <c r="AH2135" s="10">
        <v>240446</v>
      </c>
      <c r="AI2135" s="10">
        <v>821774</v>
      </c>
    </row>
    <row r="2136" spans="1:35" ht="18" hidden="1" customHeight="1" outlineLevel="2" x14ac:dyDescent="0.2">
      <c r="A2136" s="25"/>
      <c r="B2136" s="25"/>
      <c r="C2136" s="25"/>
      <c r="D2136" s="25"/>
      <c r="E2136" s="25"/>
      <c r="F2136" s="25"/>
      <c r="G2136" s="25"/>
      <c r="AG2136" s="10"/>
      <c r="AH2136" s="10"/>
      <c r="AI2136" s="10"/>
    </row>
    <row r="2137" spans="1:35" ht="18" hidden="1" customHeight="1" outlineLevel="2" x14ac:dyDescent="0.2">
      <c r="A2137" s="25"/>
      <c r="B2137" s="25"/>
      <c r="C2137" s="65" t="s">
        <v>2076</v>
      </c>
      <c r="D2137" s="25" t="s">
        <v>2077</v>
      </c>
      <c r="E2137" s="25" t="s">
        <v>2078</v>
      </c>
      <c r="F2137" s="25" t="s">
        <v>204</v>
      </c>
      <c r="G2137" s="25"/>
      <c r="H2137" s="25" t="s">
        <v>3075</v>
      </c>
      <c r="J2137" s="75"/>
    </row>
    <row r="2138" spans="1:35" ht="18" hidden="1" customHeight="1" outlineLevel="2" x14ac:dyDescent="0.2">
      <c r="A2138" s="25"/>
      <c r="B2138" s="25"/>
      <c r="C2138" s="65" t="s">
        <v>2079</v>
      </c>
      <c r="D2138" s="25" t="s">
        <v>2077</v>
      </c>
      <c r="E2138" s="25" t="s">
        <v>2080</v>
      </c>
      <c r="F2138" s="25" t="s">
        <v>204</v>
      </c>
      <c r="G2138" s="25"/>
      <c r="H2138" s="25" t="s">
        <v>350</v>
      </c>
      <c r="J2138" s="75"/>
    </row>
    <row r="2139" spans="1:35" ht="18" hidden="1" customHeight="1" outlineLevel="2" x14ac:dyDescent="0.2">
      <c r="A2139" s="25"/>
      <c r="B2139" s="25"/>
      <c r="C2139" s="25"/>
      <c r="D2139" s="25"/>
      <c r="E2139" s="25"/>
      <c r="F2139" s="25"/>
      <c r="G2139" s="25"/>
      <c r="AG2139" s="10"/>
      <c r="AH2139" s="10"/>
      <c r="AI2139" s="10"/>
    </row>
    <row r="2140" spans="1:35" ht="18" hidden="1" customHeight="1" outlineLevel="1" x14ac:dyDescent="0.2">
      <c r="A2140" s="119" t="s">
        <v>4009</v>
      </c>
      <c r="B2140" s="120"/>
      <c r="C2140" s="120"/>
      <c r="D2140" s="120"/>
      <c r="E2140" s="120"/>
      <c r="F2140" s="120"/>
      <c r="G2140" s="120"/>
      <c r="H2140" s="120"/>
      <c r="AG2140" s="10"/>
      <c r="AH2140" s="10"/>
      <c r="AI2140" s="10"/>
    </row>
    <row r="2141" spans="1:35" ht="18" hidden="1" customHeight="1" outlineLevel="2" x14ac:dyDescent="0.2">
      <c r="A2141" s="25"/>
      <c r="B2141" s="25"/>
      <c r="C2141" s="25" t="s">
        <v>4025</v>
      </c>
      <c r="D2141" s="25" t="s">
        <v>4011</v>
      </c>
      <c r="E2141" s="25"/>
      <c r="F2141" s="25"/>
      <c r="G2141" s="25" t="s">
        <v>4010</v>
      </c>
      <c r="AG2141" s="10">
        <v>521000</v>
      </c>
      <c r="AH2141" s="10">
        <v>24610</v>
      </c>
      <c r="AI2141" s="10">
        <v>1910</v>
      </c>
    </row>
    <row r="2142" spans="1:35" ht="18" hidden="1" customHeight="1" outlineLevel="2" x14ac:dyDescent="0.2">
      <c r="A2142" s="25"/>
      <c r="B2142" s="25"/>
      <c r="C2142" s="25" t="s">
        <v>4025</v>
      </c>
      <c r="D2142" s="25" t="s">
        <v>4012</v>
      </c>
      <c r="E2142" s="25"/>
      <c r="F2142" s="25"/>
      <c r="G2142" s="25" t="s">
        <v>4010</v>
      </c>
      <c r="AG2142" s="10">
        <v>521001</v>
      </c>
      <c r="AH2142" s="10">
        <v>24616</v>
      </c>
      <c r="AI2142" s="10">
        <v>1911</v>
      </c>
    </row>
    <row r="2143" spans="1:35" ht="18" hidden="1" customHeight="1" outlineLevel="2" x14ac:dyDescent="0.2">
      <c r="A2143" s="25"/>
      <c r="B2143" s="25"/>
      <c r="C2143" s="25" t="s">
        <v>4025</v>
      </c>
      <c r="D2143" s="25" t="s">
        <v>4013</v>
      </c>
      <c r="E2143" s="25"/>
      <c r="F2143" s="25"/>
      <c r="G2143" s="25" t="s">
        <v>4010</v>
      </c>
      <c r="AG2143" s="10">
        <v>521002</v>
      </c>
      <c r="AH2143" s="10">
        <v>24622</v>
      </c>
      <c r="AI2143" s="10">
        <v>1912</v>
      </c>
    </row>
    <row r="2144" spans="1:35" ht="18" hidden="1" customHeight="1" outlineLevel="2" x14ac:dyDescent="0.2">
      <c r="A2144" s="25"/>
      <c r="B2144" s="25"/>
      <c r="C2144" s="25" t="s">
        <v>4025</v>
      </c>
      <c r="D2144" s="25" t="s">
        <v>4014</v>
      </c>
      <c r="E2144" s="25"/>
      <c r="F2144" s="25"/>
      <c r="G2144" s="25" t="s">
        <v>4010</v>
      </c>
      <c r="AG2144" s="10">
        <v>521003</v>
      </c>
      <c r="AH2144" s="10">
        <v>24628</v>
      </c>
      <c r="AI2144" s="10">
        <v>1913</v>
      </c>
    </row>
    <row r="2145" spans="1:35" ht="18" hidden="1" customHeight="1" outlineLevel="2" x14ac:dyDescent="0.2">
      <c r="A2145" s="25"/>
      <c r="B2145" s="25"/>
      <c r="C2145" s="25" t="s">
        <v>4025</v>
      </c>
      <c r="D2145" s="25" t="s">
        <v>4015</v>
      </c>
      <c r="E2145" s="25"/>
      <c r="F2145" s="25"/>
      <c r="G2145" s="25" t="s">
        <v>4010</v>
      </c>
      <c r="AG2145" s="10">
        <v>521004</v>
      </c>
      <c r="AH2145" s="10">
        <v>24634</v>
      </c>
      <c r="AI2145" s="10">
        <v>1914</v>
      </c>
    </row>
    <row r="2146" spans="1:35" ht="18" hidden="1" customHeight="1" outlineLevel="2" x14ac:dyDescent="0.2">
      <c r="A2146" s="25"/>
      <c r="B2146" s="25"/>
      <c r="C2146" s="25" t="s">
        <v>4025</v>
      </c>
      <c r="D2146" s="25" t="s">
        <v>4016</v>
      </c>
      <c r="E2146" s="25"/>
      <c r="F2146" s="25"/>
      <c r="G2146" s="25" t="s">
        <v>4010</v>
      </c>
      <c r="AG2146" s="10">
        <v>521005</v>
      </c>
      <c r="AH2146" s="10">
        <v>24640</v>
      </c>
      <c r="AI2146" s="10">
        <v>1915</v>
      </c>
    </row>
    <row r="2147" spans="1:35" ht="18" hidden="1" customHeight="1" outlineLevel="2" x14ac:dyDescent="0.2">
      <c r="A2147" s="25"/>
      <c r="B2147" s="25"/>
      <c r="C2147" s="25" t="s">
        <v>4025</v>
      </c>
      <c r="D2147" s="25" t="s">
        <v>4017</v>
      </c>
      <c r="E2147" s="25"/>
      <c r="F2147" s="25"/>
      <c r="G2147" s="25" t="s">
        <v>4010</v>
      </c>
      <c r="AG2147" s="10">
        <v>521006</v>
      </c>
      <c r="AH2147" s="10">
        <v>24646</v>
      </c>
      <c r="AI2147" s="10">
        <v>1916</v>
      </c>
    </row>
    <row r="2148" spans="1:35" ht="18" hidden="1" customHeight="1" outlineLevel="2" x14ac:dyDescent="0.2">
      <c r="A2148" s="25"/>
      <c r="B2148" s="25"/>
      <c r="C2148" s="25" t="s">
        <v>4028</v>
      </c>
      <c r="D2148" s="25" t="s">
        <v>4021</v>
      </c>
      <c r="E2148" s="25"/>
      <c r="F2148" s="25"/>
      <c r="G2148" s="25"/>
      <c r="AG2148" s="10">
        <v>520025</v>
      </c>
      <c r="AH2148" s="10">
        <v>250020</v>
      </c>
      <c r="AI2148" s="10">
        <v>1134</v>
      </c>
    </row>
    <row r="2149" spans="1:35" ht="18" hidden="1" customHeight="1" outlineLevel="2" x14ac:dyDescent="0.2">
      <c r="A2149" s="25"/>
      <c r="B2149" s="25"/>
      <c r="C2149" s="25"/>
      <c r="D2149" s="25"/>
      <c r="E2149" s="25"/>
      <c r="F2149" s="25"/>
      <c r="G2149" s="25"/>
      <c r="AG2149" s="10"/>
      <c r="AH2149" s="10"/>
      <c r="AI2149" s="10"/>
    </row>
    <row r="2150" spans="1:35" ht="18" hidden="1" customHeight="1" outlineLevel="2" x14ac:dyDescent="0.25">
      <c r="A2150" s="25"/>
      <c r="B2150" s="25"/>
      <c r="C2150" s="25" t="s">
        <v>4024</v>
      </c>
      <c r="D2150" s="25" t="s">
        <v>4021</v>
      </c>
      <c r="E2150" s="25"/>
      <c r="F2150" s="25"/>
      <c r="G2150" s="25" t="s">
        <v>4042</v>
      </c>
      <c r="I2150" s="80"/>
      <c r="AG2150" s="10">
        <v>521633</v>
      </c>
      <c r="AH2150" s="10">
        <v>250798</v>
      </c>
      <c r="AI2150" s="10">
        <v>230061</v>
      </c>
    </row>
    <row r="2151" spans="1:35" ht="18" hidden="1" customHeight="1" outlineLevel="2" x14ac:dyDescent="0.2">
      <c r="A2151" s="25"/>
      <c r="B2151" s="25"/>
      <c r="C2151" s="65" t="s">
        <v>4175</v>
      </c>
      <c r="D2151" s="25" t="s">
        <v>4021</v>
      </c>
      <c r="E2151" s="25"/>
      <c r="F2151" s="25"/>
      <c r="G2151" s="25"/>
      <c r="AG2151" s="10">
        <v>520019</v>
      </c>
      <c r="AH2151" s="10">
        <v>250023</v>
      </c>
      <c r="AI2151" s="10">
        <v>230063</v>
      </c>
    </row>
    <row r="2152" spans="1:35" ht="18" hidden="1" customHeight="1" outlineLevel="2" x14ac:dyDescent="0.2">
      <c r="A2152" s="25"/>
      <c r="B2152" s="25"/>
      <c r="C2152" s="25"/>
      <c r="D2152" s="25"/>
      <c r="E2152" s="25"/>
      <c r="F2152" s="25"/>
      <c r="G2152" s="25"/>
      <c r="AG2152" s="10"/>
      <c r="AH2152" s="10"/>
      <c r="AI2152" s="10"/>
    </row>
    <row r="2153" spans="1:35" ht="18" hidden="1" customHeight="1" outlineLevel="2" x14ac:dyDescent="0.2">
      <c r="A2153" s="25"/>
      <c r="B2153" s="25"/>
      <c r="C2153" s="25" t="s">
        <v>4023</v>
      </c>
      <c r="D2153" s="25" t="s">
        <v>4021</v>
      </c>
      <c r="E2153" s="25">
        <v>230056</v>
      </c>
      <c r="F2153" s="25" t="s">
        <v>4018</v>
      </c>
      <c r="G2153" s="25" t="s">
        <v>4041</v>
      </c>
      <c r="AG2153" s="10"/>
      <c r="AH2153" s="10"/>
      <c r="AI2153" s="10">
        <v>230056</v>
      </c>
    </row>
    <row r="2154" spans="1:35" ht="18" hidden="1" customHeight="1" outlineLevel="2" x14ac:dyDescent="0.2">
      <c r="A2154" s="25"/>
      <c r="B2154" s="25"/>
      <c r="C2154" s="25" t="s">
        <v>4023</v>
      </c>
      <c r="D2154" s="25" t="s">
        <v>4020</v>
      </c>
      <c r="E2154" s="25">
        <v>230057</v>
      </c>
      <c r="F2154" s="25" t="s">
        <v>4018</v>
      </c>
      <c r="G2154" s="25" t="s">
        <v>4040</v>
      </c>
      <c r="AG2154" s="10"/>
      <c r="AH2154" s="10"/>
      <c r="AI2154" s="10">
        <v>230057</v>
      </c>
    </row>
    <row r="2155" spans="1:35" ht="18" hidden="1" customHeight="1" outlineLevel="2" x14ac:dyDescent="0.2">
      <c r="A2155" s="25"/>
      <c r="B2155" s="25"/>
      <c r="C2155" s="25" t="s">
        <v>4023</v>
      </c>
      <c r="D2155" s="25" t="s">
        <v>4022</v>
      </c>
      <c r="E2155" s="25">
        <v>230058</v>
      </c>
      <c r="F2155" s="25" t="s">
        <v>4018</v>
      </c>
      <c r="G2155" s="25" t="s">
        <v>4040</v>
      </c>
      <c r="AG2155" s="10"/>
      <c r="AH2155" s="10"/>
      <c r="AI2155" s="10">
        <v>230058</v>
      </c>
    </row>
    <row r="2156" spans="1:35" ht="18" hidden="1" customHeight="1" outlineLevel="2" x14ac:dyDescent="0.2">
      <c r="A2156" s="25"/>
      <c r="B2156" s="25"/>
      <c r="C2156" s="25" t="s">
        <v>4029</v>
      </c>
      <c r="D2156" s="25" t="s">
        <v>4020</v>
      </c>
      <c r="E2156" s="25">
        <v>300328</v>
      </c>
      <c r="F2156" s="25" t="s">
        <v>4018</v>
      </c>
      <c r="G2156" s="25"/>
      <c r="AG2156" s="10"/>
      <c r="AH2156" s="10"/>
      <c r="AI2156" s="10">
        <v>300328</v>
      </c>
    </row>
    <row r="2157" spans="1:35" ht="18" hidden="1" customHeight="1" outlineLevel="2" x14ac:dyDescent="0.2">
      <c r="A2157" s="25"/>
      <c r="B2157" s="25"/>
      <c r="C2157" s="25" t="s">
        <v>4029</v>
      </c>
      <c r="D2157" s="25" t="s">
        <v>4022</v>
      </c>
      <c r="E2157" s="25">
        <v>300332</v>
      </c>
      <c r="F2157" s="25" t="s">
        <v>4018</v>
      </c>
      <c r="G2157" s="25"/>
      <c r="AG2157" s="10"/>
      <c r="AH2157" s="10"/>
      <c r="AI2157" s="10">
        <v>300332</v>
      </c>
    </row>
    <row r="2158" spans="1:35" ht="18" hidden="1" customHeight="1" outlineLevel="2" x14ac:dyDescent="0.2">
      <c r="A2158" s="25"/>
      <c r="B2158" s="25"/>
      <c r="C2158" s="25"/>
      <c r="D2158" s="25"/>
      <c r="E2158" s="25"/>
      <c r="F2158" s="25"/>
      <c r="G2158" s="25"/>
      <c r="AG2158" s="10"/>
      <c r="AH2158" s="10"/>
      <c r="AI2158" s="10"/>
    </row>
    <row r="2159" spans="1:35" ht="18" hidden="1" customHeight="1" outlineLevel="2" x14ac:dyDescent="0.2">
      <c r="A2159" s="25"/>
      <c r="B2159" s="25"/>
      <c r="C2159" s="25" t="s">
        <v>4026</v>
      </c>
      <c r="D2159" s="25" t="s">
        <v>4021</v>
      </c>
      <c r="E2159" s="25">
        <v>61005575</v>
      </c>
      <c r="F2159" s="25" t="s">
        <v>4019</v>
      </c>
      <c r="G2159" s="25" t="s">
        <v>4039</v>
      </c>
      <c r="AG2159" s="10"/>
      <c r="AH2159" s="10">
        <v>61005575</v>
      </c>
      <c r="AI2159" s="10"/>
    </row>
    <row r="2160" spans="1:35" ht="18" hidden="1" customHeight="1" outlineLevel="2" x14ac:dyDescent="0.2">
      <c r="A2160" s="25"/>
      <c r="B2160" s="25"/>
      <c r="C2160" s="25" t="s">
        <v>4026</v>
      </c>
      <c r="D2160" s="25" t="s">
        <v>4020</v>
      </c>
      <c r="E2160" s="25">
        <v>61005576</v>
      </c>
      <c r="F2160" s="25" t="s">
        <v>4019</v>
      </c>
      <c r="G2160" s="25" t="s">
        <v>4039</v>
      </c>
      <c r="AG2160" s="10"/>
      <c r="AH2160" s="10">
        <v>61005576</v>
      </c>
      <c r="AI2160" s="10"/>
    </row>
    <row r="2161" spans="1:35" ht="18" hidden="1" customHeight="1" outlineLevel="2" x14ac:dyDescent="0.2">
      <c r="A2161" s="25"/>
      <c r="B2161" s="25"/>
      <c r="C2161" s="25" t="s">
        <v>4026</v>
      </c>
      <c r="D2161" s="25" t="s">
        <v>4022</v>
      </c>
      <c r="E2161" s="25">
        <v>61005577</v>
      </c>
      <c r="F2161" s="25" t="s">
        <v>4019</v>
      </c>
      <c r="G2161" s="25" t="s">
        <v>4039</v>
      </c>
      <c r="AG2161" s="10"/>
      <c r="AH2161" s="10">
        <v>61005577</v>
      </c>
      <c r="AI2161" s="10"/>
    </row>
    <row r="2162" spans="1:35" ht="18" hidden="1" customHeight="1" outlineLevel="2" x14ac:dyDescent="0.2">
      <c r="A2162" s="25"/>
      <c r="B2162" s="25"/>
      <c r="C2162" s="25" t="s">
        <v>4027</v>
      </c>
      <c r="D2162" s="25" t="s">
        <v>4021</v>
      </c>
      <c r="E2162" s="25">
        <v>61005578</v>
      </c>
      <c r="F2162" s="25" t="s">
        <v>4019</v>
      </c>
      <c r="G2162" s="25"/>
      <c r="AG2162" s="10"/>
      <c r="AH2162" s="10">
        <v>61005578</v>
      </c>
      <c r="AI2162" s="10"/>
    </row>
    <row r="2163" spans="1:35" ht="18" hidden="1" customHeight="1" outlineLevel="2" x14ac:dyDescent="0.2">
      <c r="A2163" s="25"/>
      <c r="B2163" s="25"/>
      <c r="C2163" s="25" t="s">
        <v>4027</v>
      </c>
      <c r="D2163" s="25" t="s">
        <v>4020</v>
      </c>
      <c r="E2163" s="25">
        <v>61005579</v>
      </c>
      <c r="F2163" s="25" t="s">
        <v>4019</v>
      </c>
      <c r="G2163" s="25"/>
      <c r="AG2163" s="10"/>
      <c r="AH2163" s="10">
        <v>61005579</v>
      </c>
      <c r="AI2163" s="10"/>
    </row>
    <row r="2164" spans="1:35" ht="18" hidden="1" customHeight="1" outlineLevel="2" x14ac:dyDescent="0.2">
      <c r="A2164" s="25"/>
      <c r="B2164" s="25"/>
      <c r="C2164" s="25" t="s">
        <v>4027</v>
      </c>
      <c r="D2164" s="25" t="s">
        <v>4022</v>
      </c>
      <c r="E2164" s="25">
        <v>61005580</v>
      </c>
      <c r="F2164" s="25" t="s">
        <v>4019</v>
      </c>
      <c r="G2164" s="25"/>
      <c r="AG2164" s="10"/>
      <c r="AH2164" s="10">
        <v>61005580</v>
      </c>
      <c r="AI2164" s="10"/>
    </row>
    <row r="2165" spans="1:35" ht="18" hidden="1" customHeight="1" outlineLevel="2" x14ac:dyDescent="0.2">
      <c r="A2165" s="25"/>
      <c r="B2165" s="25"/>
      <c r="C2165" s="25"/>
      <c r="D2165" s="25"/>
      <c r="E2165" s="25"/>
      <c r="F2165" s="25"/>
      <c r="G2165" s="25"/>
      <c r="AG2165" s="10"/>
      <c r="AH2165" s="10"/>
      <c r="AI2165" s="10"/>
    </row>
    <row r="2166" spans="1:35" ht="18" hidden="1" customHeight="1" outlineLevel="2" x14ac:dyDescent="0.2">
      <c r="A2166" s="25"/>
      <c r="B2166" s="25"/>
      <c r="C2166" s="25" t="s">
        <v>4030</v>
      </c>
      <c r="D2166" s="25" t="s">
        <v>4021</v>
      </c>
      <c r="E2166" s="25">
        <v>112110</v>
      </c>
      <c r="F2166" s="25" t="s">
        <v>4019</v>
      </c>
      <c r="G2166" s="25" t="s">
        <v>4034</v>
      </c>
      <c r="AG2166" s="10"/>
      <c r="AH2166" s="10">
        <v>112110</v>
      </c>
      <c r="AI2166" s="10"/>
    </row>
    <row r="2167" spans="1:35" ht="18" hidden="1" customHeight="1" outlineLevel="2" x14ac:dyDescent="0.2">
      <c r="A2167" s="25"/>
      <c r="B2167" s="25"/>
      <c r="C2167" s="25" t="s">
        <v>4030</v>
      </c>
      <c r="D2167" s="25" t="s">
        <v>4020</v>
      </c>
      <c r="E2167" s="25">
        <v>112111</v>
      </c>
      <c r="F2167" s="25" t="s">
        <v>4019</v>
      </c>
      <c r="G2167" s="25" t="s">
        <v>4034</v>
      </c>
      <c r="AG2167" s="10"/>
      <c r="AH2167" s="10">
        <v>112111</v>
      </c>
      <c r="AI2167" s="10"/>
    </row>
    <row r="2168" spans="1:35" ht="18" hidden="1" customHeight="1" outlineLevel="2" x14ac:dyDescent="0.2">
      <c r="A2168" s="25"/>
      <c r="B2168" s="25"/>
      <c r="C2168" s="25" t="s">
        <v>4030</v>
      </c>
      <c r="D2168" s="25" t="s">
        <v>4022</v>
      </c>
      <c r="E2168" s="25">
        <v>112112</v>
      </c>
      <c r="F2168" s="25" t="s">
        <v>4019</v>
      </c>
      <c r="G2168" s="25" t="s">
        <v>4034</v>
      </c>
      <c r="AG2168" s="10"/>
      <c r="AH2168" s="10">
        <v>112112</v>
      </c>
      <c r="AI2168" s="10"/>
    </row>
    <row r="2169" spans="1:35" ht="18" hidden="1" customHeight="1" outlineLevel="2" x14ac:dyDescent="0.2">
      <c r="A2169" s="25"/>
      <c r="B2169" s="25"/>
      <c r="C2169" s="65" t="s">
        <v>4031</v>
      </c>
      <c r="D2169" s="25" t="s">
        <v>4021</v>
      </c>
      <c r="E2169" s="25">
        <v>250020</v>
      </c>
      <c r="F2169" s="25" t="s">
        <v>4019</v>
      </c>
      <c r="G2169" s="25"/>
      <c r="AG2169" s="10"/>
      <c r="AH2169" s="10">
        <v>250020</v>
      </c>
      <c r="AI2169" s="10"/>
    </row>
    <row r="2170" spans="1:35" ht="18" hidden="1" customHeight="1" outlineLevel="2" x14ac:dyDescent="0.2">
      <c r="A2170" s="25"/>
      <c r="B2170" s="25"/>
      <c r="C2170" s="65" t="s">
        <v>4031</v>
      </c>
      <c r="D2170" s="25" t="s">
        <v>4020</v>
      </c>
      <c r="E2170" s="25">
        <v>250059</v>
      </c>
      <c r="F2170" s="25" t="s">
        <v>4019</v>
      </c>
      <c r="G2170" s="25"/>
      <c r="AG2170" s="10"/>
      <c r="AH2170" s="10">
        <v>250059</v>
      </c>
      <c r="AI2170" s="10"/>
    </row>
    <row r="2171" spans="1:35" ht="18" hidden="1" customHeight="1" outlineLevel="2" x14ac:dyDescent="0.2">
      <c r="A2171" s="25"/>
      <c r="B2171" s="25"/>
      <c r="C2171" s="65" t="s">
        <v>4031</v>
      </c>
      <c r="D2171" s="25" t="s">
        <v>4022</v>
      </c>
      <c r="E2171" s="25">
        <v>250060</v>
      </c>
      <c r="F2171" s="25" t="s">
        <v>4019</v>
      </c>
      <c r="G2171" s="25"/>
      <c r="AG2171" s="10"/>
      <c r="AH2171" s="10">
        <v>250060</v>
      </c>
      <c r="AI2171" s="10"/>
    </row>
    <row r="2172" spans="1:35" ht="18" hidden="1" customHeight="1" outlineLevel="2" x14ac:dyDescent="0.2">
      <c r="A2172" s="25"/>
      <c r="B2172" s="25"/>
      <c r="C2172" s="25"/>
      <c r="D2172" s="25"/>
      <c r="E2172" s="25"/>
      <c r="F2172" s="25"/>
      <c r="G2172" s="25"/>
      <c r="AG2172" s="10"/>
      <c r="AH2172" s="10"/>
      <c r="AI2172" s="10"/>
    </row>
    <row r="2173" spans="1:35" ht="18" hidden="1" customHeight="1" outlineLevel="2" x14ac:dyDescent="0.2">
      <c r="A2173" s="25"/>
      <c r="B2173" s="25"/>
      <c r="C2173" s="25" t="s">
        <v>4032</v>
      </c>
      <c r="D2173" s="25" t="s">
        <v>4021</v>
      </c>
      <c r="E2173" s="25">
        <v>520299</v>
      </c>
      <c r="F2173" s="25" t="s">
        <v>4038</v>
      </c>
      <c r="G2173" s="25" t="s">
        <v>4034</v>
      </c>
      <c r="AG2173" s="10">
        <v>520299</v>
      </c>
      <c r="AH2173" s="10"/>
      <c r="AI2173" s="10"/>
    </row>
    <row r="2174" spans="1:35" ht="18" hidden="1" customHeight="1" outlineLevel="2" x14ac:dyDescent="0.2">
      <c r="A2174" s="25"/>
      <c r="B2174" s="25"/>
      <c r="C2174" s="25" t="s">
        <v>4032</v>
      </c>
      <c r="D2174" s="25" t="s">
        <v>4020</v>
      </c>
      <c r="E2174" s="25">
        <v>533178</v>
      </c>
      <c r="F2174" s="25" t="s">
        <v>4038</v>
      </c>
      <c r="G2174" s="25" t="s">
        <v>4034</v>
      </c>
      <c r="AG2174" s="10">
        <v>533178</v>
      </c>
      <c r="AH2174" s="10"/>
      <c r="AI2174" s="10"/>
    </row>
    <row r="2175" spans="1:35" ht="18" hidden="1" customHeight="1" outlineLevel="2" x14ac:dyDescent="0.2">
      <c r="A2175" s="25"/>
      <c r="B2175" s="25"/>
      <c r="C2175" s="25" t="s">
        <v>4032</v>
      </c>
      <c r="D2175" s="25" t="s">
        <v>4022</v>
      </c>
      <c r="E2175" s="25">
        <v>520903</v>
      </c>
      <c r="F2175" s="25" t="s">
        <v>4038</v>
      </c>
      <c r="G2175" s="25" t="s">
        <v>4034</v>
      </c>
      <c r="AG2175" s="10">
        <v>520903</v>
      </c>
      <c r="AH2175" s="10"/>
      <c r="AI2175" s="10"/>
    </row>
    <row r="2176" spans="1:35" ht="18" hidden="1" customHeight="1" outlineLevel="2" x14ac:dyDescent="0.2">
      <c r="A2176" s="25"/>
      <c r="B2176" s="25"/>
      <c r="C2176" s="25" t="s">
        <v>4033</v>
      </c>
      <c r="D2176" s="25" t="s">
        <v>4021</v>
      </c>
      <c r="E2176" s="25">
        <v>520025</v>
      </c>
      <c r="F2176" s="25" t="s">
        <v>4038</v>
      </c>
      <c r="G2176" s="25"/>
      <c r="AG2176" s="10">
        <v>520025</v>
      </c>
      <c r="AH2176" s="10"/>
      <c r="AI2176" s="10"/>
    </row>
    <row r="2177" spans="1:35" ht="18" hidden="1" customHeight="1" outlineLevel="2" x14ac:dyDescent="0.2">
      <c r="A2177" s="25"/>
      <c r="B2177" s="25"/>
      <c r="C2177" s="25" t="s">
        <v>4033</v>
      </c>
      <c r="D2177" s="25" t="s">
        <v>4020</v>
      </c>
      <c r="E2177" s="25">
        <v>520021</v>
      </c>
      <c r="F2177" s="25" t="s">
        <v>4038</v>
      </c>
      <c r="G2177" s="25"/>
      <c r="AG2177" s="10">
        <v>520021</v>
      </c>
      <c r="AH2177" s="10"/>
      <c r="AI2177" s="10"/>
    </row>
    <row r="2178" spans="1:35" ht="18" hidden="1" customHeight="1" outlineLevel="2" x14ac:dyDescent="0.2">
      <c r="A2178" s="25"/>
      <c r="B2178" s="25"/>
      <c r="C2178" s="25" t="s">
        <v>4033</v>
      </c>
      <c r="D2178" s="25" t="s">
        <v>4022</v>
      </c>
      <c r="E2178" s="25">
        <v>520022</v>
      </c>
      <c r="F2178" s="25" t="s">
        <v>4038</v>
      </c>
      <c r="G2178" s="25"/>
      <c r="AG2178" s="10">
        <v>520022</v>
      </c>
      <c r="AH2178" s="10"/>
      <c r="AI2178" s="10"/>
    </row>
    <row r="2179" spans="1:35" ht="18" hidden="1" customHeight="1" outlineLevel="2" x14ac:dyDescent="0.2">
      <c r="A2179" s="25"/>
      <c r="B2179" s="25"/>
      <c r="C2179" s="25"/>
      <c r="D2179" s="25"/>
      <c r="E2179" s="25"/>
      <c r="F2179" s="25"/>
      <c r="G2179" s="25"/>
      <c r="AG2179" s="10"/>
      <c r="AH2179" s="10"/>
      <c r="AI2179" s="10"/>
    </row>
    <row r="2180" spans="1:35" ht="18" hidden="1" customHeight="1" outlineLevel="2" x14ac:dyDescent="0.2">
      <c r="A2180" s="25"/>
      <c r="B2180" s="25"/>
      <c r="C2180" s="25" t="s">
        <v>4036</v>
      </c>
      <c r="D2180" s="25" t="s">
        <v>4021</v>
      </c>
      <c r="E2180" s="25">
        <v>300251</v>
      </c>
      <c r="F2180" s="25" t="s">
        <v>4035</v>
      </c>
      <c r="G2180" s="25" t="s">
        <v>4034</v>
      </c>
      <c r="AG2180" s="10"/>
      <c r="AH2180" s="10"/>
      <c r="AI2180" s="10">
        <v>300251</v>
      </c>
    </row>
    <row r="2181" spans="1:35" ht="18" hidden="1" customHeight="1" outlineLevel="2" x14ac:dyDescent="0.2">
      <c r="A2181" s="25"/>
      <c r="B2181" s="25"/>
      <c r="C2181" s="25" t="s">
        <v>4036</v>
      </c>
      <c r="D2181" s="25" t="s">
        <v>4020</v>
      </c>
      <c r="E2181" s="25">
        <v>300252</v>
      </c>
      <c r="F2181" s="25" t="s">
        <v>4035</v>
      </c>
      <c r="G2181" s="25" t="s">
        <v>4034</v>
      </c>
      <c r="AG2181" s="10"/>
      <c r="AH2181" s="10"/>
      <c r="AI2181" s="10">
        <v>300252</v>
      </c>
    </row>
    <row r="2182" spans="1:35" ht="18" hidden="1" customHeight="1" outlineLevel="2" x14ac:dyDescent="0.2">
      <c r="A2182" s="25"/>
      <c r="B2182" s="25"/>
      <c r="C2182" s="25" t="s">
        <v>4036</v>
      </c>
      <c r="D2182" s="25" t="s">
        <v>4022</v>
      </c>
      <c r="E2182" s="25">
        <v>300253</v>
      </c>
      <c r="F2182" s="25" t="s">
        <v>4035</v>
      </c>
      <c r="G2182" s="25" t="s">
        <v>4034</v>
      </c>
      <c r="AG2182" s="10"/>
      <c r="AH2182" s="10"/>
      <c r="AI2182" s="10">
        <v>300253</v>
      </c>
    </row>
    <row r="2183" spans="1:35" ht="18" hidden="1" customHeight="1" outlineLevel="2" x14ac:dyDescent="0.2">
      <c r="A2183" s="25"/>
      <c r="B2183" s="25"/>
      <c r="C2183" s="25" t="s">
        <v>4037</v>
      </c>
      <c r="D2183" s="25" t="s">
        <v>4021</v>
      </c>
      <c r="E2183" s="25">
        <v>1134</v>
      </c>
      <c r="F2183" s="25" t="s">
        <v>4035</v>
      </c>
      <c r="G2183" s="25"/>
      <c r="AF2183" s="83"/>
      <c r="AG2183" s="10"/>
      <c r="AH2183" s="10"/>
      <c r="AI2183" s="10">
        <v>1134</v>
      </c>
    </row>
    <row r="2184" spans="1:35" ht="18" hidden="1" customHeight="1" outlineLevel="2" x14ac:dyDescent="0.2">
      <c r="A2184" s="25"/>
      <c r="B2184" s="25"/>
      <c r="C2184" s="25" t="s">
        <v>4037</v>
      </c>
      <c r="D2184" s="25" t="s">
        <v>4020</v>
      </c>
      <c r="E2184" s="25">
        <v>300261</v>
      </c>
      <c r="F2184" s="25" t="s">
        <v>4035</v>
      </c>
      <c r="G2184" s="25"/>
      <c r="AG2184" s="10"/>
      <c r="AH2184" s="10"/>
      <c r="AI2184" s="10">
        <v>300261</v>
      </c>
    </row>
    <row r="2185" spans="1:35" ht="18" hidden="1" customHeight="1" outlineLevel="2" x14ac:dyDescent="0.2">
      <c r="A2185" s="25"/>
      <c r="B2185" s="25"/>
      <c r="C2185" s="25" t="s">
        <v>4037</v>
      </c>
      <c r="D2185" s="25" t="s">
        <v>4022</v>
      </c>
      <c r="E2185" s="25">
        <v>300262</v>
      </c>
      <c r="F2185" s="25" t="s">
        <v>4035</v>
      </c>
      <c r="G2185" s="25"/>
      <c r="AG2185" s="10"/>
      <c r="AH2185" s="10"/>
      <c r="AI2185" s="10">
        <v>300262</v>
      </c>
    </row>
    <row r="2186" spans="1:35" ht="18" hidden="1" customHeight="1" outlineLevel="2" x14ac:dyDescent="0.2">
      <c r="A2186" s="25"/>
      <c r="B2186" s="25"/>
      <c r="C2186" s="25"/>
      <c r="D2186" s="25"/>
      <c r="E2186" s="25"/>
      <c r="F2186" s="25"/>
      <c r="G2186" s="25"/>
      <c r="AG2186" s="10"/>
      <c r="AH2186" s="10"/>
      <c r="AI2186" s="10"/>
    </row>
    <row r="2187" spans="1:35" ht="18" hidden="1" customHeight="1" outlineLevel="1" x14ac:dyDescent="0.2">
      <c r="A2187" s="119" t="s">
        <v>4043</v>
      </c>
      <c r="B2187" s="120"/>
      <c r="C2187" s="120"/>
      <c r="D2187" s="120"/>
      <c r="E2187" s="120"/>
      <c r="F2187" s="120"/>
      <c r="G2187" s="120"/>
      <c r="H2187" s="120"/>
      <c r="AG2187" s="10"/>
      <c r="AH2187" s="10"/>
      <c r="AI2187" s="10"/>
    </row>
    <row r="2188" spans="1:35" ht="18" hidden="1" customHeight="1" outlineLevel="2" x14ac:dyDescent="0.2">
      <c r="A2188" s="25"/>
      <c r="B2188" s="25"/>
      <c r="C2188" s="25" t="s">
        <v>4043</v>
      </c>
      <c r="D2188" s="25" t="s">
        <v>4047</v>
      </c>
      <c r="E2188" s="25"/>
      <c r="F2188" s="25"/>
      <c r="G2188" s="25" t="s">
        <v>4044</v>
      </c>
      <c r="AG2188" s="10" t="s">
        <v>223</v>
      </c>
      <c r="AH2188" s="10">
        <v>60003876</v>
      </c>
      <c r="AI2188" s="10">
        <v>301402</v>
      </c>
    </row>
    <row r="2189" spans="1:35" ht="18" hidden="1" customHeight="1" outlineLevel="2" x14ac:dyDescent="0.2">
      <c r="A2189" s="25"/>
      <c r="B2189" s="25"/>
      <c r="C2189" s="25" t="s">
        <v>4043</v>
      </c>
      <c r="D2189" s="25" t="s">
        <v>4047</v>
      </c>
      <c r="E2189" s="25"/>
      <c r="F2189" s="25"/>
      <c r="G2189" s="25" t="s">
        <v>4045</v>
      </c>
      <c r="AG2189" s="10">
        <v>524627</v>
      </c>
      <c r="AH2189" s="10">
        <v>60003879</v>
      </c>
      <c r="AI2189" s="10">
        <v>301416</v>
      </c>
    </row>
    <row r="2190" spans="1:35" ht="18" hidden="1" customHeight="1" outlineLevel="2" x14ac:dyDescent="0.2">
      <c r="A2190" s="25"/>
      <c r="B2190" s="25"/>
      <c r="C2190" s="25" t="s">
        <v>4043</v>
      </c>
      <c r="D2190" s="25" t="s">
        <v>4047</v>
      </c>
      <c r="E2190" s="25"/>
      <c r="F2190" s="25"/>
      <c r="G2190" s="25" t="s">
        <v>4046</v>
      </c>
      <c r="AG2190" s="10">
        <v>524631</v>
      </c>
      <c r="AH2190" s="10">
        <v>60003880</v>
      </c>
      <c r="AI2190" s="10">
        <v>301419</v>
      </c>
    </row>
    <row r="2191" spans="1:35" ht="18" hidden="1" customHeight="1" outlineLevel="2" x14ac:dyDescent="0.2">
      <c r="A2191" s="25"/>
      <c r="B2191" s="25"/>
      <c r="C2191" s="25" t="s">
        <v>4043</v>
      </c>
      <c r="D2191" s="25" t="s">
        <v>4049</v>
      </c>
      <c r="E2191" s="25"/>
      <c r="F2191" s="25"/>
      <c r="G2191" s="25" t="s">
        <v>4046</v>
      </c>
      <c r="AG2191" s="10">
        <v>524632</v>
      </c>
      <c r="AH2191" s="10">
        <v>60003881</v>
      </c>
      <c r="AI2191" s="10">
        <v>301423</v>
      </c>
    </row>
    <row r="2192" spans="1:35" ht="18" hidden="1" customHeight="1" outlineLevel="2" x14ac:dyDescent="0.2">
      <c r="A2192" s="25"/>
      <c r="B2192" s="25"/>
      <c r="C2192" s="25" t="s">
        <v>4043</v>
      </c>
      <c r="D2192" s="25" t="s">
        <v>4049</v>
      </c>
      <c r="E2192" s="25"/>
      <c r="F2192" s="25"/>
      <c r="G2192" s="25" t="s">
        <v>4048</v>
      </c>
      <c r="AG2192" s="10">
        <v>524633</v>
      </c>
      <c r="AH2192" s="10">
        <v>60003884</v>
      </c>
      <c r="AI2192" s="10">
        <v>301428</v>
      </c>
    </row>
    <row r="2193" spans="1:35" ht="18" hidden="1" customHeight="1" outlineLevel="2" x14ac:dyDescent="0.2">
      <c r="A2193" s="25"/>
      <c r="B2193" s="25"/>
      <c r="C2193" s="25" t="s">
        <v>4043</v>
      </c>
      <c r="D2193" s="25" t="s">
        <v>4051</v>
      </c>
      <c r="E2193" s="25"/>
      <c r="F2193" s="25"/>
      <c r="G2193" s="25" t="s">
        <v>4048</v>
      </c>
      <c r="AG2193" s="10">
        <v>524642</v>
      </c>
      <c r="AH2193" s="10">
        <v>60003885</v>
      </c>
      <c r="AI2193" s="10">
        <v>301433</v>
      </c>
    </row>
    <row r="2194" spans="1:35" ht="18" hidden="1" customHeight="1" outlineLevel="2" x14ac:dyDescent="0.2">
      <c r="A2194" s="25"/>
      <c r="B2194" s="25"/>
      <c r="C2194" s="25" t="s">
        <v>4043</v>
      </c>
      <c r="D2194" s="25" t="s">
        <v>4051</v>
      </c>
      <c r="E2194" s="25"/>
      <c r="F2194" s="25"/>
      <c r="G2194" s="25" t="s">
        <v>4050</v>
      </c>
      <c r="AG2194" s="10">
        <v>524643</v>
      </c>
      <c r="AH2194" s="10">
        <v>60003889</v>
      </c>
      <c r="AI2194" s="10">
        <v>301439</v>
      </c>
    </row>
    <row r="2195" spans="1:35" ht="18" hidden="1" customHeight="1" outlineLevel="2" x14ac:dyDescent="0.2">
      <c r="A2195" s="25"/>
      <c r="B2195" s="25"/>
      <c r="C2195" s="25" t="s">
        <v>4043</v>
      </c>
      <c r="D2195" s="25" t="s">
        <v>4052</v>
      </c>
      <c r="E2195" s="25"/>
      <c r="F2195" s="25"/>
      <c r="G2195" s="25" t="s">
        <v>4050</v>
      </c>
      <c r="AG2195" s="10">
        <v>524644</v>
      </c>
      <c r="AH2195" s="10">
        <v>60003890</v>
      </c>
      <c r="AI2195" s="10">
        <v>301443</v>
      </c>
    </row>
    <row r="2196" spans="1:35" ht="18" hidden="1" customHeight="1" outlineLevel="2" x14ac:dyDescent="0.2">
      <c r="A2196" s="25"/>
      <c r="B2196" s="25"/>
      <c r="C2196" s="25" t="s">
        <v>4043</v>
      </c>
      <c r="D2196" s="25" t="s">
        <v>4052</v>
      </c>
      <c r="E2196" s="25"/>
      <c r="F2196" s="25"/>
      <c r="G2196" s="25" t="s">
        <v>4053</v>
      </c>
      <c r="AG2196" s="10">
        <v>524645</v>
      </c>
      <c r="AH2196" s="10">
        <v>60003894</v>
      </c>
      <c r="AI2196" s="10">
        <v>301448</v>
      </c>
    </row>
    <row r="2197" spans="1:35" ht="18" hidden="1" customHeight="1" outlineLevel="2" x14ac:dyDescent="0.2">
      <c r="A2197" s="25"/>
      <c r="B2197" s="25"/>
      <c r="C2197" s="25"/>
      <c r="D2197" s="25"/>
      <c r="E2197" s="25"/>
      <c r="F2197" s="25"/>
      <c r="G2197" s="25"/>
      <c r="AG2197" s="10">
        <v>524646</v>
      </c>
      <c r="AH2197" s="10">
        <v>60003895</v>
      </c>
      <c r="AI2197" s="10">
        <v>301452</v>
      </c>
    </row>
    <row r="2198" spans="1:35" ht="18" hidden="1" customHeight="1" outlineLevel="1" x14ac:dyDescent="0.2">
      <c r="A2198" s="119" t="s">
        <v>158</v>
      </c>
      <c r="B2198" s="120"/>
      <c r="C2198" s="120"/>
      <c r="D2198" s="120"/>
      <c r="E2198" s="120"/>
      <c r="F2198" s="120"/>
      <c r="G2198" s="120"/>
      <c r="H2198" s="120"/>
      <c r="AG2198" s="10"/>
      <c r="AH2198" s="10"/>
      <c r="AI2198" s="10"/>
    </row>
    <row r="2199" spans="1:35" ht="18" hidden="1" customHeight="1" outlineLevel="2" x14ac:dyDescent="0.2">
      <c r="A2199" s="25"/>
      <c r="B2199" s="25"/>
      <c r="C2199" s="25" t="s">
        <v>4054</v>
      </c>
      <c r="D2199" s="25" t="s">
        <v>4021</v>
      </c>
      <c r="E2199" s="25"/>
      <c r="F2199" s="25"/>
      <c r="G2199" s="25" t="s">
        <v>4061</v>
      </c>
      <c r="AG2199" s="10">
        <v>530350</v>
      </c>
      <c r="AH2199" s="10" t="s">
        <v>4062</v>
      </c>
      <c r="AI2199" s="10">
        <v>863272</v>
      </c>
    </row>
    <row r="2200" spans="1:35" ht="18" hidden="1" customHeight="1" outlineLevel="2" x14ac:dyDescent="0.2">
      <c r="A2200" s="25"/>
      <c r="B2200" s="25"/>
      <c r="C2200" s="25" t="s">
        <v>4054</v>
      </c>
      <c r="D2200" s="25" t="s">
        <v>4020</v>
      </c>
      <c r="E2200" s="25"/>
      <c r="F2200" s="25"/>
      <c r="G2200" s="25" t="s">
        <v>4061</v>
      </c>
      <c r="AG2200" s="10">
        <v>530351</v>
      </c>
      <c r="AH2200" s="10" t="s">
        <v>4063</v>
      </c>
      <c r="AI2200" s="10">
        <v>863318</v>
      </c>
    </row>
    <row r="2201" spans="1:35" ht="18" hidden="1" customHeight="1" outlineLevel="2" x14ac:dyDescent="0.2">
      <c r="A2201" s="25"/>
      <c r="B2201" s="25"/>
      <c r="C2201" s="25" t="s">
        <v>4054</v>
      </c>
      <c r="D2201" s="25" t="s">
        <v>4022</v>
      </c>
      <c r="E2201" s="25"/>
      <c r="F2201" s="25"/>
      <c r="G2201" s="25" t="s">
        <v>4061</v>
      </c>
      <c r="AG2201" s="10">
        <v>530352</v>
      </c>
      <c r="AH2201" s="10" t="s">
        <v>4064</v>
      </c>
      <c r="AI2201" s="10">
        <v>863354</v>
      </c>
    </row>
    <row r="2202" spans="1:35" ht="18" hidden="1" customHeight="1" outlineLevel="2" x14ac:dyDescent="0.2">
      <c r="A2202" s="25"/>
      <c r="B2202" s="25"/>
      <c r="C2202" s="25" t="s">
        <v>4054</v>
      </c>
      <c r="D2202" s="25" t="s">
        <v>4055</v>
      </c>
      <c r="E2202" s="25"/>
      <c r="F2202" s="25"/>
      <c r="G2202" s="25" t="s">
        <v>4061</v>
      </c>
      <c r="AG2202" s="10">
        <v>530353</v>
      </c>
      <c r="AH2202" s="10" t="s">
        <v>4065</v>
      </c>
      <c r="AI2202" s="10">
        <v>865634</v>
      </c>
    </row>
    <row r="2203" spans="1:35" ht="18" hidden="1" customHeight="1" outlineLevel="2" x14ac:dyDescent="0.2">
      <c r="A2203" s="25"/>
      <c r="B2203" s="25"/>
      <c r="C2203" s="25" t="s">
        <v>4054</v>
      </c>
      <c r="D2203" s="25" t="s">
        <v>4056</v>
      </c>
      <c r="E2203" s="25"/>
      <c r="F2203" s="25"/>
      <c r="G2203" s="25" t="s">
        <v>4061</v>
      </c>
      <c r="AG2203" s="10">
        <v>530354</v>
      </c>
      <c r="AH2203" s="10" t="s">
        <v>4066</v>
      </c>
      <c r="AI2203" s="10">
        <v>865692</v>
      </c>
    </row>
    <row r="2204" spans="1:35" ht="18" hidden="1" customHeight="1" outlineLevel="2" x14ac:dyDescent="0.2">
      <c r="A2204" s="25"/>
      <c r="B2204" s="25"/>
      <c r="C2204" s="25" t="s">
        <v>4054</v>
      </c>
      <c r="D2204" s="25" t="s">
        <v>4057</v>
      </c>
      <c r="E2204" s="25"/>
      <c r="F2204" s="25"/>
      <c r="G2204" s="25" t="s">
        <v>4061</v>
      </c>
      <c r="AG2204" s="10">
        <v>530355</v>
      </c>
      <c r="AH2204" s="10" t="s">
        <v>4067</v>
      </c>
      <c r="AI2204" s="10">
        <v>867128</v>
      </c>
    </row>
    <row r="2205" spans="1:35" ht="18" hidden="1" customHeight="1" outlineLevel="2" x14ac:dyDescent="0.2">
      <c r="A2205" s="25"/>
      <c r="B2205" s="25"/>
      <c r="C2205" s="25" t="s">
        <v>4054</v>
      </c>
      <c r="D2205" s="25" t="s">
        <v>4058</v>
      </c>
      <c r="E2205" s="25"/>
      <c r="F2205" s="25"/>
      <c r="G2205" s="25" t="s">
        <v>4061</v>
      </c>
      <c r="AG2205" s="10">
        <v>530356</v>
      </c>
      <c r="AH2205" s="10" t="s">
        <v>4068</v>
      </c>
      <c r="AI2205" s="10">
        <v>867125</v>
      </c>
    </row>
    <row r="2206" spans="1:35" ht="18" hidden="1" customHeight="1" outlineLevel="2" x14ac:dyDescent="0.2">
      <c r="A2206" s="25"/>
      <c r="B2206" s="25"/>
      <c r="C2206" s="25"/>
      <c r="D2206" s="25"/>
      <c r="E2206" s="25"/>
      <c r="F2206" s="25"/>
      <c r="G2206" s="25"/>
      <c r="AG2206" s="10"/>
      <c r="AH2206" s="10"/>
      <c r="AI2206" s="10"/>
    </row>
    <row r="2207" spans="1:35" ht="18" hidden="1" customHeight="1" outlineLevel="1" x14ac:dyDescent="0.2">
      <c r="A2207" s="119" t="s">
        <v>160</v>
      </c>
      <c r="B2207" s="120"/>
      <c r="C2207" s="120"/>
      <c r="D2207" s="120"/>
      <c r="E2207" s="120"/>
      <c r="F2207" s="120"/>
      <c r="G2207" s="120"/>
      <c r="H2207" s="120"/>
      <c r="AG2207" s="10"/>
      <c r="AH2207" s="10"/>
      <c r="AI2207" s="10"/>
    </row>
    <row r="2208" spans="1:35" ht="18" hidden="1" customHeight="1" outlineLevel="2" x14ac:dyDescent="0.2">
      <c r="A2208" s="25"/>
      <c r="B2208" s="25"/>
      <c r="C2208" s="25" t="s">
        <v>4069</v>
      </c>
      <c r="D2208" s="25" t="s">
        <v>4021</v>
      </c>
      <c r="E2208" s="25"/>
      <c r="F2208" s="25"/>
      <c r="G2208" s="25" t="s">
        <v>4074</v>
      </c>
      <c r="AG2208" s="10">
        <v>532670</v>
      </c>
      <c r="AH2208" s="10" t="s">
        <v>4176</v>
      </c>
      <c r="AI2208" s="10">
        <v>267701</v>
      </c>
    </row>
    <row r="2209" spans="1:35" ht="18" hidden="1" customHeight="1" outlineLevel="2" x14ac:dyDescent="0.2">
      <c r="A2209" s="25"/>
      <c r="B2209" s="25"/>
      <c r="C2209" s="25" t="s">
        <v>4069</v>
      </c>
      <c r="D2209" s="25" t="s">
        <v>4020</v>
      </c>
      <c r="E2209" s="25"/>
      <c r="F2209" s="25"/>
      <c r="G2209" s="25" t="s">
        <v>4074</v>
      </c>
      <c r="AG2209" s="10">
        <v>532671</v>
      </c>
      <c r="AH2209" s="10" t="s">
        <v>4177</v>
      </c>
      <c r="AI2209" s="10">
        <v>267702</v>
      </c>
    </row>
    <row r="2210" spans="1:35" ht="18" hidden="1" customHeight="1" outlineLevel="2" x14ac:dyDescent="0.2">
      <c r="A2210" s="25"/>
      <c r="B2210" s="25"/>
      <c r="C2210" s="25" t="s">
        <v>4069</v>
      </c>
      <c r="D2210" s="25" t="s">
        <v>4022</v>
      </c>
      <c r="E2210" s="25"/>
      <c r="F2210" s="25"/>
      <c r="G2210" s="25" t="s">
        <v>4074</v>
      </c>
      <c r="AG2210" s="10">
        <v>532672</v>
      </c>
      <c r="AH2210" s="10" t="s">
        <v>4178</v>
      </c>
      <c r="AI2210" s="10">
        <v>267703</v>
      </c>
    </row>
    <row r="2211" spans="1:35" ht="18" hidden="1" customHeight="1" outlineLevel="2" x14ac:dyDescent="0.2">
      <c r="A2211" s="25"/>
      <c r="B2211" s="25"/>
      <c r="C2211" s="25" t="s">
        <v>4069</v>
      </c>
      <c r="D2211" s="25" t="s">
        <v>4055</v>
      </c>
      <c r="E2211" s="25"/>
      <c r="F2211" s="25"/>
      <c r="G2211" s="25" t="s">
        <v>4074</v>
      </c>
      <c r="AG2211" s="10">
        <v>532673</v>
      </c>
      <c r="AH2211" s="10" t="s">
        <v>4179</v>
      </c>
      <c r="AI2211" s="10">
        <v>267704</v>
      </c>
    </row>
    <row r="2212" spans="1:35" ht="18" hidden="1" customHeight="1" outlineLevel="2" x14ac:dyDescent="0.2">
      <c r="A2212" s="25"/>
      <c r="B2212" s="25"/>
      <c r="C2212" s="25" t="s">
        <v>4069</v>
      </c>
      <c r="D2212" s="25" t="s">
        <v>4056</v>
      </c>
      <c r="E2212" s="25"/>
      <c r="F2212" s="25"/>
      <c r="G2212" s="25" t="s">
        <v>4074</v>
      </c>
      <c r="AG2212" s="10">
        <v>532674</v>
      </c>
      <c r="AH2212" s="10" t="s">
        <v>4180</v>
      </c>
      <c r="AI2212" s="10">
        <v>267705</v>
      </c>
    </row>
    <row r="2213" spans="1:35" ht="18" hidden="1" customHeight="1" outlineLevel="2" x14ac:dyDescent="0.2">
      <c r="A2213" s="25"/>
      <c r="B2213" s="25"/>
      <c r="C2213" s="25"/>
      <c r="D2213" s="25"/>
      <c r="E2213" s="25"/>
      <c r="F2213" s="25"/>
      <c r="G2213" s="25"/>
      <c r="AG2213" s="10"/>
      <c r="AH2213" s="10"/>
      <c r="AI2213" s="10"/>
    </row>
    <row r="2214" spans="1:35" ht="18" hidden="1" customHeight="1" outlineLevel="2" x14ac:dyDescent="0.2">
      <c r="A2214" s="25"/>
      <c r="B2214" s="25"/>
      <c r="C2214" s="25" t="s">
        <v>4070</v>
      </c>
      <c r="D2214" s="25" t="s">
        <v>4021</v>
      </c>
      <c r="E2214" s="25"/>
      <c r="F2214" s="25"/>
      <c r="G2214" s="25" t="s">
        <v>4075</v>
      </c>
      <c r="AG2214" s="10">
        <v>523676</v>
      </c>
      <c r="AH2214" s="10" t="s">
        <v>4181</v>
      </c>
      <c r="AI2214" s="10">
        <v>267707</v>
      </c>
    </row>
    <row r="2215" spans="1:35" ht="18" hidden="1" customHeight="1" outlineLevel="2" x14ac:dyDescent="0.2">
      <c r="A2215" s="25"/>
      <c r="B2215" s="25"/>
      <c r="C2215" s="25" t="s">
        <v>4070</v>
      </c>
      <c r="D2215" s="25" t="s">
        <v>4020</v>
      </c>
      <c r="E2215" s="25"/>
      <c r="F2215" s="25"/>
      <c r="G2215" s="25" t="s">
        <v>4075</v>
      </c>
      <c r="AG2215" s="10">
        <v>523677</v>
      </c>
      <c r="AH2215" s="10" t="s">
        <v>4182</v>
      </c>
      <c r="AI2215" s="10">
        <v>267708</v>
      </c>
    </row>
    <row r="2216" spans="1:35" ht="18" hidden="1" customHeight="1" outlineLevel="2" x14ac:dyDescent="0.2">
      <c r="A2216" s="25"/>
      <c r="B2216" s="25"/>
      <c r="C2216" s="25" t="s">
        <v>4070</v>
      </c>
      <c r="D2216" s="25" t="s">
        <v>4022</v>
      </c>
      <c r="E2216" s="25"/>
      <c r="F2216" s="25"/>
      <c r="G2216" s="25" t="s">
        <v>4075</v>
      </c>
      <c r="AG2216" s="10">
        <v>523678</v>
      </c>
      <c r="AH2216" s="10" t="s">
        <v>4183</v>
      </c>
      <c r="AI2216" s="10">
        <v>267709</v>
      </c>
    </row>
    <row r="2217" spans="1:35" ht="18" hidden="1" customHeight="1" outlineLevel="2" x14ac:dyDescent="0.2">
      <c r="A2217" s="25"/>
      <c r="B2217" s="25"/>
      <c r="C2217" s="25" t="s">
        <v>4070</v>
      </c>
      <c r="D2217" s="25" t="s">
        <v>4055</v>
      </c>
      <c r="E2217" s="25"/>
      <c r="F2217" s="25"/>
      <c r="G2217" s="25" t="s">
        <v>4075</v>
      </c>
      <c r="AG2217" s="10">
        <v>523679</v>
      </c>
      <c r="AH2217" s="10" t="s">
        <v>4184</v>
      </c>
      <c r="AI2217" s="10">
        <v>267710</v>
      </c>
    </row>
    <row r="2218" spans="1:35" ht="18" hidden="1" customHeight="1" outlineLevel="2" x14ac:dyDescent="0.2">
      <c r="A2218" s="25"/>
      <c r="B2218" s="25"/>
      <c r="C2218" s="25" t="s">
        <v>4070</v>
      </c>
      <c r="D2218" s="25" t="s">
        <v>4056</v>
      </c>
      <c r="E2218" s="25"/>
      <c r="F2218" s="25"/>
      <c r="G2218" s="25" t="s">
        <v>4075</v>
      </c>
      <c r="AG2218" s="10">
        <v>523680</v>
      </c>
      <c r="AH2218" s="10" t="s">
        <v>4185</v>
      </c>
      <c r="AI2218" s="10">
        <v>267711</v>
      </c>
    </row>
    <row r="2219" spans="1:35" ht="18" hidden="1" customHeight="1" outlineLevel="2" x14ac:dyDescent="0.2">
      <c r="A2219" s="25"/>
      <c r="B2219" s="25"/>
      <c r="C2219" s="25"/>
      <c r="D2219" s="25"/>
      <c r="E2219" s="25"/>
      <c r="F2219" s="25"/>
      <c r="G2219" s="25"/>
      <c r="AG2219" s="10"/>
      <c r="AH2219" s="10"/>
      <c r="AI2219" s="10"/>
    </row>
    <row r="2220" spans="1:35" ht="18" hidden="1" customHeight="1" outlineLevel="2" x14ac:dyDescent="0.2">
      <c r="A2220" s="25"/>
      <c r="B2220" s="25"/>
      <c r="C2220" s="25" t="s">
        <v>4071</v>
      </c>
      <c r="D2220" s="25" t="s">
        <v>4021</v>
      </c>
      <c r="E2220" s="25"/>
      <c r="F2220" s="25"/>
      <c r="G2220" s="25" t="s">
        <v>4073</v>
      </c>
      <c r="AG2220" s="10">
        <v>532917</v>
      </c>
      <c r="AH2220" s="10" t="s">
        <v>4186</v>
      </c>
      <c r="AI2220" s="10" t="s">
        <v>223</v>
      </c>
    </row>
    <row r="2221" spans="1:35" ht="18" hidden="1" customHeight="1" outlineLevel="2" x14ac:dyDescent="0.2">
      <c r="A2221" s="25"/>
      <c r="B2221" s="25"/>
      <c r="C2221" s="25" t="s">
        <v>4071</v>
      </c>
      <c r="D2221" s="25" t="s">
        <v>4020</v>
      </c>
      <c r="E2221" s="25"/>
      <c r="F2221" s="25"/>
      <c r="G2221" s="25" t="s">
        <v>4073</v>
      </c>
      <c r="AG2221" s="10">
        <v>532918</v>
      </c>
      <c r="AH2221" s="10" t="s">
        <v>4187</v>
      </c>
      <c r="AI2221" s="10" t="s">
        <v>223</v>
      </c>
    </row>
    <row r="2222" spans="1:35" ht="18" hidden="1" customHeight="1" outlineLevel="2" x14ac:dyDescent="0.2">
      <c r="A2222" s="25"/>
      <c r="B2222" s="25"/>
      <c r="C2222" s="25" t="s">
        <v>4071</v>
      </c>
      <c r="D2222" s="25" t="s">
        <v>4022</v>
      </c>
      <c r="E2222" s="25"/>
      <c r="F2222" s="25"/>
      <c r="G2222" s="25" t="s">
        <v>4073</v>
      </c>
      <c r="AG2222" s="10">
        <v>532919</v>
      </c>
      <c r="AH2222" s="10" t="s">
        <v>4188</v>
      </c>
      <c r="AI2222" s="10">
        <v>267800</v>
      </c>
    </row>
    <row r="2223" spans="1:35" ht="18" hidden="1" customHeight="1" outlineLevel="2" x14ac:dyDescent="0.2">
      <c r="A2223" s="25"/>
      <c r="B2223" s="25"/>
      <c r="C2223" s="25" t="s">
        <v>4071</v>
      </c>
      <c r="D2223" s="25" t="s">
        <v>4055</v>
      </c>
      <c r="E2223" s="25"/>
      <c r="F2223" s="25"/>
      <c r="G2223" s="25" t="s">
        <v>4073</v>
      </c>
      <c r="AG2223" s="10">
        <v>532920</v>
      </c>
      <c r="AH2223" s="10" t="s">
        <v>4189</v>
      </c>
      <c r="AI2223" s="10">
        <v>267801</v>
      </c>
    </row>
    <row r="2224" spans="1:35" ht="18" hidden="1" customHeight="1" outlineLevel="2" x14ac:dyDescent="0.2">
      <c r="A2224" s="25"/>
      <c r="B2224" s="25"/>
      <c r="C2224" s="25" t="s">
        <v>4071</v>
      </c>
      <c r="D2224" s="25" t="s">
        <v>4056</v>
      </c>
      <c r="E2224" s="25"/>
      <c r="F2224" s="25"/>
      <c r="G2224" s="25" t="s">
        <v>4073</v>
      </c>
      <c r="AG2224" s="10">
        <v>532921</v>
      </c>
      <c r="AH2224" s="10" t="s">
        <v>4190</v>
      </c>
      <c r="AI2224" s="10">
        <v>267802</v>
      </c>
    </row>
    <row r="2225" spans="1:35" ht="18" hidden="1" customHeight="1" outlineLevel="2" x14ac:dyDescent="0.2">
      <c r="A2225" s="25"/>
      <c r="B2225" s="25"/>
      <c r="C2225" s="25" t="s">
        <v>4071</v>
      </c>
      <c r="D2225" s="25" t="s">
        <v>4057</v>
      </c>
      <c r="E2225" s="25"/>
      <c r="F2225" s="25"/>
      <c r="G2225" s="25" t="s">
        <v>4073</v>
      </c>
      <c r="AG2225" s="10">
        <v>532922</v>
      </c>
      <c r="AH2225" s="10" t="s">
        <v>4191</v>
      </c>
      <c r="AI2225" s="10">
        <v>267803</v>
      </c>
    </row>
    <row r="2226" spans="1:35" ht="18" hidden="1" customHeight="1" outlineLevel="2" x14ac:dyDescent="0.2">
      <c r="A2226" s="25"/>
      <c r="B2226" s="25"/>
      <c r="C2226" s="25" t="s">
        <v>4071</v>
      </c>
      <c r="D2226" s="25" t="s">
        <v>4058</v>
      </c>
      <c r="E2226" s="25"/>
      <c r="F2226" s="25"/>
      <c r="G2226" s="25" t="s">
        <v>4073</v>
      </c>
      <c r="AG2226" s="10">
        <v>532923</v>
      </c>
      <c r="AH2226" s="10" t="s">
        <v>4192</v>
      </c>
      <c r="AI2226" s="10">
        <v>267804</v>
      </c>
    </row>
    <row r="2227" spans="1:35" ht="18" hidden="1" customHeight="1" outlineLevel="2" x14ac:dyDescent="0.2">
      <c r="A2227" s="25"/>
      <c r="B2227" s="25"/>
      <c r="C2227" s="25"/>
      <c r="D2227" s="25"/>
      <c r="E2227" s="25"/>
      <c r="F2227" s="25"/>
      <c r="G2227" s="25"/>
      <c r="AG2227" s="10"/>
      <c r="AH2227" s="10"/>
      <c r="AI2227" s="10"/>
    </row>
    <row r="2228" spans="1:35" ht="18" hidden="1" customHeight="1" outlineLevel="2" x14ac:dyDescent="0.2">
      <c r="A2228" s="25"/>
      <c r="B2228" s="25"/>
      <c r="C2228" s="25" t="s">
        <v>4072</v>
      </c>
      <c r="D2228" s="25" t="s">
        <v>4021</v>
      </c>
      <c r="E2228" s="25"/>
      <c r="F2228" s="25"/>
      <c r="G2228" s="65" t="s">
        <v>4076</v>
      </c>
      <c r="AG2228" s="10">
        <v>532683</v>
      </c>
      <c r="AH2228" s="10" t="s">
        <v>4193</v>
      </c>
      <c r="AI2228" s="10" t="s">
        <v>223</v>
      </c>
    </row>
    <row r="2229" spans="1:35" ht="18" hidden="1" customHeight="1" outlineLevel="2" x14ac:dyDescent="0.2">
      <c r="A2229" s="25"/>
      <c r="B2229" s="25"/>
      <c r="C2229" s="25" t="s">
        <v>4072</v>
      </c>
      <c r="D2229" s="25" t="s">
        <v>4020</v>
      </c>
      <c r="E2229" s="25"/>
      <c r="F2229" s="25"/>
      <c r="G2229" s="65" t="s">
        <v>4076</v>
      </c>
      <c r="AG2229" s="10">
        <v>532684</v>
      </c>
      <c r="AH2229" s="10" t="s">
        <v>4194</v>
      </c>
      <c r="AI2229" s="10" t="s">
        <v>223</v>
      </c>
    </row>
    <row r="2230" spans="1:35" ht="18" hidden="1" customHeight="1" outlineLevel="2" x14ac:dyDescent="0.2">
      <c r="A2230" s="25"/>
      <c r="B2230" s="25"/>
      <c r="C2230" s="25" t="s">
        <v>4072</v>
      </c>
      <c r="D2230" s="25" t="s">
        <v>4022</v>
      </c>
      <c r="E2230" s="25"/>
      <c r="F2230" s="25"/>
      <c r="G2230" s="65" t="s">
        <v>4076</v>
      </c>
      <c r="AG2230" s="10">
        <v>532685</v>
      </c>
      <c r="AH2230" s="10" t="s">
        <v>4195</v>
      </c>
      <c r="AI2230" s="10">
        <v>267809</v>
      </c>
    </row>
    <row r="2231" spans="1:35" ht="18" hidden="1" customHeight="1" outlineLevel="2" x14ac:dyDescent="0.2">
      <c r="A2231" s="25"/>
      <c r="B2231" s="25"/>
      <c r="C2231" s="25" t="s">
        <v>4072</v>
      </c>
      <c r="D2231" s="25" t="s">
        <v>4055</v>
      </c>
      <c r="E2231" s="25"/>
      <c r="F2231" s="25"/>
      <c r="G2231" s="65" t="s">
        <v>4076</v>
      </c>
      <c r="AG2231" s="10">
        <v>532686</v>
      </c>
      <c r="AH2231" s="10" t="s">
        <v>4196</v>
      </c>
      <c r="AI2231" s="10">
        <v>267810</v>
      </c>
    </row>
    <row r="2232" spans="1:35" ht="18" hidden="1" customHeight="1" outlineLevel="2" x14ac:dyDescent="0.2">
      <c r="A2232" s="25"/>
      <c r="B2232" s="25"/>
      <c r="C2232" s="25" t="s">
        <v>4072</v>
      </c>
      <c r="D2232" s="25" t="s">
        <v>4056</v>
      </c>
      <c r="E2232" s="25"/>
      <c r="F2232" s="25"/>
      <c r="G2232" s="65" t="s">
        <v>4076</v>
      </c>
      <c r="AG2232" s="10">
        <v>532687</v>
      </c>
      <c r="AH2232" s="10" t="s">
        <v>4197</v>
      </c>
      <c r="AI2232" s="10">
        <v>267811</v>
      </c>
    </row>
    <row r="2233" spans="1:35" ht="18" hidden="1" customHeight="1" outlineLevel="2" x14ac:dyDescent="0.2">
      <c r="A2233" s="25"/>
      <c r="B2233" s="25"/>
      <c r="C2233" s="25" t="s">
        <v>4072</v>
      </c>
      <c r="D2233" s="25" t="s">
        <v>4057</v>
      </c>
      <c r="E2233" s="25"/>
      <c r="F2233" s="25"/>
      <c r="G2233" s="65" t="s">
        <v>4076</v>
      </c>
      <c r="AG2233" s="10">
        <v>532688</v>
      </c>
      <c r="AH2233" s="10" t="s">
        <v>4198</v>
      </c>
      <c r="AI2233" s="10">
        <v>267812</v>
      </c>
    </row>
    <row r="2234" spans="1:35" ht="18" hidden="1" customHeight="1" outlineLevel="2" x14ac:dyDescent="0.2">
      <c r="A2234" s="109"/>
      <c r="B2234" s="109"/>
      <c r="C2234" s="109" t="s">
        <v>4072</v>
      </c>
      <c r="D2234" s="109" t="s">
        <v>4058</v>
      </c>
      <c r="E2234" s="109"/>
      <c r="F2234" s="109"/>
      <c r="G2234" s="112" t="s">
        <v>4076</v>
      </c>
      <c r="H2234" s="109"/>
      <c r="AG2234" s="10">
        <v>532689</v>
      </c>
      <c r="AH2234" s="10" t="s">
        <v>4199</v>
      </c>
      <c r="AI2234" s="10">
        <v>267813</v>
      </c>
    </row>
    <row r="2235" spans="1:35" ht="18" customHeight="1" x14ac:dyDescent="0.2">
      <c r="A2235" s="117" t="s">
        <v>4250</v>
      </c>
      <c r="B2235" s="118"/>
      <c r="C2235" s="118"/>
      <c r="D2235" s="118"/>
      <c r="E2235" s="118"/>
      <c r="F2235" s="118"/>
      <c r="G2235" s="118"/>
      <c r="H2235" s="118"/>
    </row>
    <row r="2236" spans="1:35" ht="18" customHeight="1" outlineLevel="1" x14ac:dyDescent="0.2">
      <c r="A2236" s="119" t="s">
        <v>162</v>
      </c>
      <c r="B2236" s="120"/>
      <c r="C2236" s="120"/>
      <c r="D2236" s="120"/>
      <c r="E2236" s="120"/>
      <c r="F2236" s="120"/>
      <c r="G2236" s="120"/>
      <c r="H2236" s="120"/>
    </row>
    <row r="2237" spans="1:35" ht="18" customHeight="1" outlineLevel="2" x14ac:dyDescent="0.2">
      <c r="A2237" s="25"/>
      <c r="B2237" s="25" t="s">
        <v>4276</v>
      </c>
      <c r="C2237" s="25" t="s">
        <v>4399</v>
      </c>
      <c r="D2237" s="25" t="s">
        <v>4400</v>
      </c>
      <c r="E2237" s="25"/>
      <c r="F2237" s="25"/>
      <c r="G2237" s="25" t="s">
        <v>4251</v>
      </c>
      <c r="H2237" s="25" t="s">
        <v>3080</v>
      </c>
    </row>
    <row r="2238" spans="1:35" ht="18" customHeight="1" outlineLevel="2" x14ac:dyDescent="0.2">
      <c r="A2238" s="25"/>
      <c r="B2238" s="25" t="s">
        <v>4277</v>
      </c>
      <c r="C2238" s="25" t="s">
        <v>4372</v>
      </c>
      <c r="D2238" s="25" t="s">
        <v>4373</v>
      </c>
      <c r="E2238" s="25"/>
      <c r="F2238" s="25"/>
      <c r="G2238" s="25" t="s">
        <v>4251</v>
      </c>
      <c r="H2238" s="25" t="s">
        <v>3080</v>
      </c>
    </row>
    <row r="2239" spans="1:35" ht="18" customHeight="1" outlineLevel="2" x14ac:dyDescent="0.2">
      <c r="A2239" s="25"/>
      <c r="B2239" s="25" t="s">
        <v>4278</v>
      </c>
      <c r="C2239" s="25" t="s">
        <v>4395</v>
      </c>
      <c r="D2239" s="25" t="s">
        <v>4396</v>
      </c>
      <c r="E2239" s="25"/>
      <c r="F2239" s="25"/>
      <c r="G2239" s="25" t="s">
        <v>4251</v>
      </c>
      <c r="H2239" s="25" t="s">
        <v>3080</v>
      </c>
    </row>
    <row r="2240" spans="1:35" ht="18" customHeight="1" outlineLevel="2" x14ac:dyDescent="0.2">
      <c r="A2240" s="25"/>
      <c r="B2240" s="25" t="s">
        <v>4279</v>
      </c>
      <c r="C2240" s="25" t="s">
        <v>4397</v>
      </c>
      <c r="D2240" s="25" t="s">
        <v>4398</v>
      </c>
      <c r="E2240" s="25"/>
      <c r="F2240" s="25"/>
      <c r="G2240" s="25" t="s">
        <v>4251</v>
      </c>
      <c r="H2240" s="25" t="s">
        <v>3080</v>
      </c>
    </row>
    <row r="2241" spans="1:8" ht="18" customHeight="1" outlineLevel="2" x14ac:dyDescent="0.2">
      <c r="A2241" s="25"/>
      <c r="B2241" s="25" t="s">
        <v>4280</v>
      </c>
      <c r="C2241" s="25" t="s">
        <v>4374</v>
      </c>
      <c r="D2241" s="25" t="s">
        <v>4375</v>
      </c>
      <c r="E2241" s="25"/>
      <c r="F2241" s="25"/>
      <c r="G2241" s="25" t="s">
        <v>4251</v>
      </c>
      <c r="H2241" s="25" t="s">
        <v>3080</v>
      </c>
    </row>
    <row r="2242" spans="1:8" ht="18" customHeight="1" outlineLevel="2" x14ac:dyDescent="0.2">
      <c r="A2242" s="25"/>
      <c r="B2242" s="25" t="s">
        <v>4281</v>
      </c>
      <c r="C2242" s="25" t="s">
        <v>4368</v>
      </c>
      <c r="D2242" s="25" t="s">
        <v>4369</v>
      </c>
      <c r="E2242" s="25"/>
      <c r="F2242" s="25"/>
      <c r="G2242" s="25" t="s">
        <v>4251</v>
      </c>
      <c r="H2242" s="25" t="s">
        <v>3080</v>
      </c>
    </row>
    <row r="2243" spans="1:8" ht="18" customHeight="1" outlineLevel="2" x14ac:dyDescent="0.2">
      <c r="A2243" s="25"/>
      <c r="B2243" s="25" t="s">
        <v>4282</v>
      </c>
      <c r="C2243" s="25" t="s">
        <v>4393</v>
      </c>
      <c r="D2243" s="25" t="s">
        <v>4394</v>
      </c>
      <c r="E2243" s="25"/>
      <c r="F2243" s="25"/>
      <c r="G2243" s="25" t="s">
        <v>4251</v>
      </c>
      <c r="H2243" s="25" t="s">
        <v>3080</v>
      </c>
    </row>
    <row r="2244" spans="1:8" ht="18" customHeight="1" outlineLevel="2" x14ac:dyDescent="0.2">
      <c r="A2244" s="25"/>
      <c r="B2244" s="25" t="s">
        <v>4283</v>
      </c>
      <c r="C2244" s="25" t="s">
        <v>4391</v>
      </c>
      <c r="D2244" s="25" t="s">
        <v>4392</v>
      </c>
      <c r="E2244" s="25"/>
      <c r="F2244" s="25"/>
      <c r="G2244" s="25" t="s">
        <v>4251</v>
      </c>
      <c r="H2244" s="25" t="s">
        <v>3080</v>
      </c>
    </row>
    <row r="2245" spans="1:8" ht="18" customHeight="1" outlineLevel="2" x14ac:dyDescent="0.2">
      <c r="A2245" s="25"/>
      <c r="B2245" s="25" t="s">
        <v>4284</v>
      </c>
      <c r="C2245" s="25" t="s">
        <v>4364</v>
      </c>
      <c r="D2245" s="25" t="s">
        <v>4365</v>
      </c>
      <c r="E2245" s="25"/>
      <c r="F2245" s="25"/>
      <c r="G2245" s="25" t="s">
        <v>4251</v>
      </c>
      <c r="H2245" s="25" t="s">
        <v>3080</v>
      </c>
    </row>
    <row r="2246" spans="1:8" ht="18" customHeight="1" outlineLevel="2" x14ac:dyDescent="0.2">
      <c r="A2246" s="25"/>
      <c r="B2246" s="25" t="s">
        <v>4285</v>
      </c>
      <c r="C2246" s="25" t="s">
        <v>4382</v>
      </c>
      <c r="D2246" s="25" t="s">
        <v>4383</v>
      </c>
      <c r="E2246" s="25"/>
      <c r="F2246" s="25"/>
      <c r="G2246" s="25" t="s">
        <v>4251</v>
      </c>
      <c r="H2246" s="25" t="s">
        <v>3080</v>
      </c>
    </row>
    <row r="2247" spans="1:8" ht="18" customHeight="1" outlineLevel="2" x14ac:dyDescent="0.2">
      <c r="A2247" s="25"/>
      <c r="B2247" s="25" t="s">
        <v>4286</v>
      </c>
      <c r="C2247" s="25" t="s">
        <v>4389</v>
      </c>
      <c r="D2247" s="25" t="s">
        <v>4390</v>
      </c>
      <c r="E2247" s="25"/>
      <c r="F2247" s="25"/>
      <c r="G2247" s="25" t="s">
        <v>4251</v>
      </c>
      <c r="H2247" s="25" t="s">
        <v>3080</v>
      </c>
    </row>
    <row r="2248" spans="1:8" ht="18" customHeight="1" outlineLevel="2" x14ac:dyDescent="0.2">
      <c r="A2248" s="25"/>
      <c r="B2248" s="25" t="s">
        <v>4287</v>
      </c>
      <c r="C2248" s="25" t="s">
        <v>4384</v>
      </c>
      <c r="D2248" s="25" t="s">
        <v>4385</v>
      </c>
      <c r="E2248" s="25"/>
      <c r="F2248" s="25"/>
      <c r="G2248" s="25" t="s">
        <v>4251</v>
      </c>
      <c r="H2248" s="25" t="s">
        <v>3080</v>
      </c>
    </row>
    <row r="2249" spans="1:8" ht="18" customHeight="1" outlineLevel="2" x14ac:dyDescent="0.2">
      <c r="A2249" s="25"/>
      <c r="B2249" s="25" t="s">
        <v>4288</v>
      </c>
      <c r="C2249" s="25" t="s">
        <v>4380</v>
      </c>
      <c r="D2249" s="25" t="s">
        <v>4381</v>
      </c>
      <c r="E2249" s="25"/>
      <c r="F2249" s="25"/>
      <c r="G2249" s="25" t="s">
        <v>4251</v>
      </c>
      <c r="H2249" s="25" t="s">
        <v>3080</v>
      </c>
    </row>
    <row r="2250" spans="1:8" ht="18" customHeight="1" outlineLevel="2" x14ac:dyDescent="0.2">
      <c r="A2250" s="25"/>
      <c r="B2250" s="25" t="s">
        <v>4289</v>
      </c>
      <c r="C2250" s="25" t="s">
        <v>4376</v>
      </c>
      <c r="D2250" s="25" t="s">
        <v>4377</v>
      </c>
      <c r="E2250" s="25"/>
      <c r="F2250" s="25"/>
      <c r="G2250" s="25" t="s">
        <v>4251</v>
      </c>
      <c r="H2250" s="25" t="s">
        <v>3080</v>
      </c>
    </row>
    <row r="2251" spans="1:8" ht="18" customHeight="1" outlineLevel="2" x14ac:dyDescent="0.2">
      <c r="A2251" s="25"/>
      <c r="B2251" s="25" t="s">
        <v>4290</v>
      </c>
      <c r="C2251" s="25" t="s">
        <v>4370</v>
      </c>
      <c r="D2251" s="25" t="s">
        <v>4371</v>
      </c>
      <c r="E2251" s="25"/>
      <c r="F2251" s="25"/>
      <c r="G2251" s="25" t="s">
        <v>4251</v>
      </c>
      <c r="H2251" s="25" t="s">
        <v>3080</v>
      </c>
    </row>
    <row r="2252" spans="1:8" ht="18" customHeight="1" outlineLevel="2" x14ac:dyDescent="0.2">
      <c r="A2252" s="25"/>
      <c r="B2252" s="25" t="s">
        <v>4291</v>
      </c>
      <c r="C2252" s="25" t="s">
        <v>4378</v>
      </c>
      <c r="D2252" s="25" t="s">
        <v>4379</v>
      </c>
      <c r="E2252" s="25"/>
      <c r="F2252" s="25"/>
      <c r="G2252" s="25" t="s">
        <v>4251</v>
      </c>
      <c r="H2252" s="25" t="s">
        <v>3080</v>
      </c>
    </row>
    <row r="2253" spans="1:8" ht="18" customHeight="1" outlineLevel="2" x14ac:dyDescent="0.2">
      <c r="A2253" s="25"/>
      <c r="B2253" s="25" t="s">
        <v>4292</v>
      </c>
      <c r="C2253" s="25" t="s">
        <v>4366</v>
      </c>
      <c r="D2253" s="25" t="s">
        <v>4367</v>
      </c>
      <c r="E2253" s="25"/>
      <c r="F2253" s="25"/>
      <c r="G2253" s="25" t="s">
        <v>4251</v>
      </c>
      <c r="H2253" s="25" t="s">
        <v>3080</v>
      </c>
    </row>
    <row r="2254" spans="1:8" ht="18" customHeight="1" outlineLevel="2" x14ac:dyDescent="0.2">
      <c r="A2254" s="25"/>
      <c r="B2254" s="25" t="s">
        <v>4293</v>
      </c>
      <c r="C2254" s="25" t="s">
        <v>4387</v>
      </c>
      <c r="D2254" s="25" t="s">
        <v>4388</v>
      </c>
      <c r="E2254" s="25"/>
      <c r="F2254" s="25"/>
      <c r="G2254" s="25" t="s">
        <v>4251</v>
      </c>
      <c r="H2254" s="25" t="s">
        <v>3080</v>
      </c>
    </row>
    <row r="2255" spans="1:8" ht="18" customHeight="1" outlineLevel="2" x14ac:dyDescent="0.2">
      <c r="A2255" s="25"/>
      <c r="B2255" s="25"/>
      <c r="C2255" s="25"/>
      <c r="D2255" s="25"/>
      <c r="E2255" s="25"/>
      <c r="F2255" s="25"/>
      <c r="G2255" s="25" t="s">
        <v>4251</v>
      </c>
    </row>
    <row r="2256" spans="1:8" ht="18" customHeight="1" outlineLevel="1" x14ac:dyDescent="0.2">
      <c r="A2256" s="119" t="s">
        <v>143</v>
      </c>
      <c r="B2256" s="120"/>
      <c r="C2256" s="120"/>
      <c r="D2256" s="120"/>
      <c r="E2256" s="120"/>
      <c r="F2256" s="120"/>
      <c r="G2256" s="120"/>
      <c r="H2256" s="120"/>
    </row>
    <row r="2257" spans="1:8" ht="18" customHeight="1" outlineLevel="2" x14ac:dyDescent="0.2">
      <c r="A2257" s="25"/>
      <c r="B2257" s="25" t="s">
        <v>4356</v>
      </c>
      <c r="C2257" s="25" t="s">
        <v>4401</v>
      </c>
      <c r="D2257" s="25" t="s">
        <v>4400</v>
      </c>
      <c r="E2257" s="25"/>
      <c r="F2257" s="25"/>
      <c r="G2257" s="25" t="s">
        <v>4251</v>
      </c>
    </row>
    <row r="2258" spans="1:8" ht="18" customHeight="1" outlineLevel="2" x14ac:dyDescent="0.2">
      <c r="A2258" s="25"/>
      <c r="B2258" s="25" t="s">
        <v>4361</v>
      </c>
      <c r="C2258" s="25" t="s">
        <v>4386</v>
      </c>
      <c r="D2258" s="25" t="s">
        <v>4373</v>
      </c>
      <c r="E2258" s="25"/>
      <c r="F2258" s="25"/>
      <c r="G2258" s="25" t="s">
        <v>4251</v>
      </c>
    </row>
    <row r="2259" spans="1:8" ht="18" customHeight="1" outlineLevel="2" x14ac:dyDescent="0.2">
      <c r="A2259" s="25"/>
      <c r="B2259" s="25" t="s">
        <v>4355</v>
      </c>
      <c r="C2259" s="25" t="s">
        <v>4402</v>
      </c>
      <c r="D2259" s="25" t="s">
        <v>4396</v>
      </c>
      <c r="E2259" s="25"/>
      <c r="F2259" s="25"/>
      <c r="G2259" s="25" t="s">
        <v>4251</v>
      </c>
    </row>
    <row r="2260" spans="1:8" ht="18" customHeight="1" outlineLevel="2" x14ac:dyDescent="0.2">
      <c r="A2260" s="25"/>
      <c r="B2260" s="25" t="s">
        <v>4349</v>
      </c>
      <c r="C2260" s="25" t="s">
        <v>4417</v>
      </c>
      <c r="D2260" s="25" t="s">
        <v>4398</v>
      </c>
      <c r="E2260" s="25"/>
      <c r="F2260" s="25"/>
      <c r="G2260" s="25" t="s">
        <v>4251</v>
      </c>
    </row>
    <row r="2261" spans="1:8" ht="18" customHeight="1" outlineLevel="2" x14ac:dyDescent="0.2">
      <c r="A2261" s="25"/>
      <c r="B2261" s="25" t="s">
        <v>4342</v>
      </c>
      <c r="C2261" s="25" t="s">
        <v>4408</v>
      </c>
      <c r="D2261" s="25" t="s">
        <v>4375</v>
      </c>
      <c r="E2261" s="25"/>
      <c r="F2261" s="25"/>
      <c r="G2261" s="25" t="s">
        <v>4251</v>
      </c>
    </row>
    <row r="2262" spans="1:8" ht="18" customHeight="1" outlineLevel="2" x14ac:dyDescent="0.2">
      <c r="A2262" s="25"/>
      <c r="B2262" s="25" t="s">
        <v>4360</v>
      </c>
      <c r="C2262" s="25" t="s">
        <v>4413</v>
      </c>
      <c r="D2262" s="25" t="s">
        <v>4369</v>
      </c>
      <c r="E2262" s="25"/>
      <c r="F2262" s="25"/>
      <c r="G2262" s="25" t="s">
        <v>4251</v>
      </c>
    </row>
    <row r="2263" spans="1:8" ht="18" customHeight="1" outlineLevel="2" x14ac:dyDescent="0.2">
      <c r="A2263" s="25"/>
      <c r="B2263" s="25" t="s">
        <v>4363</v>
      </c>
      <c r="C2263" s="25" t="s">
        <v>4410</v>
      </c>
      <c r="D2263" s="25" t="s">
        <v>4394</v>
      </c>
      <c r="E2263" s="25"/>
      <c r="F2263" s="25"/>
      <c r="G2263" s="25" t="s">
        <v>4251</v>
      </c>
    </row>
    <row r="2264" spans="1:8" ht="18" customHeight="1" outlineLevel="2" x14ac:dyDescent="0.2">
      <c r="A2264" s="25"/>
      <c r="B2264" s="25" t="s">
        <v>4357</v>
      </c>
      <c r="C2264" s="25" t="s">
        <v>4418</v>
      </c>
      <c r="D2264" s="25" t="s">
        <v>4392</v>
      </c>
      <c r="E2264" s="25"/>
      <c r="F2264" s="25"/>
      <c r="G2264" s="25" t="s">
        <v>4251</v>
      </c>
    </row>
    <row r="2265" spans="1:8" ht="18" customHeight="1" outlineLevel="2" x14ac:dyDescent="0.2">
      <c r="A2265" s="25"/>
      <c r="B2265" s="25"/>
      <c r="C2265" s="25"/>
      <c r="D2265" s="25"/>
      <c r="E2265" s="25"/>
      <c r="F2265" s="25"/>
      <c r="G2265" s="25" t="s">
        <v>4251</v>
      </c>
    </row>
    <row r="2266" spans="1:8" ht="18" customHeight="1" outlineLevel="1" x14ac:dyDescent="0.2">
      <c r="A2266" s="119" t="s">
        <v>144</v>
      </c>
      <c r="B2266" s="120"/>
      <c r="C2266" s="120"/>
      <c r="D2266" s="120"/>
      <c r="E2266" s="120"/>
      <c r="F2266" s="120"/>
      <c r="G2266" s="120"/>
      <c r="H2266" s="120"/>
    </row>
    <row r="2267" spans="1:8" ht="18" customHeight="1" outlineLevel="2" x14ac:dyDescent="0.2">
      <c r="A2267" s="25"/>
      <c r="B2267" s="25" t="s">
        <v>4352</v>
      </c>
      <c r="C2267" s="25" t="s">
        <v>4420</v>
      </c>
      <c r="D2267" s="25" t="s">
        <v>4400</v>
      </c>
      <c r="E2267" s="25"/>
      <c r="F2267" s="25"/>
      <c r="G2267" s="25" t="s">
        <v>4251</v>
      </c>
    </row>
    <row r="2268" spans="1:8" ht="18" customHeight="1" outlineLevel="2" x14ac:dyDescent="0.2">
      <c r="A2268" s="25"/>
      <c r="B2268" s="25" t="s">
        <v>4341</v>
      </c>
      <c r="C2268" s="25" t="s">
        <v>4411</v>
      </c>
      <c r="D2268" s="25" t="s">
        <v>4373</v>
      </c>
      <c r="E2268" s="25"/>
      <c r="F2268" s="25"/>
      <c r="G2268" s="25" t="s">
        <v>4251</v>
      </c>
    </row>
    <row r="2269" spans="1:8" ht="18" customHeight="1" outlineLevel="2" x14ac:dyDescent="0.2">
      <c r="A2269" s="25"/>
      <c r="B2269" s="25" t="s">
        <v>4348</v>
      </c>
      <c r="C2269" s="25" t="s">
        <v>4404</v>
      </c>
      <c r="D2269" s="25" t="s">
        <v>4396</v>
      </c>
      <c r="E2269" s="25"/>
      <c r="F2269" s="25"/>
      <c r="G2269" s="25" t="s">
        <v>4251</v>
      </c>
    </row>
    <row r="2270" spans="1:8" ht="18" customHeight="1" outlineLevel="2" x14ac:dyDescent="0.2">
      <c r="A2270" s="25"/>
      <c r="B2270" s="25" t="s">
        <v>4347</v>
      </c>
      <c r="C2270" s="25" t="s">
        <v>4421</v>
      </c>
      <c r="D2270" s="25" t="s">
        <v>4398</v>
      </c>
      <c r="E2270" s="25"/>
      <c r="F2270" s="25"/>
      <c r="G2270" s="25" t="s">
        <v>4251</v>
      </c>
    </row>
    <row r="2271" spans="1:8" ht="18" customHeight="1" outlineLevel="2" x14ac:dyDescent="0.2">
      <c r="A2271" s="25"/>
      <c r="B2271" s="25" t="s">
        <v>4362</v>
      </c>
      <c r="C2271" s="25" t="s">
        <v>4412</v>
      </c>
      <c r="D2271" s="25" t="s">
        <v>4375</v>
      </c>
      <c r="E2271" s="25"/>
      <c r="F2271" s="25"/>
      <c r="G2271" s="25" t="s">
        <v>4251</v>
      </c>
    </row>
    <row r="2272" spans="1:8" ht="18" customHeight="1" outlineLevel="2" x14ac:dyDescent="0.2">
      <c r="A2272" s="25"/>
      <c r="B2272" s="25" t="s">
        <v>4345</v>
      </c>
      <c r="C2272" s="25" t="s">
        <v>4403</v>
      </c>
      <c r="D2272" s="25" t="s">
        <v>4369</v>
      </c>
      <c r="E2272" s="25"/>
      <c r="F2272" s="25"/>
      <c r="G2272" s="25" t="s">
        <v>4251</v>
      </c>
    </row>
    <row r="2273" spans="1:8" ht="18" customHeight="1" outlineLevel="2" x14ac:dyDescent="0.2">
      <c r="A2273" s="25"/>
      <c r="B2273" s="25" t="s">
        <v>4353</v>
      </c>
      <c r="C2273" s="25" t="s">
        <v>4416</v>
      </c>
      <c r="D2273" s="25" t="s">
        <v>4394</v>
      </c>
      <c r="E2273" s="25"/>
      <c r="F2273" s="25"/>
      <c r="G2273" s="25" t="s">
        <v>4251</v>
      </c>
    </row>
    <row r="2274" spans="1:8" ht="18" customHeight="1" outlineLevel="2" x14ac:dyDescent="0.2">
      <c r="A2274" s="25"/>
      <c r="B2274" s="25" t="s">
        <v>4351</v>
      </c>
      <c r="C2274" s="25" t="s">
        <v>4405</v>
      </c>
      <c r="D2274" s="25" t="s">
        <v>4392</v>
      </c>
      <c r="E2274" s="25"/>
      <c r="F2274" s="25"/>
      <c r="G2274" s="25" t="s">
        <v>4251</v>
      </c>
    </row>
    <row r="2275" spans="1:8" ht="18" customHeight="1" outlineLevel="2" x14ac:dyDescent="0.2">
      <c r="A2275" s="25"/>
      <c r="B2275" s="25"/>
      <c r="C2275" s="25"/>
      <c r="D2275" s="25"/>
      <c r="E2275" s="25"/>
      <c r="F2275" s="25"/>
      <c r="G2275" s="25" t="s">
        <v>4251</v>
      </c>
    </row>
    <row r="2276" spans="1:8" ht="18" customHeight="1" outlineLevel="1" x14ac:dyDescent="0.2">
      <c r="A2276" s="119" t="s">
        <v>167</v>
      </c>
      <c r="B2276" s="120"/>
      <c r="C2276" s="120"/>
      <c r="D2276" s="120"/>
      <c r="E2276" s="120"/>
      <c r="F2276" s="120"/>
      <c r="G2276" s="120"/>
      <c r="H2276" s="120"/>
    </row>
    <row r="2277" spans="1:8" ht="18" customHeight="1" outlineLevel="2" x14ac:dyDescent="0.2">
      <c r="A2277" s="25"/>
      <c r="B2277" s="25" t="s">
        <v>4268</v>
      </c>
      <c r="C2277" s="25" t="s">
        <v>4414</v>
      </c>
      <c r="D2277" s="25" t="s">
        <v>4400</v>
      </c>
      <c r="E2277" s="25"/>
      <c r="F2277" s="25"/>
      <c r="G2277" s="25" t="s">
        <v>4251</v>
      </c>
    </row>
    <row r="2278" spans="1:8" ht="18" customHeight="1" outlineLevel="2" x14ac:dyDescent="0.2">
      <c r="A2278" s="25"/>
      <c r="B2278" s="25" t="s">
        <v>4269</v>
      </c>
      <c r="C2278" s="25" t="s">
        <v>4409</v>
      </c>
      <c r="D2278" s="25" t="s">
        <v>4373</v>
      </c>
      <c r="E2278" s="25"/>
      <c r="F2278" s="25"/>
      <c r="G2278" s="25" t="s">
        <v>4251</v>
      </c>
    </row>
    <row r="2279" spans="1:8" ht="18" customHeight="1" outlineLevel="2" x14ac:dyDescent="0.2">
      <c r="A2279" s="25"/>
      <c r="B2279" s="25" t="s">
        <v>4270</v>
      </c>
      <c r="C2279" s="25" t="s">
        <v>4419</v>
      </c>
      <c r="D2279" s="25" t="s">
        <v>4396</v>
      </c>
      <c r="E2279" s="25"/>
      <c r="F2279" s="25"/>
      <c r="G2279" s="25" t="s">
        <v>4251</v>
      </c>
    </row>
    <row r="2280" spans="1:8" ht="18" customHeight="1" outlineLevel="2" x14ac:dyDescent="0.2">
      <c r="A2280" s="25"/>
      <c r="B2280" s="25" t="s">
        <v>4271</v>
      </c>
      <c r="C2280" s="25" t="s">
        <v>4407</v>
      </c>
      <c r="D2280" s="25" t="s">
        <v>4398</v>
      </c>
      <c r="E2280" s="25"/>
      <c r="F2280" s="25"/>
      <c r="G2280" s="25" t="s">
        <v>4251</v>
      </c>
    </row>
    <row r="2281" spans="1:8" ht="18" customHeight="1" outlineLevel="2" x14ac:dyDescent="0.2">
      <c r="A2281" s="25"/>
      <c r="B2281" s="25" t="s">
        <v>4272</v>
      </c>
      <c r="C2281" s="25" t="s">
        <v>4415</v>
      </c>
      <c r="D2281" s="25" t="s">
        <v>4375</v>
      </c>
      <c r="E2281" s="25"/>
      <c r="F2281" s="25"/>
      <c r="G2281" s="25" t="s">
        <v>4251</v>
      </c>
    </row>
    <row r="2282" spans="1:8" ht="18" customHeight="1" outlineLevel="2" x14ac:dyDescent="0.2">
      <c r="A2282" s="25"/>
      <c r="B2282" s="25" t="s">
        <v>4273</v>
      </c>
      <c r="C2282" s="25" t="s">
        <v>4406</v>
      </c>
      <c r="D2282" s="25" t="s">
        <v>4369</v>
      </c>
      <c r="E2282" s="25"/>
      <c r="F2282" s="25"/>
      <c r="G2282" s="25" t="s">
        <v>4251</v>
      </c>
    </row>
    <row r="2283" spans="1:8" ht="18" customHeight="1" outlineLevel="2" x14ac:dyDescent="0.2">
      <c r="A2283" s="25"/>
      <c r="B2283" s="25" t="s">
        <v>4274</v>
      </c>
      <c r="C2283" s="25" t="s">
        <v>4425</v>
      </c>
      <c r="D2283" s="25" t="s">
        <v>4394</v>
      </c>
      <c r="E2283" s="25"/>
      <c r="F2283" s="25"/>
      <c r="G2283" s="25" t="s">
        <v>4251</v>
      </c>
    </row>
    <row r="2284" spans="1:8" ht="18" customHeight="1" outlineLevel="2" x14ac:dyDescent="0.2">
      <c r="A2284" s="25"/>
      <c r="B2284" s="25" t="s">
        <v>4275</v>
      </c>
      <c r="C2284" s="25" t="s">
        <v>4414</v>
      </c>
      <c r="D2284" s="25" t="s">
        <v>4400</v>
      </c>
      <c r="E2284" s="25"/>
      <c r="F2284" s="25"/>
      <c r="G2284" s="25" t="s">
        <v>4251</v>
      </c>
    </row>
    <row r="2285" spans="1:8" ht="18" customHeight="1" outlineLevel="2" x14ac:dyDescent="0.2">
      <c r="A2285" s="25"/>
      <c r="B2285" s="25"/>
      <c r="C2285" s="25"/>
      <c r="D2285" s="25"/>
      <c r="E2285" s="25"/>
      <c r="F2285" s="25"/>
      <c r="G2285" s="25" t="s">
        <v>4251</v>
      </c>
    </row>
    <row r="2286" spans="1:8" ht="18" customHeight="1" outlineLevel="1" x14ac:dyDescent="0.2">
      <c r="A2286" s="119" t="s">
        <v>168</v>
      </c>
      <c r="B2286" s="120"/>
      <c r="C2286" s="120"/>
      <c r="D2286" s="120"/>
      <c r="E2286" s="120"/>
      <c r="F2286" s="120"/>
      <c r="G2286" s="120"/>
      <c r="H2286" s="120"/>
    </row>
    <row r="2287" spans="1:8" ht="18" customHeight="1" outlineLevel="2" x14ac:dyDescent="0.2">
      <c r="A2287" s="25"/>
      <c r="B2287" s="25" t="s">
        <v>4260</v>
      </c>
      <c r="C2287" s="25" t="s">
        <v>4435</v>
      </c>
      <c r="D2287" s="25" t="s">
        <v>4400</v>
      </c>
      <c r="E2287" s="25"/>
      <c r="F2287" s="25"/>
      <c r="G2287" s="25" t="s">
        <v>4251</v>
      </c>
    </row>
    <row r="2288" spans="1:8" ht="18" customHeight="1" outlineLevel="2" x14ac:dyDescent="0.2">
      <c r="A2288" s="25"/>
      <c r="B2288" s="25" t="s">
        <v>4261</v>
      </c>
      <c r="C2288" s="25" t="s">
        <v>4423</v>
      </c>
      <c r="D2288" s="25" t="s">
        <v>4373</v>
      </c>
      <c r="E2288" s="25"/>
      <c r="F2288" s="25"/>
      <c r="G2288" s="25" t="s">
        <v>4251</v>
      </c>
    </row>
    <row r="2289" spans="1:7" ht="18" customHeight="1" outlineLevel="2" x14ac:dyDescent="0.2">
      <c r="A2289" s="25"/>
      <c r="B2289" s="25" t="s">
        <v>4262</v>
      </c>
      <c r="C2289" s="25" t="s">
        <v>4422</v>
      </c>
      <c r="D2289" s="25" t="s">
        <v>4396</v>
      </c>
      <c r="E2289" s="25"/>
      <c r="F2289" s="25"/>
      <c r="G2289" s="25" t="s">
        <v>4251</v>
      </c>
    </row>
    <row r="2290" spans="1:7" ht="18" customHeight="1" outlineLevel="2" x14ac:dyDescent="0.2">
      <c r="A2290" s="25"/>
      <c r="B2290" s="25" t="s">
        <v>4263</v>
      </c>
      <c r="C2290" s="25" t="s">
        <v>4428</v>
      </c>
      <c r="D2290" s="25" t="s">
        <v>4398</v>
      </c>
      <c r="E2290" s="25"/>
      <c r="F2290" s="25"/>
      <c r="G2290" s="25" t="s">
        <v>4251</v>
      </c>
    </row>
    <row r="2291" spans="1:7" ht="18" customHeight="1" outlineLevel="2" x14ac:dyDescent="0.2">
      <c r="A2291" s="25"/>
      <c r="B2291" s="25" t="s">
        <v>4264</v>
      </c>
      <c r="C2291" s="25" t="s">
        <v>4432</v>
      </c>
      <c r="D2291" s="25" t="s">
        <v>4375</v>
      </c>
      <c r="E2291" s="25"/>
      <c r="F2291" s="25"/>
      <c r="G2291" s="25" t="s">
        <v>4251</v>
      </c>
    </row>
    <row r="2292" spans="1:7" ht="18" customHeight="1" outlineLevel="2" x14ac:dyDescent="0.2">
      <c r="A2292" s="25"/>
      <c r="B2292" s="25" t="s">
        <v>4265</v>
      </c>
      <c r="C2292" s="25" t="s">
        <v>4439</v>
      </c>
      <c r="D2292" s="25" t="s">
        <v>4369</v>
      </c>
      <c r="E2292" s="25"/>
      <c r="F2292" s="25"/>
      <c r="G2292" s="25" t="s">
        <v>4251</v>
      </c>
    </row>
    <row r="2293" spans="1:7" ht="18" customHeight="1" outlineLevel="2" x14ac:dyDescent="0.2">
      <c r="A2293" s="25"/>
      <c r="B2293" s="25" t="s">
        <v>4266</v>
      </c>
      <c r="C2293" s="25" t="s">
        <v>4437</v>
      </c>
      <c r="D2293" s="25" t="s">
        <v>4394</v>
      </c>
      <c r="E2293" s="25"/>
      <c r="F2293" s="25"/>
      <c r="G2293" s="25" t="s">
        <v>4251</v>
      </c>
    </row>
    <row r="2294" spans="1:7" ht="18" customHeight="1" outlineLevel="2" x14ac:dyDescent="0.2">
      <c r="A2294" s="25"/>
      <c r="B2294" s="25" t="s">
        <v>4267</v>
      </c>
      <c r="C2294" s="25" t="s">
        <v>4434</v>
      </c>
      <c r="D2294" s="25" t="s">
        <v>4392</v>
      </c>
      <c r="E2294" s="25"/>
      <c r="F2294" s="25"/>
      <c r="G2294" s="25" t="s">
        <v>4251</v>
      </c>
    </row>
    <row r="2295" spans="1:7" ht="18" customHeight="1" outlineLevel="2" x14ac:dyDescent="0.2">
      <c r="A2295" s="25"/>
      <c r="B2295" s="25"/>
      <c r="C2295" s="25"/>
      <c r="D2295" s="25"/>
      <c r="E2295" s="25"/>
      <c r="F2295" s="25"/>
      <c r="G2295" s="25" t="s">
        <v>4251</v>
      </c>
    </row>
    <row r="2296" spans="1:7" ht="18" customHeight="1" outlineLevel="2" x14ac:dyDescent="0.2">
      <c r="A2296" s="25"/>
      <c r="B2296" s="25" t="s">
        <v>4294</v>
      </c>
      <c r="C2296" s="65" t="s">
        <v>4430</v>
      </c>
      <c r="D2296" s="25" t="s">
        <v>4400</v>
      </c>
      <c r="E2296" s="25"/>
      <c r="F2296" s="25"/>
      <c r="G2296" s="25" t="s">
        <v>4251</v>
      </c>
    </row>
    <row r="2297" spans="1:7" ht="18" customHeight="1" outlineLevel="2" x14ac:dyDescent="0.2">
      <c r="A2297" s="25"/>
      <c r="B2297" s="25" t="s">
        <v>4295</v>
      </c>
      <c r="C2297" s="65" t="s">
        <v>4440</v>
      </c>
      <c r="D2297" s="25" t="s">
        <v>4373</v>
      </c>
      <c r="E2297" s="25"/>
      <c r="F2297" s="25"/>
      <c r="G2297" s="25" t="s">
        <v>4251</v>
      </c>
    </row>
    <row r="2298" spans="1:7" ht="18" customHeight="1" outlineLevel="2" x14ac:dyDescent="0.2">
      <c r="A2298" s="25"/>
      <c r="B2298" s="25" t="s">
        <v>4296</v>
      </c>
      <c r="C2298" s="65" t="s">
        <v>4438</v>
      </c>
      <c r="D2298" s="25" t="s">
        <v>4396</v>
      </c>
      <c r="E2298" s="25"/>
      <c r="F2298" s="25"/>
      <c r="G2298" s="25" t="s">
        <v>4251</v>
      </c>
    </row>
    <row r="2299" spans="1:7" ht="18" customHeight="1" outlineLevel="2" x14ac:dyDescent="0.2">
      <c r="A2299" s="25"/>
      <c r="B2299" s="25" t="s">
        <v>4297</v>
      </c>
      <c r="C2299" s="65" t="s">
        <v>4429</v>
      </c>
      <c r="D2299" s="25" t="s">
        <v>4398</v>
      </c>
      <c r="E2299" s="25"/>
      <c r="F2299" s="25"/>
      <c r="G2299" s="25" t="s">
        <v>4251</v>
      </c>
    </row>
    <row r="2300" spans="1:7" ht="18" customHeight="1" outlineLevel="2" x14ac:dyDescent="0.2">
      <c r="A2300" s="25"/>
      <c r="B2300" s="25" t="s">
        <v>4298</v>
      </c>
      <c r="C2300" s="65" t="s">
        <v>4426</v>
      </c>
      <c r="D2300" s="25" t="s">
        <v>4375</v>
      </c>
      <c r="E2300" s="25"/>
      <c r="F2300" s="25"/>
      <c r="G2300" s="25" t="s">
        <v>4251</v>
      </c>
    </row>
    <row r="2301" spans="1:7" ht="18" customHeight="1" outlineLevel="2" x14ac:dyDescent="0.2">
      <c r="A2301" s="25"/>
      <c r="B2301" s="25" t="s">
        <v>4299</v>
      </c>
      <c r="C2301" s="65" t="s">
        <v>4424</v>
      </c>
      <c r="D2301" s="25" t="s">
        <v>4369</v>
      </c>
      <c r="E2301" s="25"/>
      <c r="F2301" s="25"/>
      <c r="G2301" s="25" t="s">
        <v>4251</v>
      </c>
    </row>
    <row r="2302" spans="1:7" ht="18" customHeight="1" outlineLevel="2" x14ac:dyDescent="0.2">
      <c r="A2302" s="25"/>
      <c r="B2302" s="25" t="s">
        <v>4300</v>
      </c>
      <c r="C2302" s="65" t="s">
        <v>4436</v>
      </c>
      <c r="D2302" s="25" t="s">
        <v>4394</v>
      </c>
      <c r="E2302" s="25"/>
      <c r="F2302" s="25"/>
      <c r="G2302" s="25" t="s">
        <v>4251</v>
      </c>
    </row>
    <row r="2303" spans="1:7" ht="18" customHeight="1" outlineLevel="2" x14ac:dyDescent="0.2">
      <c r="A2303" s="25"/>
      <c r="B2303" s="25" t="s">
        <v>4301</v>
      </c>
      <c r="C2303" s="65" t="s">
        <v>4433</v>
      </c>
      <c r="D2303" s="25" t="s">
        <v>4392</v>
      </c>
      <c r="E2303" s="25"/>
      <c r="F2303" s="25"/>
      <c r="G2303" s="25" t="s">
        <v>4251</v>
      </c>
    </row>
    <row r="2304" spans="1:7" ht="18" customHeight="1" outlineLevel="2" x14ac:dyDescent="0.2">
      <c r="A2304" s="25"/>
      <c r="B2304" s="25"/>
      <c r="C2304" s="25"/>
      <c r="D2304" s="25"/>
      <c r="E2304" s="25"/>
      <c r="F2304" s="25"/>
      <c r="G2304" s="25" t="s">
        <v>4251</v>
      </c>
    </row>
    <row r="2305" spans="1:8" ht="18" customHeight="1" outlineLevel="1" x14ac:dyDescent="0.2">
      <c r="A2305" s="119" t="s">
        <v>3925</v>
      </c>
      <c r="B2305" s="120"/>
      <c r="C2305" s="120"/>
      <c r="D2305" s="120"/>
      <c r="E2305" s="120"/>
      <c r="F2305" s="120"/>
      <c r="G2305" s="120"/>
      <c r="H2305" s="120"/>
    </row>
    <row r="2306" spans="1:8" ht="18" customHeight="1" outlineLevel="2" x14ac:dyDescent="0.2">
      <c r="A2306" s="25"/>
      <c r="B2306" s="25" t="s">
        <v>4252</v>
      </c>
      <c r="C2306" s="25" t="s">
        <v>4431</v>
      </c>
      <c r="D2306" s="25" t="s">
        <v>4400</v>
      </c>
      <c r="E2306" s="25"/>
      <c r="F2306" s="25"/>
      <c r="G2306" s="25" t="s">
        <v>4251</v>
      </c>
    </row>
    <row r="2307" spans="1:8" ht="18" customHeight="1" outlineLevel="2" x14ac:dyDescent="0.2">
      <c r="A2307" s="25"/>
      <c r="B2307" s="25" t="s">
        <v>4253</v>
      </c>
      <c r="C2307" s="25" t="s">
        <v>4427</v>
      </c>
      <c r="D2307" s="25" t="s">
        <v>4373</v>
      </c>
      <c r="E2307" s="25"/>
      <c r="F2307" s="25"/>
      <c r="G2307" s="25" t="s">
        <v>4251</v>
      </c>
    </row>
    <row r="2308" spans="1:8" ht="18" customHeight="1" outlineLevel="2" x14ac:dyDescent="0.2">
      <c r="A2308" s="25"/>
      <c r="B2308" s="25" t="s">
        <v>4254</v>
      </c>
      <c r="C2308" s="25" t="s">
        <v>4444</v>
      </c>
      <c r="D2308" s="25" t="s">
        <v>4396</v>
      </c>
      <c r="E2308" s="25"/>
      <c r="F2308" s="25"/>
      <c r="G2308" s="25" t="s">
        <v>4251</v>
      </c>
    </row>
    <row r="2309" spans="1:8" ht="18" customHeight="1" outlineLevel="2" x14ac:dyDescent="0.2">
      <c r="A2309" s="25"/>
      <c r="B2309" s="25" t="s">
        <v>4255</v>
      </c>
      <c r="C2309" s="25" t="s">
        <v>4443</v>
      </c>
      <c r="D2309" s="25" t="s">
        <v>4398</v>
      </c>
      <c r="E2309" s="25"/>
      <c r="F2309" s="25"/>
      <c r="G2309" s="25" t="s">
        <v>4251</v>
      </c>
    </row>
    <row r="2310" spans="1:8" ht="18" customHeight="1" outlineLevel="2" x14ac:dyDescent="0.2">
      <c r="A2310" s="25"/>
      <c r="B2310" s="25" t="s">
        <v>4256</v>
      </c>
      <c r="C2310" s="25" t="s">
        <v>4445</v>
      </c>
      <c r="D2310" s="25" t="s">
        <v>4375</v>
      </c>
      <c r="E2310" s="25"/>
      <c r="F2310" s="25"/>
      <c r="G2310" s="25" t="s">
        <v>4251</v>
      </c>
    </row>
    <row r="2311" spans="1:8" s="25" customFormat="1" ht="18" customHeight="1" outlineLevel="2" x14ac:dyDescent="0.2">
      <c r="B2311" s="25" t="s">
        <v>4257</v>
      </c>
      <c r="C2311" s="25" t="s">
        <v>4442</v>
      </c>
      <c r="D2311" s="25" t="s">
        <v>4369</v>
      </c>
      <c r="G2311" s="25" t="s">
        <v>4251</v>
      </c>
    </row>
    <row r="2312" spans="1:8" s="25" customFormat="1" ht="18" customHeight="1" outlineLevel="2" x14ac:dyDescent="0.2">
      <c r="B2312" s="25" t="s">
        <v>4258</v>
      </c>
      <c r="C2312" s="25" t="s">
        <v>4446</v>
      </c>
      <c r="D2312" s="25" t="s">
        <v>4394</v>
      </c>
      <c r="G2312" s="25" t="s">
        <v>4251</v>
      </c>
    </row>
    <row r="2313" spans="1:8" s="25" customFormat="1" ht="18" customHeight="1" outlineLevel="2" x14ac:dyDescent="0.2">
      <c r="B2313" s="25" t="s">
        <v>4259</v>
      </c>
      <c r="C2313" s="25" t="s">
        <v>4441</v>
      </c>
      <c r="D2313" s="25" t="s">
        <v>4392</v>
      </c>
      <c r="G2313" s="25" t="s">
        <v>4251</v>
      </c>
    </row>
    <row r="2314" spans="1:8" s="25" customFormat="1" ht="18" customHeight="1" outlineLevel="2" x14ac:dyDescent="0.2">
      <c r="G2314" s="25" t="s">
        <v>4251</v>
      </c>
    </row>
    <row r="2315" spans="1:8" s="25" customFormat="1" ht="18" customHeight="1" outlineLevel="2" x14ac:dyDescent="0.2">
      <c r="B2315" s="25" t="s">
        <v>4551</v>
      </c>
      <c r="C2315" s="25" t="s">
        <v>4494</v>
      </c>
      <c r="D2315" s="25" t="s">
        <v>4553</v>
      </c>
      <c r="G2315" s="25" t="s">
        <v>4251</v>
      </c>
    </row>
    <row r="2316" spans="1:8" s="25" customFormat="1" ht="18" customHeight="1" outlineLevel="2" x14ac:dyDescent="0.2">
      <c r="B2316" s="25" t="s">
        <v>4529</v>
      </c>
      <c r="C2316" s="25" t="s">
        <v>4477</v>
      </c>
      <c r="D2316" s="25" t="s">
        <v>4558</v>
      </c>
      <c r="G2316" s="25" t="s">
        <v>4251</v>
      </c>
    </row>
    <row r="2317" spans="1:8" s="25" customFormat="1" ht="18" customHeight="1" outlineLevel="2" x14ac:dyDescent="0.2">
      <c r="B2317" s="25" t="s">
        <v>4552</v>
      </c>
      <c r="C2317" s="25" t="s">
        <v>4480</v>
      </c>
      <c r="D2317" s="25" t="s">
        <v>4563</v>
      </c>
      <c r="G2317" s="25" t="s">
        <v>4251</v>
      </c>
    </row>
    <row r="2318" spans="1:8" s="25" customFormat="1" ht="18" customHeight="1" outlineLevel="2" x14ac:dyDescent="0.2">
      <c r="B2318" s="25" t="s">
        <v>4525</v>
      </c>
      <c r="C2318" s="25" t="s">
        <v>4478</v>
      </c>
      <c r="D2318" s="25" t="s">
        <v>4556</v>
      </c>
      <c r="G2318" s="25" t="s">
        <v>4251</v>
      </c>
    </row>
    <row r="2319" spans="1:8" s="25" customFormat="1" ht="18" customHeight="1" outlineLevel="2" x14ac:dyDescent="0.2">
      <c r="B2319" s="25" t="s">
        <v>4542</v>
      </c>
      <c r="C2319" s="25" t="s">
        <v>4495</v>
      </c>
      <c r="D2319" s="25" t="s">
        <v>4555</v>
      </c>
      <c r="G2319" s="25" t="s">
        <v>4251</v>
      </c>
    </row>
    <row r="2320" spans="1:8" s="25" customFormat="1" ht="18" customHeight="1" outlineLevel="2" x14ac:dyDescent="0.2">
      <c r="B2320" s="25" t="s">
        <v>4540</v>
      </c>
      <c r="C2320" s="25" t="s">
        <v>4489</v>
      </c>
      <c r="D2320" s="25" t="s">
        <v>4562</v>
      </c>
      <c r="G2320" s="25" t="s">
        <v>4251</v>
      </c>
    </row>
    <row r="2321" spans="2:7" s="25" customFormat="1" ht="18" customHeight="1" outlineLevel="2" x14ac:dyDescent="0.2">
      <c r="B2321" s="25" t="s">
        <v>4547</v>
      </c>
      <c r="C2321" s="25" t="s">
        <v>4482</v>
      </c>
      <c r="D2321" s="25" t="s">
        <v>4564</v>
      </c>
      <c r="G2321" s="25" t="s">
        <v>4251</v>
      </c>
    </row>
    <row r="2322" spans="2:7" s="25" customFormat="1" ht="18" customHeight="1" outlineLevel="2" x14ac:dyDescent="0.2">
      <c r="B2322" s="25" t="s">
        <v>4536</v>
      </c>
      <c r="C2322" s="25" t="s">
        <v>4492</v>
      </c>
      <c r="D2322" s="25" t="s">
        <v>4554</v>
      </c>
      <c r="G2322" s="25" t="s">
        <v>4251</v>
      </c>
    </row>
    <row r="2323" spans="2:7" s="25" customFormat="1" ht="18" customHeight="1" outlineLevel="2" x14ac:dyDescent="0.2">
      <c r="B2323" s="25" t="s">
        <v>4534</v>
      </c>
      <c r="C2323" s="25" t="s">
        <v>4479</v>
      </c>
      <c r="D2323" s="25" t="s">
        <v>4561</v>
      </c>
      <c r="G2323" s="25" t="s">
        <v>4251</v>
      </c>
    </row>
    <row r="2324" spans="2:7" s="25" customFormat="1" ht="18" customHeight="1" outlineLevel="2" x14ac:dyDescent="0.2">
      <c r="B2324" s="25" t="s">
        <v>4541</v>
      </c>
      <c r="C2324" s="25" t="s">
        <v>4491</v>
      </c>
      <c r="D2324" s="25" t="s">
        <v>4559</v>
      </c>
      <c r="G2324" s="25" t="s">
        <v>4251</v>
      </c>
    </row>
    <row r="2325" spans="2:7" s="25" customFormat="1" ht="18" customHeight="1" outlineLevel="2" x14ac:dyDescent="0.2">
      <c r="B2325" s="25" t="s">
        <v>4523</v>
      </c>
      <c r="C2325" s="25" t="s">
        <v>4486</v>
      </c>
      <c r="D2325" s="25" t="s">
        <v>4560</v>
      </c>
      <c r="G2325" s="25" t="s">
        <v>4251</v>
      </c>
    </row>
    <row r="2326" spans="2:7" s="25" customFormat="1" ht="18" customHeight="1" outlineLevel="2" x14ac:dyDescent="0.2">
      <c r="B2326" s="25" t="s">
        <v>4531</v>
      </c>
      <c r="C2326" s="25" t="s">
        <v>4485</v>
      </c>
      <c r="D2326" s="25" t="s">
        <v>4557</v>
      </c>
      <c r="G2326" s="25" t="s">
        <v>4251</v>
      </c>
    </row>
    <row r="2327" spans="2:7" s="25" customFormat="1" ht="18" customHeight="1" outlineLevel="2" x14ac:dyDescent="0.2">
      <c r="B2327" s="25" t="s">
        <v>4530</v>
      </c>
      <c r="C2327" s="25" t="s">
        <v>4484</v>
      </c>
      <c r="D2327" s="25" t="s">
        <v>4569</v>
      </c>
      <c r="G2327" s="25" t="s">
        <v>4251</v>
      </c>
    </row>
    <row r="2328" spans="2:7" s="25" customFormat="1" ht="18" customHeight="1" outlineLevel="2" x14ac:dyDescent="0.2">
      <c r="B2328" s="25" t="s">
        <v>4538</v>
      </c>
      <c r="C2328" s="25" t="s">
        <v>4481</v>
      </c>
      <c r="D2328" s="25" t="s">
        <v>4565</v>
      </c>
      <c r="G2328" s="25" t="s">
        <v>4251</v>
      </c>
    </row>
    <row r="2329" spans="2:7" s="25" customFormat="1" ht="18" customHeight="1" outlineLevel="2" x14ac:dyDescent="0.2">
      <c r="B2329" s="25" t="s">
        <v>4549</v>
      </c>
      <c r="C2329" s="25" t="s">
        <v>4487</v>
      </c>
      <c r="D2329" s="25" t="s">
        <v>4566</v>
      </c>
      <c r="G2329" s="25" t="s">
        <v>4251</v>
      </c>
    </row>
    <row r="2330" spans="2:7" s="25" customFormat="1" ht="18" customHeight="1" outlineLevel="2" x14ac:dyDescent="0.2">
      <c r="B2330" s="25" t="s">
        <v>4533</v>
      </c>
      <c r="C2330" s="25" t="s">
        <v>4488</v>
      </c>
      <c r="D2330" s="25" t="s">
        <v>4568</v>
      </c>
      <c r="G2330" s="25" t="s">
        <v>4251</v>
      </c>
    </row>
    <row r="2331" spans="2:7" s="25" customFormat="1" ht="18" customHeight="1" outlineLevel="2" x14ac:dyDescent="0.2">
      <c r="B2331" s="25" t="s">
        <v>4537</v>
      </c>
      <c r="C2331" s="25" t="s">
        <v>4490</v>
      </c>
      <c r="D2331" s="25" t="s">
        <v>4567</v>
      </c>
      <c r="G2331" s="25" t="s">
        <v>4251</v>
      </c>
    </row>
    <row r="2332" spans="2:7" s="25" customFormat="1" ht="18" customHeight="1" outlineLevel="2" x14ac:dyDescent="0.2">
      <c r="B2332" s="25" t="s">
        <v>4524</v>
      </c>
      <c r="C2332" s="25" t="s">
        <v>4483</v>
      </c>
      <c r="D2332" s="25" t="s">
        <v>4570</v>
      </c>
      <c r="G2332" s="25" t="s">
        <v>4251</v>
      </c>
    </row>
    <row r="2333" spans="2:7" s="25" customFormat="1" ht="18" customHeight="1" outlineLevel="2" x14ac:dyDescent="0.2">
      <c r="G2333" s="25" t="s">
        <v>4251</v>
      </c>
    </row>
    <row r="2334" spans="2:7" s="25" customFormat="1" ht="18" customHeight="1" outlineLevel="2" x14ac:dyDescent="0.2">
      <c r="B2334" s="25" t="s">
        <v>4573</v>
      </c>
      <c r="C2334" s="25" t="s">
        <v>4572</v>
      </c>
      <c r="D2334" s="25" t="s">
        <v>4574</v>
      </c>
      <c r="G2334" s="25" t="s">
        <v>4251</v>
      </c>
    </row>
    <row r="2335" spans="2:7" s="25" customFormat="1" ht="18" customHeight="1" outlineLevel="2" x14ac:dyDescent="0.2">
      <c r="B2335" s="25" t="s">
        <v>4526</v>
      </c>
      <c r="C2335" s="25" t="s">
        <v>4493</v>
      </c>
      <c r="D2335" s="25" t="s">
        <v>4373</v>
      </c>
      <c r="G2335" s="25" t="s">
        <v>4251</v>
      </c>
    </row>
    <row r="2336" spans="2:7" s="25" customFormat="1" ht="18" customHeight="1" outlineLevel="2" x14ac:dyDescent="0.2">
      <c r="B2336" s="25" t="s">
        <v>4544</v>
      </c>
      <c r="C2336" s="25" t="s">
        <v>4510</v>
      </c>
      <c r="D2336" s="25" t="s">
        <v>4396</v>
      </c>
      <c r="G2336" s="25" t="s">
        <v>4251</v>
      </c>
    </row>
    <row r="2337" spans="1:8" s="25" customFormat="1" ht="18" customHeight="1" outlineLevel="2" x14ac:dyDescent="0.2">
      <c r="B2337" s="25" t="s">
        <v>4548</v>
      </c>
      <c r="C2337" s="25" t="s">
        <v>4513</v>
      </c>
      <c r="D2337" s="25" t="s">
        <v>4396</v>
      </c>
      <c r="G2337" s="25" t="s">
        <v>4251</v>
      </c>
    </row>
    <row r="2338" spans="1:8" s="25" customFormat="1" ht="18" customHeight="1" outlineLevel="2" x14ac:dyDescent="0.2">
      <c r="B2338" s="25" t="s">
        <v>4543</v>
      </c>
      <c r="C2338" s="25" t="s">
        <v>4502</v>
      </c>
      <c r="D2338" s="25" t="s">
        <v>4398</v>
      </c>
      <c r="G2338" s="25" t="s">
        <v>4251</v>
      </c>
    </row>
    <row r="2339" spans="1:8" s="25" customFormat="1" ht="18" customHeight="1" outlineLevel="2" x14ac:dyDescent="0.2">
      <c r="B2339" s="25" t="s">
        <v>4550</v>
      </c>
      <c r="C2339" s="25" t="s">
        <v>4512</v>
      </c>
      <c r="D2339" s="25" t="s">
        <v>4398</v>
      </c>
      <c r="G2339" s="25" t="s">
        <v>4251</v>
      </c>
    </row>
    <row r="2340" spans="1:8" s="25" customFormat="1" ht="18" customHeight="1" outlineLevel="2" x14ac:dyDescent="0.2">
      <c r="B2340" s="25" t="s">
        <v>4545</v>
      </c>
      <c r="C2340" s="25" t="s">
        <v>4511</v>
      </c>
      <c r="D2340" s="25" t="s">
        <v>4375</v>
      </c>
      <c r="G2340" s="25" t="s">
        <v>4251</v>
      </c>
    </row>
    <row r="2341" spans="1:8" s="25" customFormat="1" ht="18" customHeight="1" outlineLevel="2" x14ac:dyDescent="0.2">
      <c r="B2341" s="25" t="s">
        <v>4535</v>
      </c>
      <c r="C2341" s="25" t="s">
        <v>4500</v>
      </c>
      <c r="D2341" s="25" t="s">
        <v>4375</v>
      </c>
      <c r="G2341" s="25" t="s">
        <v>4251</v>
      </c>
    </row>
    <row r="2342" spans="1:8" s="25" customFormat="1" ht="18" customHeight="1" outlineLevel="2" x14ac:dyDescent="0.2">
      <c r="B2342" s="25" t="s">
        <v>4527</v>
      </c>
      <c r="C2342" s="25" t="s">
        <v>4498</v>
      </c>
      <c r="D2342" s="25" t="s">
        <v>4369</v>
      </c>
      <c r="G2342" s="25" t="s">
        <v>4251</v>
      </c>
    </row>
    <row r="2343" spans="1:8" ht="18" customHeight="1" outlineLevel="2" x14ac:dyDescent="0.2">
      <c r="A2343" s="25"/>
      <c r="B2343" s="25" t="s">
        <v>4539</v>
      </c>
      <c r="C2343" s="25" t="s">
        <v>4504</v>
      </c>
      <c r="D2343" s="25" t="s">
        <v>4369</v>
      </c>
      <c r="E2343" s="25"/>
      <c r="F2343" s="25"/>
      <c r="G2343" s="25" t="s">
        <v>4251</v>
      </c>
    </row>
    <row r="2344" spans="1:8" ht="18" customHeight="1" outlineLevel="2" x14ac:dyDescent="0.2">
      <c r="A2344" s="25"/>
      <c r="B2344" s="25" t="s">
        <v>4532</v>
      </c>
      <c r="C2344" s="25" t="s">
        <v>4499</v>
      </c>
      <c r="D2344" s="25" t="s">
        <v>4394</v>
      </c>
      <c r="E2344" s="25"/>
      <c r="F2344" s="25"/>
      <c r="G2344" s="25" t="s">
        <v>4251</v>
      </c>
    </row>
    <row r="2345" spans="1:8" ht="18" customHeight="1" outlineLevel="2" x14ac:dyDescent="0.2">
      <c r="A2345" s="25"/>
      <c r="B2345" s="25" t="s">
        <v>4528</v>
      </c>
      <c r="C2345" s="25" t="s">
        <v>4505</v>
      </c>
      <c r="D2345" s="25" t="s">
        <v>4394</v>
      </c>
      <c r="E2345" s="25"/>
      <c r="F2345" s="25"/>
      <c r="G2345" s="25" t="s">
        <v>4251</v>
      </c>
    </row>
    <row r="2346" spans="1:8" ht="18" customHeight="1" outlineLevel="2" x14ac:dyDescent="0.2">
      <c r="A2346" s="25"/>
      <c r="B2346" s="25" t="s">
        <v>4546</v>
      </c>
      <c r="C2346" s="25" t="s">
        <v>4501</v>
      </c>
      <c r="D2346" s="25" t="s">
        <v>4392</v>
      </c>
      <c r="E2346" s="25"/>
      <c r="F2346" s="25"/>
      <c r="G2346" s="25" t="s">
        <v>4251</v>
      </c>
    </row>
    <row r="2347" spans="1:8" ht="18" customHeight="1" outlineLevel="2" x14ac:dyDescent="0.2">
      <c r="A2347" s="25"/>
      <c r="B2347" s="25"/>
      <c r="C2347" s="25"/>
      <c r="D2347" s="25"/>
      <c r="E2347" s="25"/>
      <c r="F2347" s="25"/>
      <c r="G2347" s="25" t="s">
        <v>4251</v>
      </c>
    </row>
    <row r="2348" spans="1:8" ht="18" customHeight="1" outlineLevel="1" x14ac:dyDescent="0.2">
      <c r="A2348" s="119" t="s">
        <v>3926</v>
      </c>
      <c r="B2348" s="120"/>
      <c r="C2348" s="120"/>
      <c r="D2348" s="120"/>
      <c r="E2348" s="120"/>
      <c r="F2348" s="120"/>
      <c r="G2348" s="120"/>
      <c r="H2348" s="120"/>
    </row>
    <row r="2349" spans="1:8" ht="18" customHeight="1" outlineLevel="2" x14ac:dyDescent="0.2">
      <c r="A2349" s="25"/>
      <c r="B2349" s="25" t="s">
        <v>4314</v>
      </c>
      <c r="C2349" s="25" t="s">
        <v>4503</v>
      </c>
      <c r="D2349" s="25" t="s">
        <v>4553</v>
      </c>
      <c r="E2349" s="25"/>
      <c r="F2349" s="25"/>
      <c r="G2349" s="25" t="s">
        <v>4251</v>
      </c>
    </row>
    <row r="2350" spans="1:8" ht="18" customHeight="1" outlineLevel="2" x14ac:dyDescent="0.2">
      <c r="A2350" s="25"/>
      <c r="B2350" s="25" t="s">
        <v>4315</v>
      </c>
      <c r="C2350" s="25" t="s">
        <v>4508</v>
      </c>
      <c r="D2350" s="25" t="s">
        <v>4558</v>
      </c>
      <c r="E2350" s="25"/>
      <c r="F2350" s="25"/>
      <c r="G2350" s="25" t="s">
        <v>4251</v>
      </c>
    </row>
    <row r="2351" spans="1:8" ht="18" customHeight="1" outlineLevel="2" x14ac:dyDescent="0.2">
      <c r="A2351" s="25"/>
      <c r="B2351" s="25" t="s">
        <v>4316</v>
      </c>
      <c r="C2351" s="25" t="s">
        <v>4497</v>
      </c>
      <c r="D2351" s="25" t="s">
        <v>4563</v>
      </c>
      <c r="E2351" s="25"/>
      <c r="F2351" s="25"/>
      <c r="G2351" s="25" t="s">
        <v>4251</v>
      </c>
    </row>
    <row r="2352" spans="1:8" ht="18" customHeight="1" outlineLevel="2" x14ac:dyDescent="0.2">
      <c r="A2352" s="25"/>
      <c r="B2352" s="25" t="s">
        <v>4317</v>
      </c>
      <c r="C2352" s="25" t="s">
        <v>4507</v>
      </c>
      <c r="D2352" s="25" t="s">
        <v>4556</v>
      </c>
      <c r="E2352" s="25"/>
      <c r="F2352" s="25"/>
      <c r="G2352" s="25" t="s">
        <v>4251</v>
      </c>
    </row>
    <row r="2353" spans="1:8" ht="18" customHeight="1" outlineLevel="2" x14ac:dyDescent="0.2">
      <c r="A2353" s="25"/>
      <c r="B2353" s="25" t="s">
        <v>4318</v>
      </c>
      <c r="C2353" s="25" t="s">
        <v>4496</v>
      </c>
      <c r="D2353" s="25" t="s">
        <v>4555</v>
      </c>
      <c r="E2353" s="25"/>
      <c r="F2353" s="25"/>
      <c r="G2353" s="25" t="s">
        <v>4251</v>
      </c>
    </row>
    <row r="2354" spans="1:8" ht="18" customHeight="1" outlineLevel="2" x14ac:dyDescent="0.2">
      <c r="A2354" s="25"/>
      <c r="B2354" s="25" t="s">
        <v>4319</v>
      </c>
      <c r="C2354" s="25" t="s">
        <v>4514</v>
      </c>
      <c r="D2354" s="25" t="s">
        <v>4562</v>
      </c>
      <c r="E2354" s="25"/>
      <c r="F2354" s="25"/>
      <c r="G2354" s="25" t="s">
        <v>4251</v>
      </c>
    </row>
    <row r="2355" spans="1:8" ht="18" customHeight="1" outlineLevel="2" x14ac:dyDescent="0.2">
      <c r="A2355" s="25"/>
      <c r="B2355" s="25" t="s">
        <v>4320</v>
      </c>
      <c r="C2355" s="25" t="s">
        <v>4506</v>
      </c>
      <c r="D2355" s="25" t="s">
        <v>4561</v>
      </c>
      <c r="E2355" s="25"/>
      <c r="F2355" s="25"/>
      <c r="G2355" s="25" t="s">
        <v>4251</v>
      </c>
    </row>
    <row r="2356" spans="1:8" ht="18" customHeight="1" outlineLevel="2" x14ac:dyDescent="0.2">
      <c r="A2356" s="25"/>
      <c r="B2356" s="25" t="s">
        <v>4321</v>
      </c>
      <c r="C2356" s="25" t="s">
        <v>4509</v>
      </c>
      <c r="D2356" s="25" t="s">
        <v>4559</v>
      </c>
      <c r="E2356" s="25"/>
      <c r="F2356" s="25"/>
      <c r="G2356" s="25" t="s">
        <v>4251</v>
      </c>
    </row>
    <row r="2357" spans="1:8" ht="18" customHeight="1" outlineLevel="2" x14ac:dyDescent="0.2">
      <c r="A2357" s="25"/>
      <c r="B2357" s="25" t="s">
        <v>4322</v>
      </c>
      <c r="C2357" s="25" t="s">
        <v>4515</v>
      </c>
      <c r="D2357" s="25" t="s">
        <v>4557</v>
      </c>
      <c r="E2357" s="25"/>
      <c r="F2357" s="25"/>
      <c r="G2357" s="25" t="s">
        <v>4251</v>
      </c>
    </row>
    <row r="2358" spans="1:8" ht="18" customHeight="1" outlineLevel="2" x14ac:dyDescent="0.2">
      <c r="A2358" s="25"/>
      <c r="B2358" s="25" t="s">
        <v>4323</v>
      </c>
      <c r="C2358" s="25" t="s">
        <v>4516</v>
      </c>
      <c r="D2358" s="25" t="s">
        <v>4569</v>
      </c>
      <c r="E2358" s="25"/>
      <c r="F2358" s="25"/>
      <c r="G2358" s="25" t="s">
        <v>4251</v>
      </c>
    </row>
    <row r="2359" spans="1:8" ht="18" customHeight="1" outlineLevel="2" x14ac:dyDescent="0.2">
      <c r="A2359" s="25"/>
      <c r="B2359" s="25" t="s">
        <v>4324</v>
      </c>
      <c r="C2359" s="25" t="s">
        <v>4518</v>
      </c>
      <c r="D2359" s="25" t="s">
        <v>4565</v>
      </c>
      <c r="E2359" s="25"/>
      <c r="F2359" s="25"/>
      <c r="G2359" s="25" t="s">
        <v>4251</v>
      </c>
    </row>
    <row r="2360" spans="1:8" ht="18" customHeight="1" outlineLevel="2" x14ac:dyDescent="0.2">
      <c r="A2360" s="25"/>
      <c r="B2360" s="25" t="s">
        <v>4325</v>
      </c>
      <c r="C2360" s="25" t="s">
        <v>4521</v>
      </c>
      <c r="D2360" s="25" t="s">
        <v>4566</v>
      </c>
      <c r="E2360" s="25"/>
      <c r="F2360" s="25"/>
      <c r="G2360" s="25" t="s">
        <v>4251</v>
      </c>
    </row>
    <row r="2361" spans="1:8" ht="18" customHeight="1" outlineLevel="2" x14ac:dyDescent="0.2">
      <c r="A2361" s="25"/>
      <c r="B2361" s="25" t="s">
        <v>4326</v>
      </c>
      <c r="C2361" s="25" t="s">
        <v>4522</v>
      </c>
      <c r="D2361" s="25" t="s">
        <v>4568</v>
      </c>
      <c r="E2361" s="25"/>
      <c r="F2361" s="25"/>
      <c r="G2361" s="25" t="s">
        <v>4251</v>
      </c>
    </row>
    <row r="2362" spans="1:8" ht="18" customHeight="1" outlineLevel="2" x14ac:dyDescent="0.2">
      <c r="A2362" s="25"/>
      <c r="B2362" s="25" t="s">
        <v>4327</v>
      </c>
      <c r="C2362" s="25" t="s">
        <v>4520</v>
      </c>
      <c r="D2362" s="25" t="s">
        <v>4567</v>
      </c>
      <c r="E2362" s="25"/>
      <c r="F2362" s="25"/>
      <c r="G2362" s="25" t="s">
        <v>4251</v>
      </c>
    </row>
    <row r="2363" spans="1:8" ht="18" customHeight="1" outlineLevel="2" x14ac:dyDescent="0.2">
      <c r="A2363" s="25"/>
      <c r="B2363" s="25" t="s">
        <v>4328</v>
      </c>
      <c r="C2363" s="25" t="s">
        <v>4517</v>
      </c>
      <c r="D2363" s="25" t="s">
        <v>4571</v>
      </c>
      <c r="E2363" s="25"/>
      <c r="F2363" s="25"/>
      <c r="G2363" s="25" t="s">
        <v>4251</v>
      </c>
    </row>
    <row r="2364" spans="1:8" ht="18" customHeight="1" outlineLevel="2" x14ac:dyDescent="0.2">
      <c r="A2364" s="25"/>
      <c r="B2364" s="25" t="s">
        <v>4329</v>
      </c>
      <c r="C2364" s="25" t="s">
        <v>4519</v>
      </c>
      <c r="D2364" s="25" t="s">
        <v>4570</v>
      </c>
      <c r="E2364" s="25"/>
      <c r="F2364" s="25"/>
      <c r="G2364" s="25" t="s">
        <v>4251</v>
      </c>
    </row>
    <row r="2365" spans="1:8" ht="18" customHeight="1" outlineLevel="2" x14ac:dyDescent="0.2">
      <c r="A2365" s="25"/>
      <c r="B2365" s="25"/>
      <c r="C2365" s="25"/>
      <c r="D2365" s="25"/>
      <c r="E2365" s="25"/>
      <c r="F2365" s="25"/>
      <c r="G2365" s="25" t="s">
        <v>4251</v>
      </c>
    </row>
    <row r="2366" spans="1:8" ht="18" customHeight="1" outlineLevel="1" x14ac:dyDescent="0.2">
      <c r="A2366" s="119" t="s">
        <v>140</v>
      </c>
      <c r="B2366" s="120"/>
      <c r="C2366" s="120"/>
      <c r="D2366" s="120"/>
      <c r="E2366" s="120"/>
      <c r="F2366" s="120"/>
      <c r="G2366" s="120"/>
      <c r="H2366" s="120"/>
    </row>
    <row r="2367" spans="1:8" ht="18" customHeight="1" outlineLevel="2" x14ac:dyDescent="0.2">
      <c r="A2367" s="25"/>
      <c r="B2367" s="25" t="s">
        <v>4330</v>
      </c>
      <c r="C2367" s="25" t="s">
        <v>4453</v>
      </c>
      <c r="D2367" s="25" t="s">
        <v>4400</v>
      </c>
      <c r="E2367" s="25"/>
      <c r="F2367" s="25"/>
      <c r="G2367" s="25" t="s">
        <v>4251</v>
      </c>
    </row>
    <row r="2368" spans="1:8" ht="18" customHeight="1" outlineLevel="2" x14ac:dyDescent="0.2">
      <c r="A2368" s="25"/>
      <c r="B2368" s="25" t="s">
        <v>4331</v>
      </c>
      <c r="C2368" s="25" t="s">
        <v>4448</v>
      </c>
      <c r="D2368" s="25" t="s">
        <v>4400</v>
      </c>
      <c r="E2368" s="25"/>
      <c r="F2368" s="25"/>
      <c r="G2368" s="25" t="s">
        <v>4251</v>
      </c>
    </row>
    <row r="2369" spans="1:7" ht="18" customHeight="1" outlineLevel="2" x14ac:dyDescent="0.2">
      <c r="A2369" s="25"/>
      <c r="B2369" s="25" t="s">
        <v>4332</v>
      </c>
      <c r="C2369" s="25" t="s">
        <v>4451</v>
      </c>
      <c r="D2369" s="25" t="s">
        <v>4373</v>
      </c>
      <c r="E2369" s="25"/>
      <c r="F2369" s="25"/>
      <c r="G2369" s="25" t="s">
        <v>4251</v>
      </c>
    </row>
    <row r="2370" spans="1:7" ht="18" customHeight="1" outlineLevel="2" x14ac:dyDescent="0.2">
      <c r="A2370" s="25"/>
      <c r="B2370" s="25" t="s">
        <v>4333</v>
      </c>
      <c r="C2370" s="25" t="s">
        <v>4450</v>
      </c>
      <c r="D2370" s="25" t="s">
        <v>4373</v>
      </c>
      <c r="E2370" s="25"/>
      <c r="F2370" s="25"/>
      <c r="G2370" s="25" t="s">
        <v>4251</v>
      </c>
    </row>
    <row r="2371" spans="1:7" ht="18" customHeight="1" outlineLevel="2" x14ac:dyDescent="0.2">
      <c r="A2371" s="25"/>
      <c r="B2371" s="25" t="s">
        <v>4334</v>
      </c>
      <c r="C2371" s="25" t="s">
        <v>4452</v>
      </c>
      <c r="D2371" s="25" t="s">
        <v>4396</v>
      </c>
      <c r="E2371" s="25"/>
      <c r="F2371" s="25"/>
      <c r="G2371" s="25" t="s">
        <v>4251</v>
      </c>
    </row>
    <row r="2372" spans="1:7" ht="18" customHeight="1" outlineLevel="2" x14ac:dyDescent="0.2">
      <c r="A2372" s="25"/>
      <c r="B2372" s="25" t="s">
        <v>4335</v>
      </c>
      <c r="C2372" s="25" t="s">
        <v>4449</v>
      </c>
      <c r="D2372" s="25" t="s">
        <v>4396</v>
      </c>
      <c r="E2372" s="25"/>
      <c r="F2372" s="25"/>
      <c r="G2372" s="25" t="s">
        <v>4251</v>
      </c>
    </row>
    <row r="2373" spans="1:7" ht="18" customHeight="1" outlineLevel="2" x14ac:dyDescent="0.2">
      <c r="A2373" s="25"/>
      <c r="B2373" s="25" t="s">
        <v>4336</v>
      </c>
      <c r="C2373" s="25" t="s">
        <v>4447</v>
      </c>
      <c r="D2373" s="25" t="s">
        <v>4398</v>
      </c>
      <c r="E2373" s="25"/>
      <c r="F2373" s="25"/>
      <c r="G2373" s="25" t="s">
        <v>4251</v>
      </c>
    </row>
    <row r="2374" spans="1:7" ht="18" customHeight="1" outlineLevel="2" x14ac:dyDescent="0.2">
      <c r="A2374" s="25"/>
      <c r="B2374" s="25" t="s">
        <v>4337</v>
      </c>
      <c r="C2374" s="25" t="s">
        <v>4457</v>
      </c>
      <c r="D2374" s="25" t="s">
        <v>4375</v>
      </c>
      <c r="E2374" s="25"/>
      <c r="F2374" s="25"/>
      <c r="G2374" s="25" t="s">
        <v>4251</v>
      </c>
    </row>
    <row r="2375" spans="1:7" s="25" customFormat="1" ht="18" customHeight="1" outlineLevel="2" x14ac:dyDescent="0.2">
      <c r="B2375" s="25" t="s">
        <v>4338</v>
      </c>
      <c r="C2375" s="25" t="s">
        <v>4465</v>
      </c>
      <c r="D2375" s="25" t="s">
        <v>4369</v>
      </c>
      <c r="G2375" s="25" t="s">
        <v>4251</v>
      </c>
    </row>
    <row r="2376" spans="1:7" s="25" customFormat="1" ht="18" customHeight="1" outlineLevel="2" x14ac:dyDescent="0.2">
      <c r="B2376" s="25" t="s">
        <v>4339</v>
      </c>
      <c r="C2376" s="25" t="s">
        <v>4462</v>
      </c>
      <c r="D2376" s="25" t="s">
        <v>4394</v>
      </c>
      <c r="G2376" s="25" t="s">
        <v>4251</v>
      </c>
    </row>
    <row r="2377" spans="1:7" s="25" customFormat="1" ht="18" customHeight="1" outlineLevel="2" x14ac:dyDescent="0.2">
      <c r="B2377" s="25" t="s">
        <v>4340</v>
      </c>
      <c r="C2377" s="25" t="s">
        <v>4454</v>
      </c>
      <c r="D2377" s="25" t="s">
        <v>4392</v>
      </c>
      <c r="G2377" s="25" t="s">
        <v>4251</v>
      </c>
    </row>
    <row r="2378" spans="1:7" s="25" customFormat="1" ht="18" customHeight="1" outlineLevel="2" x14ac:dyDescent="0.2">
      <c r="G2378" s="25" t="s">
        <v>4251</v>
      </c>
    </row>
    <row r="2379" spans="1:7" s="25" customFormat="1" ht="18" customHeight="1" outlineLevel="2" x14ac:dyDescent="0.2">
      <c r="B2379" s="25" t="s">
        <v>4308</v>
      </c>
      <c r="C2379" s="25" t="s">
        <v>4463</v>
      </c>
      <c r="D2379" s="25" t="s">
        <v>4400</v>
      </c>
      <c r="G2379" s="25" t="s">
        <v>4251</v>
      </c>
    </row>
    <row r="2380" spans="1:7" s="25" customFormat="1" ht="18" customHeight="1" outlineLevel="2" x14ac:dyDescent="0.2">
      <c r="B2380" s="25" t="s">
        <v>4309</v>
      </c>
      <c r="C2380" s="25" t="s">
        <v>4471</v>
      </c>
      <c r="D2380" s="25" t="s">
        <v>4373</v>
      </c>
      <c r="G2380" s="25" t="s">
        <v>4251</v>
      </c>
    </row>
    <row r="2381" spans="1:7" s="25" customFormat="1" ht="18" customHeight="1" outlineLevel="2" x14ac:dyDescent="0.2">
      <c r="B2381" s="25" t="s">
        <v>4310</v>
      </c>
      <c r="C2381" s="25" t="s">
        <v>4456</v>
      </c>
      <c r="D2381" s="25" t="s">
        <v>4373</v>
      </c>
      <c r="G2381" s="25" t="s">
        <v>4251</v>
      </c>
    </row>
    <row r="2382" spans="1:7" s="25" customFormat="1" ht="18" customHeight="1" outlineLevel="2" x14ac:dyDescent="0.2">
      <c r="B2382" s="25" t="s">
        <v>4311</v>
      </c>
      <c r="C2382" s="25" t="s">
        <v>4469</v>
      </c>
      <c r="D2382" s="25" t="s">
        <v>4396</v>
      </c>
      <c r="G2382" s="25" t="s">
        <v>4251</v>
      </c>
    </row>
    <row r="2383" spans="1:7" s="25" customFormat="1" ht="18" customHeight="1" outlineLevel="2" x14ac:dyDescent="0.2">
      <c r="B2383" s="25" t="s">
        <v>4312</v>
      </c>
      <c r="C2383" s="25" t="s">
        <v>4473</v>
      </c>
      <c r="D2383" s="25" t="s">
        <v>4398</v>
      </c>
      <c r="G2383" s="25" t="s">
        <v>4251</v>
      </c>
    </row>
    <row r="2384" spans="1:7" s="25" customFormat="1" ht="18" customHeight="1" outlineLevel="2" x14ac:dyDescent="0.2">
      <c r="B2384" s="25" t="s">
        <v>4313</v>
      </c>
      <c r="C2384" s="25" t="s">
        <v>4467</v>
      </c>
      <c r="D2384" s="25" t="s">
        <v>4398</v>
      </c>
      <c r="G2384" s="25" t="s">
        <v>4251</v>
      </c>
    </row>
    <row r="2385" spans="2:7" s="25" customFormat="1" ht="18" customHeight="1" outlineLevel="2" x14ac:dyDescent="0.2">
      <c r="G2385" s="25" t="s">
        <v>4251</v>
      </c>
    </row>
    <row r="2386" spans="2:7" s="25" customFormat="1" ht="18" customHeight="1" outlineLevel="2" x14ac:dyDescent="0.2">
      <c r="B2386" s="25" t="s">
        <v>4302</v>
      </c>
      <c r="C2386" s="25" t="s">
        <v>4458</v>
      </c>
      <c r="D2386" s="25" t="s">
        <v>4396</v>
      </c>
      <c r="G2386" s="25" t="s">
        <v>4251</v>
      </c>
    </row>
    <row r="2387" spans="2:7" s="25" customFormat="1" ht="18" customHeight="1" outlineLevel="2" x14ac:dyDescent="0.2">
      <c r="B2387" s="25" t="s">
        <v>4303</v>
      </c>
      <c r="C2387" s="25" t="s">
        <v>4466</v>
      </c>
      <c r="D2387" s="25" t="s">
        <v>4398</v>
      </c>
      <c r="G2387" s="25" t="s">
        <v>4251</v>
      </c>
    </row>
    <row r="2388" spans="2:7" s="25" customFormat="1" ht="18" customHeight="1" outlineLevel="2" x14ac:dyDescent="0.2">
      <c r="B2388" s="25" t="s">
        <v>4304</v>
      </c>
      <c r="C2388" s="25" t="s">
        <v>4455</v>
      </c>
      <c r="D2388" s="25" t="s">
        <v>4375</v>
      </c>
      <c r="G2388" s="25" t="s">
        <v>4251</v>
      </c>
    </row>
    <row r="2389" spans="2:7" s="25" customFormat="1" ht="18" customHeight="1" outlineLevel="2" x14ac:dyDescent="0.2">
      <c r="B2389" s="25" t="s">
        <v>4305</v>
      </c>
      <c r="C2389" s="25" t="s">
        <v>4472</v>
      </c>
      <c r="D2389" s="25" t="s">
        <v>4369</v>
      </c>
      <c r="G2389" s="25" t="s">
        <v>4251</v>
      </c>
    </row>
    <row r="2390" spans="2:7" s="25" customFormat="1" ht="18" customHeight="1" outlineLevel="2" x14ac:dyDescent="0.2">
      <c r="B2390" s="25" t="s">
        <v>4306</v>
      </c>
      <c r="C2390" s="25" t="s">
        <v>4464</v>
      </c>
      <c r="D2390" s="25" t="s">
        <v>4394</v>
      </c>
      <c r="G2390" s="25" t="s">
        <v>4251</v>
      </c>
    </row>
    <row r="2391" spans="2:7" s="25" customFormat="1" ht="18" customHeight="1" outlineLevel="2" x14ac:dyDescent="0.2">
      <c r="G2391" s="25" t="s">
        <v>4251</v>
      </c>
    </row>
    <row r="2392" spans="2:7" s="25" customFormat="1" ht="18" customHeight="1" outlineLevel="2" x14ac:dyDescent="0.2">
      <c r="B2392" s="25" t="s">
        <v>4307</v>
      </c>
      <c r="C2392" s="25" t="s">
        <v>4468</v>
      </c>
      <c r="D2392" s="25" t="s">
        <v>4394</v>
      </c>
      <c r="G2392" s="25" t="s">
        <v>4251</v>
      </c>
    </row>
    <row r="2393" spans="2:7" s="25" customFormat="1" ht="18" customHeight="1" outlineLevel="2" x14ac:dyDescent="0.2">
      <c r="G2393" s="25" t="s">
        <v>4251</v>
      </c>
    </row>
    <row r="2394" spans="2:7" s="25" customFormat="1" ht="18" customHeight="1" outlineLevel="2" x14ac:dyDescent="0.2">
      <c r="B2394" s="25" t="s">
        <v>4354</v>
      </c>
      <c r="C2394" s="25" t="s">
        <v>4470</v>
      </c>
      <c r="D2394" s="25" t="s">
        <v>4400</v>
      </c>
      <c r="G2394" s="25" t="s">
        <v>4251</v>
      </c>
    </row>
    <row r="2395" spans="2:7" s="25" customFormat="1" ht="18" customHeight="1" outlineLevel="2" x14ac:dyDescent="0.2">
      <c r="B2395" s="25" t="s">
        <v>4350</v>
      </c>
      <c r="C2395" s="25" t="s">
        <v>4460</v>
      </c>
      <c r="D2395" s="25" t="s">
        <v>4373</v>
      </c>
      <c r="G2395" s="25" t="s">
        <v>4251</v>
      </c>
    </row>
    <row r="2396" spans="2:7" s="25" customFormat="1" ht="18" customHeight="1" outlineLevel="2" x14ac:dyDescent="0.2">
      <c r="B2396" s="25" t="s">
        <v>4346</v>
      </c>
      <c r="C2396" s="25" t="s">
        <v>4459</v>
      </c>
      <c r="D2396" s="25" t="s">
        <v>4396</v>
      </c>
      <c r="G2396" s="25" t="s">
        <v>4251</v>
      </c>
    </row>
    <row r="2397" spans="2:7" s="25" customFormat="1" ht="18" customHeight="1" outlineLevel="2" x14ac:dyDescent="0.2">
      <c r="B2397" s="25" t="s">
        <v>4344</v>
      </c>
      <c r="C2397" s="25" t="s">
        <v>4461</v>
      </c>
      <c r="D2397" s="25" t="s">
        <v>4398</v>
      </c>
      <c r="G2397" s="25" t="s">
        <v>4251</v>
      </c>
    </row>
    <row r="2398" spans="2:7" s="25" customFormat="1" ht="18" customHeight="1" outlineLevel="2" x14ac:dyDescent="0.2">
      <c r="B2398" s="25" t="s">
        <v>4359</v>
      </c>
      <c r="C2398" s="25" t="s">
        <v>4476</v>
      </c>
      <c r="D2398" s="25" t="s">
        <v>4375</v>
      </c>
      <c r="G2398" s="25" t="s">
        <v>4251</v>
      </c>
    </row>
    <row r="2399" spans="2:7" s="25" customFormat="1" ht="18" customHeight="1" outlineLevel="2" x14ac:dyDescent="0.2">
      <c r="B2399" s="25" t="s">
        <v>4343</v>
      </c>
      <c r="C2399" s="25" t="s">
        <v>4475</v>
      </c>
      <c r="D2399" s="25" t="s">
        <v>4369</v>
      </c>
      <c r="G2399" s="25" t="s">
        <v>4251</v>
      </c>
    </row>
    <row r="2400" spans="2:7" s="25" customFormat="1" ht="18" customHeight="1" outlineLevel="2" x14ac:dyDescent="0.2">
      <c r="B2400" s="25" t="s">
        <v>4358</v>
      </c>
      <c r="C2400" s="25" t="s">
        <v>4474</v>
      </c>
      <c r="D2400" s="25" t="s">
        <v>4394</v>
      </c>
      <c r="G2400" s="25" t="s">
        <v>4251</v>
      </c>
    </row>
    <row r="2401" spans="1:35" ht="18" customHeight="1" outlineLevel="2" x14ac:dyDescent="0.2">
      <c r="A2401" s="25"/>
      <c r="B2401" s="25"/>
      <c r="C2401" s="25"/>
      <c r="D2401" s="25"/>
      <c r="E2401" s="25"/>
      <c r="F2401" s="25"/>
      <c r="G2401" s="25"/>
    </row>
    <row r="2402" spans="1:35" ht="18" customHeight="1" outlineLevel="3" x14ac:dyDescent="0.2">
      <c r="A2402" s="115"/>
      <c r="B2402" s="115"/>
      <c r="C2402" s="115"/>
      <c r="D2402" s="115"/>
      <c r="E2402" s="115"/>
      <c r="F2402" s="115"/>
      <c r="G2402" s="115" t="s">
        <v>4251</v>
      </c>
      <c r="H2402" s="115"/>
      <c r="AG2402" s="10"/>
      <c r="AH2402" s="10"/>
      <c r="AI2402" s="10"/>
    </row>
    <row r="2403" spans="1:35" ht="18" customHeight="1" outlineLevel="3" x14ac:dyDescent="0.2">
      <c r="A2403" s="113"/>
      <c r="B2403" s="113"/>
      <c r="C2403" s="113"/>
      <c r="D2403" s="113"/>
      <c r="E2403" s="113"/>
      <c r="F2403" s="113"/>
      <c r="G2403" s="113" t="s">
        <v>4251</v>
      </c>
      <c r="H2403" s="113"/>
      <c r="AG2403" s="10"/>
      <c r="AH2403" s="10"/>
      <c r="AI2403" s="10"/>
    </row>
    <row r="2404" spans="1:35" ht="18" customHeight="1" outlineLevel="3" x14ac:dyDescent="0.2">
      <c r="A2404" s="113"/>
      <c r="B2404" s="113"/>
      <c r="C2404" s="113"/>
      <c r="D2404" s="113"/>
      <c r="E2404" s="113"/>
      <c r="F2404" s="113"/>
      <c r="G2404" s="113" t="s">
        <v>4251</v>
      </c>
      <c r="H2404" s="113"/>
      <c r="AG2404" s="10"/>
      <c r="AH2404" s="10"/>
      <c r="AI2404" s="10"/>
    </row>
    <row r="2405" spans="1:35" ht="18" customHeight="1" outlineLevel="3" x14ac:dyDescent="0.2">
      <c r="A2405" s="113"/>
      <c r="B2405" s="113"/>
      <c r="C2405" s="113"/>
      <c r="D2405" s="113"/>
      <c r="E2405" s="113"/>
      <c r="F2405" s="113"/>
      <c r="G2405" s="113" t="s">
        <v>4251</v>
      </c>
      <c r="H2405" s="113"/>
      <c r="AG2405" s="10"/>
      <c r="AH2405" s="10"/>
      <c r="AI2405" s="10"/>
    </row>
    <row r="2406" spans="1:35" ht="18" customHeight="1" outlineLevel="3" x14ac:dyDescent="0.2">
      <c r="A2406" s="113"/>
      <c r="B2406" s="113"/>
      <c r="C2406" s="113"/>
      <c r="D2406" s="113"/>
      <c r="E2406" s="113"/>
      <c r="F2406" s="113"/>
      <c r="G2406" s="113" t="s">
        <v>4251</v>
      </c>
      <c r="H2406" s="113"/>
      <c r="AG2406" s="10"/>
      <c r="AH2406" s="10"/>
      <c r="AI2406" s="10"/>
    </row>
    <row r="2407" spans="1:35" ht="18" customHeight="1" outlineLevel="3" x14ac:dyDescent="0.2">
      <c r="A2407" s="113"/>
      <c r="B2407" s="113"/>
      <c r="C2407" s="113"/>
      <c r="D2407" s="113"/>
      <c r="E2407" s="113"/>
      <c r="F2407" s="113"/>
      <c r="G2407" s="113" t="s">
        <v>4251</v>
      </c>
      <c r="H2407" s="113"/>
      <c r="AG2407" s="10"/>
      <c r="AH2407" s="10"/>
      <c r="AI2407" s="10"/>
    </row>
    <row r="2408" spans="1:35" ht="18" customHeight="1" outlineLevel="3" x14ac:dyDescent="0.2">
      <c r="A2408" s="113"/>
      <c r="B2408" s="113"/>
      <c r="C2408" s="113"/>
      <c r="D2408" s="113"/>
      <c r="E2408" s="113"/>
      <c r="F2408" s="113"/>
      <c r="G2408" s="113" t="s">
        <v>4251</v>
      </c>
      <c r="H2408" s="113"/>
      <c r="AG2408" s="10"/>
      <c r="AH2408" s="10"/>
      <c r="AI2408" s="10"/>
    </row>
    <row r="2409" spans="1:35" ht="18" customHeight="1" outlineLevel="3" x14ac:dyDescent="0.2">
      <c r="A2409" s="113"/>
      <c r="B2409" s="113"/>
      <c r="C2409" s="113"/>
      <c r="D2409" s="113"/>
      <c r="E2409" s="113"/>
      <c r="F2409" s="113"/>
      <c r="G2409" s="113" t="s">
        <v>4251</v>
      </c>
      <c r="H2409" s="113"/>
      <c r="AG2409" s="10"/>
      <c r="AH2409" s="10"/>
      <c r="AI2409" s="10"/>
    </row>
    <row r="2410" spans="1:35" ht="18" customHeight="1" outlineLevel="3" x14ac:dyDescent="0.2">
      <c r="A2410" s="113"/>
      <c r="B2410" s="113"/>
      <c r="C2410" s="113"/>
      <c r="D2410" s="113"/>
      <c r="E2410" s="113"/>
      <c r="F2410" s="113"/>
      <c r="G2410" s="113" t="s">
        <v>4251</v>
      </c>
      <c r="H2410" s="113"/>
      <c r="AG2410" s="10"/>
      <c r="AH2410" s="10"/>
      <c r="AI2410" s="10"/>
    </row>
    <row r="2411" spans="1:35" ht="18" customHeight="1" outlineLevel="3" x14ac:dyDescent="0.2">
      <c r="A2411" s="113"/>
      <c r="B2411" s="113"/>
      <c r="C2411" s="113"/>
      <c r="D2411" s="113"/>
      <c r="E2411" s="113"/>
      <c r="F2411" s="113"/>
      <c r="G2411" s="113" t="s">
        <v>4251</v>
      </c>
      <c r="H2411" s="113"/>
      <c r="AG2411" s="10"/>
      <c r="AH2411" s="10"/>
      <c r="AI2411" s="10"/>
    </row>
    <row r="2412" spans="1:35" ht="18" customHeight="1" outlineLevel="3" x14ac:dyDescent="0.2">
      <c r="A2412" s="113"/>
      <c r="B2412" s="113"/>
      <c r="C2412" s="113"/>
      <c r="D2412" s="113"/>
      <c r="E2412" s="113"/>
      <c r="F2412" s="113"/>
      <c r="G2412" s="113" t="s">
        <v>4251</v>
      </c>
      <c r="H2412" s="113"/>
      <c r="AG2412" s="10"/>
      <c r="AH2412" s="10"/>
      <c r="AI2412" s="10"/>
    </row>
    <row r="2413" spans="1:35" ht="18" customHeight="1" outlineLevel="3" x14ac:dyDescent="0.2">
      <c r="A2413" s="113"/>
      <c r="B2413" s="113"/>
      <c r="C2413" s="113"/>
      <c r="D2413" s="113"/>
      <c r="E2413" s="113"/>
      <c r="F2413" s="113"/>
      <c r="G2413" s="113" t="s">
        <v>4251</v>
      </c>
      <c r="H2413" s="113"/>
      <c r="AG2413" s="10"/>
      <c r="AH2413" s="10"/>
      <c r="AI2413" s="10"/>
    </row>
    <row r="2414" spans="1:35" ht="18" customHeight="1" outlineLevel="3" x14ac:dyDescent="0.2">
      <c r="A2414" s="113"/>
      <c r="B2414" s="113"/>
      <c r="C2414" s="113"/>
      <c r="D2414" s="113"/>
      <c r="E2414" s="113"/>
      <c r="F2414" s="113"/>
      <c r="G2414" s="113" t="s">
        <v>4251</v>
      </c>
      <c r="H2414" s="113"/>
      <c r="AG2414" s="10"/>
      <c r="AH2414" s="10"/>
      <c r="AI2414" s="10"/>
    </row>
    <row r="2415" spans="1:35" ht="18" customHeight="1" outlineLevel="3" x14ac:dyDescent="0.2">
      <c r="A2415" s="113"/>
      <c r="B2415" s="113"/>
      <c r="C2415" s="113"/>
      <c r="D2415" s="113"/>
      <c r="E2415" s="113"/>
      <c r="F2415" s="113"/>
      <c r="G2415" s="113" t="s">
        <v>4251</v>
      </c>
      <c r="H2415" s="113"/>
      <c r="AG2415" s="10"/>
      <c r="AH2415" s="10"/>
      <c r="AI2415" s="10"/>
    </row>
    <row r="2416" spans="1:35" ht="18" customHeight="1" outlineLevel="3" x14ac:dyDescent="0.2">
      <c r="A2416" s="113"/>
      <c r="B2416" s="113"/>
      <c r="C2416" s="113"/>
      <c r="D2416" s="113"/>
      <c r="E2416" s="113"/>
      <c r="F2416" s="113"/>
      <c r="G2416" s="113" t="s">
        <v>4251</v>
      </c>
      <c r="H2416" s="113"/>
      <c r="AG2416" s="10"/>
      <c r="AH2416" s="10"/>
      <c r="AI2416" s="10"/>
    </row>
    <row r="2417" spans="1:35" ht="18" customHeight="1" outlineLevel="3" x14ac:dyDescent="0.2">
      <c r="A2417" s="113"/>
      <c r="B2417" s="113"/>
      <c r="C2417" s="113"/>
      <c r="D2417" s="113"/>
      <c r="E2417" s="113"/>
      <c r="F2417" s="113"/>
      <c r="G2417" s="113" t="s">
        <v>4251</v>
      </c>
      <c r="H2417" s="113"/>
      <c r="AG2417" s="10"/>
      <c r="AH2417" s="10"/>
      <c r="AI2417" s="10"/>
    </row>
    <row r="2418" spans="1:35" ht="18" customHeight="1" outlineLevel="3" x14ac:dyDescent="0.2">
      <c r="A2418" s="113"/>
      <c r="B2418" s="113"/>
      <c r="C2418" s="113"/>
      <c r="D2418" s="113"/>
      <c r="E2418" s="113"/>
      <c r="F2418" s="113"/>
      <c r="G2418" s="113" t="s">
        <v>4251</v>
      </c>
      <c r="H2418" s="113"/>
      <c r="AG2418" s="10"/>
      <c r="AH2418" s="10"/>
      <c r="AI2418" s="10"/>
    </row>
    <row r="2419" spans="1:35" ht="18" customHeight="1" outlineLevel="3" x14ac:dyDescent="0.2">
      <c r="A2419" s="113"/>
      <c r="B2419" s="113"/>
      <c r="C2419" s="113"/>
      <c r="D2419" s="113"/>
      <c r="E2419" s="113"/>
      <c r="F2419" s="113"/>
      <c r="G2419" s="113" t="s">
        <v>4251</v>
      </c>
      <c r="H2419" s="113"/>
      <c r="AG2419" s="10"/>
      <c r="AH2419" s="10"/>
      <c r="AI2419" s="10"/>
    </row>
    <row r="2420" spans="1:35" ht="18" customHeight="1" outlineLevel="3" x14ac:dyDescent="0.2">
      <c r="A2420" s="113"/>
      <c r="B2420" s="113"/>
      <c r="C2420" s="113"/>
      <c r="D2420" s="113"/>
      <c r="E2420" s="113"/>
      <c r="F2420" s="113"/>
      <c r="G2420" s="113" t="s">
        <v>4251</v>
      </c>
      <c r="H2420" s="113"/>
      <c r="AG2420" s="10"/>
      <c r="AH2420" s="10"/>
      <c r="AI2420" s="10"/>
    </row>
    <row r="2421" spans="1:35" ht="18" customHeight="1" outlineLevel="3" x14ac:dyDescent="0.2">
      <c r="A2421" s="113"/>
      <c r="B2421" s="113"/>
      <c r="C2421" s="113"/>
      <c r="D2421" s="113"/>
      <c r="E2421" s="113"/>
      <c r="F2421" s="113"/>
      <c r="G2421" s="113" t="s">
        <v>4251</v>
      </c>
      <c r="H2421" s="113"/>
      <c r="AG2421" s="10"/>
      <c r="AH2421" s="10"/>
      <c r="AI2421" s="10"/>
    </row>
    <row r="2422" spans="1:35" ht="18" customHeight="1" outlineLevel="3" x14ac:dyDescent="0.2">
      <c r="A2422" s="113"/>
      <c r="B2422" s="113"/>
      <c r="C2422" s="113"/>
      <c r="D2422" s="113"/>
      <c r="E2422" s="113"/>
      <c r="F2422" s="113"/>
      <c r="G2422" s="113" t="s">
        <v>4251</v>
      </c>
      <c r="H2422" s="113"/>
      <c r="AG2422" s="10"/>
      <c r="AH2422" s="10"/>
      <c r="AI2422" s="10"/>
    </row>
    <row r="2423" spans="1:35" ht="18" customHeight="1" outlineLevel="3" x14ac:dyDescent="0.2">
      <c r="A2423" s="113"/>
      <c r="B2423" s="113"/>
      <c r="C2423" s="113"/>
      <c r="D2423" s="113"/>
      <c r="E2423" s="113"/>
      <c r="F2423" s="113"/>
      <c r="G2423" s="113" t="s">
        <v>4251</v>
      </c>
      <c r="H2423" s="113"/>
      <c r="AG2423" s="10"/>
      <c r="AH2423" s="10"/>
      <c r="AI2423" s="10"/>
    </row>
    <row r="2424" spans="1:35" ht="18" customHeight="1" outlineLevel="3" x14ac:dyDescent="0.2">
      <c r="A2424" s="113"/>
      <c r="B2424" s="113"/>
      <c r="C2424" s="113"/>
      <c r="D2424" s="113"/>
      <c r="E2424" s="113"/>
      <c r="F2424" s="113"/>
      <c r="G2424" s="113" t="s">
        <v>4251</v>
      </c>
      <c r="H2424" s="113"/>
      <c r="AG2424" s="10"/>
      <c r="AH2424" s="10"/>
      <c r="AI2424" s="10"/>
    </row>
    <row r="2425" spans="1:35" ht="18" customHeight="1" outlineLevel="3" x14ac:dyDescent="0.2">
      <c r="A2425" s="113"/>
      <c r="B2425" s="113"/>
      <c r="C2425" s="113"/>
      <c r="D2425" s="113"/>
      <c r="E2425" s="113"/>
      <c r="F2425" s="113"/>
      <c r="G2425" s="113" t="s">
        <v>4251</v>
      </c>
      <c r="H2425" s="113"/>
      <c r="AG2425" s="10"/>
      <c r="AH2425" s="10"/>
      <c r="AI2425" s="10"/>
    </row>
    <row r="2426" spans="1:35" ht="18" customHeight="1" outlineLevel="3" x14ac:dyDescent="0.2">
      <c r="A2426" s="113"/>
      <c r="B2426" s="113"/>
      <c r="C2426" s="113"/>
      <c r="D2426" s="113"/>
      <c r="E2426" s="113"/>
      <c r="F2426" s="113"/>
      <c r="G2426" s="113" t="s">
        <v>4251</v>
      </c>
      <c r="H2426" s="113"/>
      <c r="AG2426" s="10"/>
      <c r="AH2426" s="10"/>
      <c r="AI2426" s="10"/>
    </row>
    <row r="2427" spans="1:35" ht="18" customHeight="1" outlineLevel="3" x14ac:dyDescent="0.2">
      <c r="A2427" s="113"/>
      <c r="B2427" s="113"/>
      <c r="C2427" s="113"/>
      <c r="D2427" s="113"/>
      <c r="E2427" s="113"/>
      <c r="F2427" s="113"/>
      <c r="G2427" s="113" t="s">
        <v>4251</v>
      </c>
      <c r="H2427" s="113"/>
      <c r="AG2427" s="10"/>
      <c r="AH2427" s="10"/>
      <c r="AI2427" s="10"/>
    </row>
    <row r="2428" spans="1:35" ht="18" customHeight="1" outlineLevel="3" x14ac:dyDescent="0.2">
      <c r="A2428" s="113"/>
      <c r="B2428" s="113"/>
      <c r="C2428" s="113"/>
      <c r="D2428" s="113"/>
      <c r="E2428" s="113"/>
      <c r="F2428" s="113"/>
      <c r="G2428" s="113" t="s">
        <v>4251</v>
      </c>
      <c r="H2428" s="113"/>
      <c r="AG2428" s="10"/>
      <c r="AH2428" s="10"/>
      <c r="AI2428" s="10"/>
    </row>
    <row r="2429" spans="1:35" ht="18" customHeight="1" outlineLevel="3" x14ac:dyDescent="0.2">
      <c r="A2429" s="113"/>
      <c r="B2429" s="113"/>
      <c r="C2429" s="113"/>
      <c r="D2429" s="113"/>
      <c r="E2429" s="113"/>
      <c r="F2429" s="113"/>
      <c r="G2429" s="113" t="s">
        <v>4251</v>
      </c>
      <c r="H2429" s="113"/>
      <c r="AG2429" s="10"/>
      <c r="AH2429" s="10"/>
      <c r="AI2429" s="10"/>
    </row>
    <row r="2430" spans="1:35" ht="18" customHeight="1" outlineLevel="3" x14ac:dyDescent="0.2">
      <c r="A2430" s="113"/>
      <c r="B2430" s="113"/>
      <c r="C2430" s="113"/>
      <c r="D2430" s="113"/>
      <c r="E2430" s="113"/>
      <c r="F2430" s="113"/>
      <c r="G2430" s="113" t="s">
        <v>4251</v>
      </c>
      <c r="H2430" s="113"/>
      <c r="AG2430" s="10"/>
      <c r="AH2430" s="10"/>
      <c r="AI2430" s="10"/>
    </row>
    <row r="2431" spans="1:35" ht="18" customHeight="1" outlineLevel="3" x14ac:dyDescent="0.2">
      <c r="A2431" s="113"/>
      <c r="B2431" s="113"/>
      <c r="C2431" s="113"/>
      <c r="D2431" s="113"/>
      <c r="E2431" s="113"/>
      <c r="F2431" s="113"/>
      <c r="G2431" s="113" t="s">
        <v>4251</v>
      </c>
      <c r="H2431" s="113"/>
      <c r="AG2431" s="10"/>
      <c r="AH2431" s="10"/>
      <c r="AI2431" s="10"/>
    </row>
    <row r="2432" spans="1:35" ht="18" customHeight="1" outlineLevel="3" x14ac:dyDescent="0.2">
      <c r="A2432" s="113"/>
      <c r="B2432" s="113"/>
      <c r="C2432" s="113"/>
      <c r="D2432" s="113"/>
      <c r="E2432" s="113"/>
      <c r="F2432" s="113"/>
      <c r="G2432" s="113" t="s">
        <v>4251</v>
      </c>
      <c r="H2432" s="113"/>
      <c r="AG2432" s="10"/>
      <c r="AH2432" s="10"/>
      <c r="AI2432" s="10"/>
    </row>
    <row r="2433" spans="1:35" ht="18" customHeight="1" outlineLevel="3" x14ac:dyDescent="0.2">
      <c r="A2433" s="113"/>
      <c r="B2433" s="113"/>
      <c r="C2433" s="113"/>
      <c r="D2433" s="113"/>
      <c r="E2433" s="113"/>
      <c r="F2433" s="113"/>
      <c r="G2433" s="113" t="s">
        <v>4251</v>
      </c>
      <c r="H2433" s="113"/>
      <c r="AG2433" s="10"/>
      <c r="AH2433" s="10"/>
      <c r="AI2433" s="10"/>
    </row>
    <row r="2434" spans="1:35" ht="18" customHeight="1" outlineLevel="3" x14ac:dyDescent="0.2">
      <c r="A2434" s="113"/>
      <c r="B2434" s="113"/>
      <c r="C2434" s="113"/>
      <c r="D2434" s="113"/>
      <c r="E2434" s="113"/>
      <c r="F2434" s="113"/>
      <c r="G2434" s="113" t="s">
        <v>4251</v>
      </c>
      <c r="H2434" s="113"/>
      <c r="AG2434" s="10"/>
      <c r="AH2434" s="10"/>
      <c r="AI2434" s="10"/>
    </row>
    <row r="2435" spans="1:35" ht="18" customHeight="1" outlineLevel="3" x14ac:dyDescent="0.2">
      <c r="A2435" s="113"/>
      <c r="B2435" s="113"/>
      <c r="C2435" s="113"/>
      <c r="D2435" s="113"/>
      <c r="E2435" s="113"/>
      <c r="F2435" s="113"/>
      <c r="G2435" s="113" t="s">
        <v>4251</v>
      </c>
      <c r="H2435" s="113"/>
      <c r="AG2435" s="10"/>
      <c r="AH2435" s="10"/>
      <c r="AI2435" s="10"/>
    </row>
    <row r="2436" spans="1:35" ht="18" customHeight="1" outlineLevel="3" x14ac:dyDescent="0.2">
      <c r="A2436" s="113"/>
      <c r="B2436" s="113"/>
      <c r="C2436" s="113"/>
      <c r="D2436" s="113"/>
      <c r="E2436" s="113"/>
      <c r="F2436" s="113"/>
      <c r="G2436" s="113" t="s">
        <v>4251</v>
      </c>
      <c r="H2436" s="113"/>
      <c r="AG2436" s="10"/>
      <c r="AH2436" s="10"/>
      <c r="AI2436" s="10"/>
    </row>
    <row r="2437" spans="1:35" ht="18" customHeight="1" outlineLevel="3" x14ac:dyDescent="0.2">
      <c r="A2437" s="113"/>
      <c r="B2437" s="113"/>
      <c r="C2437" s="113"/>
      <c r="D2437" s="113"/>
      <c r="E2437" s="113"/>
      <c r="F2437" s="113"/>
      <c r="G2437" s="113" t="s">
        <v>4251</v>
      </c>
      <c r="H2437" s="113"/>
      <c r="AG2437" s="10"/>
      <c r="AH2437" s="10"/>
      <c r="AI2437" s="10"/>
    </row>
    <row r="2438" spans="1:35" ht="18" customHeight="1" outlineLevel="3" x14ac:dyDescent="0.2">
      <c r="A2438" s="113"/>
      <c r="B2438" s="113"/>
      <c r="C2438" s="113"/>
      <c r="D2438" s="113"/>
      <c r="E2438" s="113"/>
      <c r="F2438" s="113"/>
      <c r="G2438" s="113" t="s">
        <v>4251</v>
      </c>
      <c r="H2438" s="113"/>
      <c r="AG2438" s="10"/>
      <c r="AH2438" s="10"/>
      <c r="AI2438" s="10"/>
    </row>
    <row r="2439" spans="1:35" ht="18" customHeight="1" outlineLevel="3" x14ac:dyDescent="0.2">
      <c r="A2439" s="113"/>
      <c r="B2439" s="113"/>
      <c r="C2439" s="113"/>
      <c r="D2439" s="113"/>
      <c r="E2439" s="113"/>
      <c r="F2439" s="113"/>
      <c r="G2439" s="113" t="s">
        <v>4251</v>
      </c>
      <c r="H2439" s="113"/>
      <c r="AG2439" s="10"/>
      <c r="AH2439" s="10"/>
      <c r="AI2439" s="10"/>
    </row>
    <row r="2440" spans="1:35" ht="18" customHeight="1" outlineLevel="3" x14ac:dyDescent="0.2">
      <c r="A2440" s="113"/>
      <c r="B2440" s="113"/>
      <c r="C2440" s="113"/>
      <c r="D2440" s="113"/>
      <c r="E2440" s="113"/>
      <c r="F2440" s="113"/>
      <c r="G2440" s="113" t="s">
        <v>4251</v>
      </c>
      <c r="H2440" s="113"/>
      <c r="AG2440" s="10"/>
      <c r="AH2440" s="10"/>
      <c r="AI2440" s="10"/>
    </row>
    <row r="2441" spans="1:35" ht="18" customHeight="1" outlineLevel="3" x14ac:dyDescent="0.2">
      <c r="A2441" s="113"/>
      <c r="B2441" s="113"/>
      <c r="C2441" s="113"/>
      <c r="D2441" s="113"/>
      <c r="E2441" s="113"/>
      <c r="F2441" s="113"/>
      <c r="G2441" s="113" t="s">
        <v>4251</v>
      </c>
      <c r="H2441" s="113"/>
      <c r="AG2441" s="10"/>
      <c r="AH2441" s="10"/>
      <c r="AI2441" s="10"/>
    </row>
    <row r="2442" spans="1:35" ht="18" customHeight="1" outlineLevel="3" x14ac:dyDescent="0.2">
      <c r="A2442" s="113"/>
      <c r="B2442" s="113"/>
      <c r="C2442" s="113"/>
      <c r="D2442" s="113"/>
      <c r="E2442" s="113"/>
      <c r="F2442" s="113"/>
      <c r="G2442" s="113" t="s">
        <v>4251</v>
      </c>
      <c r="H2442" s="113"/>
      <c r="AG2442" s="10"/>
      <c r="AH2442" s="10"/>
      <c r="AI2442" s="10"/>
    </row>
    <row r="2443" spans="1:35" ht="18" customHeight="1" outlineLevel="3" x14ac:dyDescent="0.2">
      <c r="A2443" s="113"/>
      <c r="B2443" s="113"/>
      <c r="C2443" s="113"/>
      <c r="D2443" s="113"/>
      <c r="E2443" s="113"/>
      <c r="F2443" s="113"/>
      <c r="G2443" s="113" t="s">
        <v>4251</v>
      </c>
      <c r="H2443" s="113"/>
      <c r="AG2443" s="10"/>
      <c r="AH2443" s="10"/>
      <c r="AI2443" s="10"/>
    </row>
    <row r="2444" spans="1:35" ht="18" customHeight="1" outlineLevel="3" x14ac:dyDescent="0.2">
      <c r="A2444" s="113"/>
      <c r="B2444" s="113"/>
      <c r="C2444" s="113"/>
      <c r="D2444" s="113"/>
      <c r="E2444" s="113"/>
      <c r="F2444" s="113"/>
      <c r="G2444" s="113" t="s">
        <v>4251</v>
      </c>
      <c r="H2444" s="113"/>
      <c r="AG2444" s="10"/>
      <c r="AH2444" s="10"/>
      <c r="AI2444" s="10"/>
    </row>
    <row r="2445" spans="1:35" ht="18" customHeight="1" outlineLevel="3" x14ac:dyDescent="0.2">
      <c r="A2445" s="113"/>
      <c r="B2445" s="113"/>
      <c r="C2445" s="113"/>
      <c r="D2445" s="113"/>
      <c r="E2445" s="113"/>
      <c r="F2445" s="113"/>
      <c r="G2445" s="113" t="s">
        <v>4251</v>
      </c>
      <c r="H2445" s="113"/>
      <c r="AG2445" s="10"/>
      <c r="AH2445" s="10"/>
      <c r="AI2445" s="10"/>
    </row>
    <row r="2446" spans="1:35" ht="18" customHeight="1" outlineLevel="3" x14ac:dyDescent="0.2">
      <c r="A2446" s="113"/>
      <c r="B2446" s="113"/>
      <c r="C2446" s="113"/>
      <c r="D2446" s="113"/>
      <c r="E2446" s="113"/>
      <c r="F2446" s="113"/>
      <c r="G2446" s="113" t="s">
        <v>4251</v>
      </c>
      <c r="H2446" s="113"/>
      <c r="AG2446" s="10"/>
      <c r="AH2446" s="10"/>
      <c r="AI2446" s="10"/>
    </row>
    <row r="2447" spans="1:35" ht="18" customHeight="1" outlineLevel="3" x14ac:dyDescent="0.2">
      <c r="A2447" s="113"/>
      <c r="B2447" s="113"/>
      <c r="C2447" s="113"/>
      <c r="D2447" s="113"/>
      <c r="E2447" s="113"/>
      <c r="F2447" s="113"/>
      <c r="G2447" s="113" t="s">
        <v>4251</v>
      </c>
      <c r="H2447" s="113"/>
      <c r="AG2447" s="10"/>
      <c r="AH2447" s="10"/>
      <c r="AI2447" s="10"/>
    </row>
    <row r="2448" spans="1:35" ht="18" customHeight="1" outlineLevel="3" x14ac:dyDescent="0.2">
      <c r="A2448" s="113"/>
      <c r="B2448" s="113"/>
      <c r="C2448" s="113"/>
      <c r="D2448" s="113"/>
      <c r="E2448" s="113"/>
      <c r="F2448" s="113"/>
      <c r="G2448" s="113" t="s">
        <v>4251</v>
      </c>
      <c r="H2448" s="113"/>
      <c r="AG2448" s="10"/>
      <c r="AH2448" s="10"/>
      <c r="AI2448" s="10"/>
    </row>
    <row r="2449" spans="1:35" ht="18" customHeight="1" outlineLevel="3" x14ac:dyDescent="0.2">
      <c r="A2449" s="111"/>
      <c r="B2449" s="111"/>
      <c r="C2449" s="111"/>
      <c r="D2449" s="111"/>
      <c r="E2449" s="111"/>
      <c r="F2449" s="111"/>
      <c r="G2449" s="111" t="s">
        <v>4251</v>
      </c>
      <c r="H2449" s="111"/>
      <c r="AG2449" s="10"/>
      <c r="AH2449" s="10"/>
      <c r="AI2449" s="10"/>
    </row>
    <row r="2450" spans="1:35" ht="18" customHeight="1" outlineLevel="2" x14ac:dyDescent="0.2">
      <c r="A2450" s="114"/>
      <c r="B2450" s="114"/>
      <c r="C2450" s="114"/>
      <c r="D2450" s="114"/>
      <c r="E2450" s="114"/>
      <c r="F2450" s="114"/>
      <c r="G2450" s="114"/>
      <c r="H2450" s="114"/>
      <c r="AG2450" s="10"/>
      <c r="AH2450" s="10"/>
      <c r="AI2450" s="10"/>
    </row>
    <row r="2451" spans="1:35" ht="18" customHeight="1" x14ac:dyDescent="0.2">
      <c r="A2451" s="121" t="s">
        <v>4245</v>
      </c>
      <c r="B2451" s="122"/>
      <c r="C2451" s="122"/>
      <c r="D2451" s="122"/>
      <c r="E2451" s="122"/>
      <c r="F2451" s="122"/>
      <c r="G2451" s="122"/>
      <c r="H2451" s="122"/>
      <c r="I2451" s="116"/>
      <c r="AG2451" s="10"/>
      <c r="AH2451" s="10"/>
      <c r="AI2451" s="10"/>
    </row>
    <row r="2452" spans="1:35" ht="18" customHeight="1" outlineLevel="1" x14ac:dyDescent="0.2">
      <c r="A2452" s="123" t="s">
        <v>4246</v>
      </c>
      <c r="B2452" s="124"/>
      <c r="C2452" s="124"/>
      <c r="D2452" s="124"/>
      <c r="E2452" s="124"/>
      <c r="F2452" s="124"/>
      <c r="G2452" s="124"/>
      <c r="H2452" s="124"/>
      <c r="I2452" s="116"/>
      <c r="AG2452" s="10"/>
      <c r="AH2452" s="10"/>
      <c r="AI2452" s="10"/>
    </row>
    <row r="2453" spans="1:35" ht="18" customHeight="1" outlineLevel="2" x14ac:dyDescent="0.2">
      <c r="A2453" s="113"/>
      <c r="B2453" s="113"/>
      <c r="C2453" s="113"/>
      <c r="D2453" s="113"/>
      <c r="E2453" s="113"/>
      <c r="F2453" s="113"/>
      <c r="G2453" s="113"/>
      <c r="H2453" s="113"/>
      <c r="I2453" s="116"/>
      <c r="AG2453" s="10"/>
      <c r="AH2453" s="10"/>
      <c r="AI2453" s="10"/>
    </row>
    <row r="2454" spans="1:35" ht="18" customHeight="1" outlineLevel="2" x14ac:dyDescent="0.2">
      <c r="A2454" s="113"/>
      <c r="B2454" s="113"/>
      <c r="C2454" s="113"/>
      <c r="D2454" s="113"/>
      <c r="E2454" s="113"/>
      <c r="F2454" s="113"/>
      <c r="G2454" s="113"/>
      <c r="H2454" s="113"/>
      <c r="I2454" s="116"/>
      <c r="AG2454" s="10"/>
      <c r="AH2454" s="10"/>
      <c r="AI2454" s="10"/>
    </row>
    <row r="2455" spans="1:35" ht="18" customHeight="1" outlineLevel="2" x14ac:dyDescent="0.2">
      <c r="A2455" s="113"/>
      <c r="B2455" s="113"/>
      <c r="C2455" s="113"/>
      <c r="D2455" s="113"/>
      <c r="E2455" s="113"/>
      <c r="F2455" s="113"/>
      <c r="G2455" s="113"/>
      <c r="H2455" s="113"/>
      <c r="I2455" s="116"/>
      <c r="AG2455" s="10"/>
      <c r="AH2455" s="10"/>
      <c r="AI2455" s="10"/>
    </row>
    <row r="2456" spans="1:35" ht="18" customHeight="1" outlineLevel="2" x14ac:dyDescent="0.2">
      <c r="A2456" s="113"/>
      <c r="B2456" s="113"/>
      <c r="C2456" s="113"/>
      <c r="D2456" s="113"/>
      <c r="E2456" s="113"/>
      <c r="F2456" s="113"/>
      <c r="G2456" s="113"/>
      <c r="H2456" s="113"/>
      <c r="I2456" s="116"/>
      <c r="AG2456" s="10"/>
      <c r="AH2456" s="10"/>
      <c r="AI2456" s="10"/>
    </row>
    <row r="2457" spans="1:35" ht="18" customHeight="1" outlineLevel="2" x14ac:dyDescent="0.2">
      <c r="A2457" s="113"/>
      <c r="B2457" s="113"/>
      <c r="C2457" s="113"/>
      <c r="D2457" s="113"/>
      <c r="E2457" s="113"/>
      <c r="F2457" s="113"/>
      <c r="G2457" s="113"/>
      <c r="H2457" s="113"/>
      <c r="I2457" s="116"/>
    </row>
    <row r="2458" spans="1:35" ht="18" customHeight="1" outlineLevel="2" x14ac:dyDescent="0.2">
      <c r="A2458" s="113"/>
      <c r="B2458" s="113"/>
      <c r="C2458" s="113"/>
      <c r="D2458" s="113"/>
      <c r="E2458" s="113"/>
      <c r="F2458" s="113"/>
      <c r="G2458" s="113"/>
      <c r="H2458" s="113"/>
      <c r="I2458" s="116"/>
    </row>
    <row r="2459" spans="1:35" ht="18" customHeight="1" outlineLevel="2" x14ac:dyDescent="0.2">
      <c r="A2459" s="113"/>
      <c r="B2459" s="113"/>
      <c r="C2459" s="113"/>
      <c r="D2459" s="113"/>
      <c r="E2459" s="113"/>
      <c r="F2459" s="113"/>
      <c r="G2459" s="113"/>
      <c r="H2459" s="113"/>
      <c r="I2459" s="116"/>
    </row>
    <row r="2460" spans="1:35" ht="18" customHeight="1" outlineLevel="2" x14ac:dyDescent="0.2">
      <c r="A2460" s="113"/>
      <c r="B2460" s="113"/>
      <c r="C2460" s="113"/>
      <c r="D2460" s="113"/>
      <c r="E2460" s="113"/>
      <c r="F2460" s="113"/>
      <c r="G2460" s="113"/>
      <c r="H2460" s="113"/>
      <c r="I2460" s="116"/>
    </row>
    <row r="2461" spans="1:35" ht="18" customHeight="1" outlineLevel="2" x14ac:dyDescent="0.2">
      <c r="A2461" s="113"/>
      <c r="B2461" s="113"/>
      <c r="C2461" s="113"/>
      <c r="D2461" s="113"/>
      <c r="E2461" s="113"/>
      <c r="F2461" s="113"/>
      <c r="G2461" s="113"/>
      <c r="H2461" s="113"/>
      <c r="I2461" s="116"/>
    </row>
    <row r="2462" spans="1:35" ht="18" customHeight="1" outlineLevel="2" x14ac:dyDescent="0.2">
      <c r="A2462" s="113"/>
      <c r="B2462" s="113"/>
      <c r="C2462" s="113"/>
      <c r="D2462" s="113"/>
      <c r="E2462" s="113"/>
      <c r="F2462" s="113"/>
      <c r="G2462" s="113"/>
      <c r="H2462" s="113"/>
      <c r="I2462" s="116"/>
    </row>
    <row r="2463" spans="1:35" ht="18" customHeight="1" outlineLevel="1" x14ac:dyDescent="0.2">
      <c r="A2463" s="123" t="s">
        <v>4247</v>
      </c>
      <c r="B2463" s="124"/>
      <c r="C2463" s="124"/>
      <c r="D2463" s="124"/>
      <c r="E2463" s="124"/>
      <c r="F2463" s="124"/>
      <c r="G2463" s="124"/>
      <c r="H2463" s="124"/>
      <c r="I2463" s="116"/>
    </row>
    <row r="2464" spans="1:35" ht="18" customHeight="1" outlineLevel="2" x14ac:dyDescent="0.2">
      <c r="A2464" s="113"/>
      <c r="B2464" s="113"/>
      <c r="C2464" s="113"/>
      <c r="D2464" s="113"/>
      <c r="E2464" s="113"/>
      <c r="F2464" s="113"/>
      <c r="G2464" s="113"/>
      <c r="H2464" s="113"/>
      <c r="I2464" s="116"/>
    </row>
    <row r="2465" spans="1:36" ht="18" customHeight="1" outlineLevel="2" x14ac:dyDescent="0.2">
      <c r="A2465" s="113"/>
      <c r="B2465" s="113"/>
      <c r="C2465" s="113"/>
      <c r="D2465" s="113"/>
      <c r="E2465" s="113"/>
      <c r="F2465" s="113"/>
      <c r="G2465" s="113"/>
      <c r="H2465" s="113"/>
      <c r="I2465" s="116"/>
    </row>
    <row r="2466" spans="1:36" ht="18" customHeight="1" outlineLevel="2" x14ac:dyDescent="0.2">
      <c r="A2466" s="113"/>
      <c r="B2466" s="113"/>
      <c r="C2466" s="113"/>
      <c r="D2466" s="113"/>
      <c r="E2466" s="113"/>
      <c r="F2466" s="113"/>
      <c r="G2466" s="113"/>
      <c r="H2466" s="113"/>
      <c r="I2466" s="116"/>
    </row>
    <row r="2467" spans="1:36" ht="18" customHeight="1" outlineLevel="2" x14ac:dyDescent="0.2">
      <c r="A2467" s="113"/>
      <c r="B2467" s="113"/>
      <c r="C2467" s="113"/>
      <c r="D2467" s="113"/>
      <c r="E2467" s="113"/>
      <c r="F2467" s="113"/>
      <c r="G2467" s="113"/>
      <c r="H2467" s="113"/>
      <c r="I2467" s="116"/>
    </row>
    <row r="2468" spans="1:36" ht="18" customHeight="1" outlineLevel="2" x14ac:dyDescent="0.2">
      <c r="A2468" s="113"/>
      <c r="B2468" s="113"/>
      <c r="C2468" s="113"/>
      <c r="D2468" s="113"/>
      <c r="E2468" s="113"/>
      <c r="F2468" s="113"/>
      <c r="G2468" s="113"/>
      <c r="H2468" s="113"/>
      <c r="I2468" s="116"/>
    </row>
    <row r="2469" spans="1:36" ht="18" customHeight="1" outlineLevel="2" x14ac:dyDescent="0.2">
      <c r="A2469" s="113"/>
      <c r="B2469" s="113"/>
      <c r="C2469" s="113"/>
      <c r="D2469" s="113"/>
      <c r="E2469" s="113"/>
      <c r="F2469" s="113"/>
      <c r="G2469" s="113"/>
      <c r="H2469" s="113"/>
      <c r="I2469" s="116"/>
    </row>
    <row r="2470" spans="1:36" ht="18" customHeight="1" outlineLevel="2" x14ac:dyDescent="0.2">
      <c r="A2470" s="113"/>
      <c r="B2470" s="113"/>
      <c r="C2470" s="113"/>
      <c r="D2470" s="113"/>
      <c r="E2470" s="113"/>
      <c r="F2470" s="113"/>
      <c r="G2470" s="113"/>
      <c r="H2470" s="113"/>
      <c r="I2470" s="116"/>
    </row>
    <row r="2471" spans="1:36" ht="18" customHeight="1" outlineLevel="2" x14ac:dyDescent="0.2">
      <c r="A2471" s="113"/>
      <c r="B2471" s="113"/>
      <c r="C2471" s="113"/>
      <c r="D2471" s="113"/>
      <c r="E2471" s="113"/>
      <c r="F2471" s="113"/>
      <c r="G2471" s="113"/>
      <c r="H2471" s="113"/>
      <c r="I2471" s="116"/>
    </row>
    <row r="2472" spans="1:36" s="25" customFormat="1" ht="18" customHeight="1" outlineLevel="2" x14ac:dyDescent="0.2">
      <c r="A2472" s="113"/>
      <c r="B2472" s="113"/>
      <c r="C2472" s="113"/>
      <c r="D2472" s="113"/>
      <c r="E2472" s="113"/>
      <c r="F2472" s="113"/>
      <c r="G2472" s="113"/>
      <c r="H2472" s="113"/>
      <c r="I2472" s="116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9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9"/>
      <c r="AG2472" s="9"/>
      <c r="AH2472" s="9"/>
      <c r="AI2472" s="9"/>
      <c r="AJ2472" s="9"/>
    </row>
    <row r="2473" spans="1:36" s="25" customFormat="1" ht="18" customHeight="1" outlineLevel="2" x14ac:dyDescent="0.2">
      <c r="A2473" s="113"/>
      <c r="B2473" s="113"/>
      <c r="C2473" s="113"/>
      <c r="D2473" s="113"/>
      <c r="E2473" s="113"/>
      <c r="F2473" s="113"/>
      <c r="G2473" s="113"/>
      <c r="H2473" s="113"/>
      <c r="I2473" s="116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9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9"/>
      <c r="AG2473" s="9"/>
      <c r="AH2473" s="9"/>
      <c r="AI2473" s="9"/>
      <c r="AJ2473" s="9"/>
    </row>
    <row r="2474" spans="1:36" s="25" customFormat="1" ht="18" customHeight="1" outlineLevel="1" x14ac:dyDescent="0.2">
      <c r="A2474" s="123" t="s">
        <v>4248</v>
      </c>
      <c r="B2474" s="124"/>
      <c r="C2474" s="124"/>
      <c r="D2474" s="124"/>
      <c r="E2474" s="124"/>
      <c r="F2474" s="124"/>
      <c r="G2474" s="124"/>
      <c r="H2474" s="124"/>
      <c r="I2474" s="116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9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9"/>
      <c r="AG2474" s="9"/>
      <c r="AH2474" s="9"/>
      <c r="AI2474" s="9"/>
      <c r="AJ2474" s="9"/>
    </row>
    <row r="2475" spans="1:36" s="25" customFormat="1" ht="18" customHeight="1" outlineLevel="2" x14ac:dyDescent="0.2">
      <c r="A2475" s="113"/>
      <c r="B2475" s="113"/>
      <c r="C2475" s="113"/>
      <c r="D2475" s="113"/>
      <c r="E2475" s="113"/>
      <c r="F2475" s="113"/>
      <c r="G2475" s="113"/>
      <c r="H2475" s="113"/>
      <c r="I2475" s="116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9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9"/>
      <c r="AG2475" s="9"/>
      <c r="AH2475" s="9"/>
      <c r="AI2475" s="9"/>
      <c r="AJ2475" s="9"/>
    </row>
    <row r="2476" spans="1:36" s="25" customFormat="1" ht="18" customHeight="1" outlineLevel="2" x14ac:dyDescent="0.2">
      <c r="A2476" s="113"/>
      <c r="B2476" s="113"/>
      <c r="C2476" s="113"/>
      <c r="D2476" s="113"/>
      <c r="E2476" s="113"/>
      <c r="F2476" s="113"/>
      <c r="G2476" s="113"/>
      <c r="H2476" s="113"/>
      <c r="I2476" s="116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9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9"/>
      <c r="AG2476" s="9"/>
      <c r="AH2476" s="9"/>
      <c r="AI2476" s="9"/>
      <c r="AJ2476" s="9"/>
    </row>
    <row r="2477" spans="1:36" s="25" customFormat="1" ht="18" customHeight="1" outlineLevel="2" x14ac:dyDescent="0.2">
      <c r="A2477" s="113"/>
      <c r="B2477" s="113"/>
      <c r="C2477" s="113"/>
      <c r="D2477" s="113"/>
      <c r="E2477" s="113"/>
      <c r="F2477" s="113"/>
      <c r="G2477" s="113"/>
      <c r="H2477" s="113"/>
      <c r="I2477" s="116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9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9"/>
      <c r="AG2477" s="9"/>
      <c r="AH2477" s="9"/>
      <c r="AI2477" s="9"/>
      <c r="AJ2477" s="9"/>
    </row>
    <row r="2478" spans="1:36" s="25" customFormat="1" ht="18" customHeight="1" outlineLevel="2" x14ac:dyDescent="0.2">
      <c r="A2478" s="113"/>
      <c r="B2478" s="113"/>
      <c r="C2478" s="113"/>
      <c r="D2478" s="113"/>
      <c r="E2478" s="113"/>
      <c r="F2478" s="113"/>
      <c r="G2478" s="113"/>
      <c r="H2478" s="113"/>
      <c r="I2478" s="116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9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9"/>
      <c r="AG2478" s="9"/>
      <c r="AH2478" s="9"/>
      <c r="AI2478" s="9"/>
      <c r="AJ2478" s="9"/>
    </row>
    <row r="2479" spans="1:36" s="25" customFormat="1" ht="18" customHeight="1" outlineLevel="2" x14ac:dyDescent="0.2">
      <c r="A2479" s="113"/>
      <c r="B2479" s="113"/>
      <c r="C2479" s="113"/>
      <c r="D2479" s="113"/>
      <c r="E2479" s="113"/>
      <c r="F2479" s="113"/>
      <c r="G2479" s="113"/>
      <c r="H2479" s="113"/>
      <c r="I2479" s="116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9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9"/>
      <c r="AG2479" s="9"/>
      <c r="AH2479" s="9"/>
      <c r="AI2479" s="9"/>
      <c r="AJ2479" s="9"/>
    </row>
    <row r="2480" spans="1:36" s="25" customFormat="1" ht="18" customHeight="1" outlineLevel="2" x14ac:dyDescent="0.2">
      <c r="A2480" s="113"/>
      <c r="B2480" s="113"/>
      <c r="C2480" s="113"/>
      <c r="D2480" s="113"/>
      <c r="E2480" s="113"/>
      <c r="F2480" s="113"/>
      <c r="G2480" s="113"/>
      <c r="H2480" s="113"/>
      <c r="I2480" s="116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9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9"/>
      <c r="AG2480" s="9"/>
      <c r="AH2480" s="9"/>
      <c r="AI2480" s="9"/>
      <c r="AJ2480" s="9"/>
    </row>
    <row r="2481" spans="1:36" s="25" customFormat="1" ht="18" customHeight="1" outlineLevel="2" x14ac:dyDescent="0.2">
      <c r="A2481" s="113"/>
      <c r="B2481" s="113"/>
      <c r="C2481" s="113"/>
      <c r="D2481" s="113"/>
      <c r="E2481" s="113"/>
      <c r="F2481" s="113"/>
      <c r="G2481" s="113"/>
      <c r="H2481" s="113"/>
      <c r="I2481" s="116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9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9"/>
      <c r="AG2481" s="9"/>
      <c r="AH2481" s="9"/>
      <c r="AI2481" s="9"/>
      <c r="AJ2481" s="9"/>
    </row>
    <row r="2482" spans="1:36" s="25" customFormat="1" ht="18" customHeight="1" outlineLevel="2" x14ac:dyDescent="0.2">
      <c r="A2482" s="113"/>
      <c r="B2482" s="113"/>
      <c r="C2482" s="113"/>
      <c r="D2482" s="113"/>
      <c r="E2482" s="113"/>
      <c r="F2482" s="113"/>
      <c r="G2482" s="113"/>
      <c r="H2482" s="113"/>
      <c r="I2482" s="116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9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9"/>
      <c r="AG2482" s="9"/>
      <c r="AH2482" s="9"/>
      <c r="AI2482" s="9"/>
      <c r="AJ2482" s="9"/>
    </row>
    <row r="2483" spans="1:36" s="25" customFormat="1" ht="18" customHeight="1" outlineLevel="2" x14ac:dyDescent="0.2">
      <c r="A2483" s="113"/>
      <c r="B2483" s="113"/>
      <c r="C2483" s="113"/>
      <c r="D2483" s="113"/>
      <c r="E2483" s="113"/>
      <c r="F2483" s="113"/>
      <c r="G2483" s="113"/>
      <c r="H2483" s="113"/>
      <c r="I2483" s="116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9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9"/>
      <c r="AG2483" s="9"/>
      <c r="AH2483" s="9"/>
      <c r="AI2483" s="9"/>
      <c r="AJ2483" s="9"/>
    </row>
    <row r="2484" spans="1:36" s="25" customFormat="1" ht="18" customHeight="1" outlineLevel="2" x14ac:dyDescent="0.2">
      <c r="A2484" s="113"/>
      <c r="B2484" s="113"/>
      <c r="C2484" s="113"/>
      <c r="D2484" s="113"/>
      <c r="E2484" s="113"/>
      <c r="F2484" s="113"/>
      <c r="G2484" s="113"/>
      <c r="H2484" s="113"/>
      <c r="I2484" s="116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9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9"/>
      <c r="AG2484" s="9"/>
      <c r="AH2484" s="9"/>
      <c r="AI2484" s="9"/>
      <c r="AJ2484" s="9"/>
    </row>
    <row r="2485" spans="1:36" s="25" customFormat="1" ht="18" customHeight="1" outlineLevel="1" x14ac:dyDescent="0.2">
      <c r="A2485" s="123" t="s">
        <v>4249</v>
      </c>
      <c r="B2485" s="124"/>
      <c r="C2485" s="124"/>
      <c r="D2485" s="124"/>
      <c r="E2485" s="124"/>
      <c r="F2485" s="124"/>
      <c r="G2485" s="124"/>
      <c r="H2485" s="124"/>
      <c r="I2485" s="116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9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9"/>
      <c r="AG2485" s="9"/>
      <c r="AH2485" s="9"/>
      <c r="AI2485" s="9"/>
      <c r="AJ2485" s="9"/>
    </row>
    <row r="2486" spans="1:36" s="25" customFormat="1" ht="18" customHeight="1" outlineLevel="2" x14ac:dyDescent="0.2">
      <c r="A2486" s="113"/>
      <c r="B2486" s="113"/>
      <c r="C2486" s="113"/>
      <c r="D2486" s="113"/>
      <c r="E2486" s="113"/>
      <c r="F2486" s="113"/>
      <c r="G2486" s="113"/>
      <c r="H2486" s="113"/>
      <c r="I2486" s="116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9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9"/>
      <c r="AG2486" s="9"/>
      <c r="AH2486" s="9"/>
      <c r="AI2486" s="9"/>
      <c r="AJ2486" s="9"/>
    </row>
    <row r="2487" spans="1:36" s="25" customFormat="1" ht="18" customHeight="1" outlineLevel="2" x14ac:dyDescent="0.2">
      <c r="A2487" s="113"/>
      <c r="B2487" s="113"/>
      <c r="C2487" s="113"/>
      <c r="D2487" s="113"/>
      <c r="E2487" s="113"/>
      <c r="F2487" s="113"/>
      <c r="G2487" s="113"/>
      <c r="H2487" s="113"/>
      <c r="I2487" s="116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9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9"/>
      <c r="AG2487" s="9"/>
      <c r="AH2487" s="9"/>
      <c r="AI2487" s="9"/>
      <c r="AJ2487" s="9"/>
    </row>
    <row r="2488" spans="1:36" s="25" customFormat="1" ht="18" customHeight="1" outlineLevel="2" x14ac:dyDescent="0.2">
      <c r="A2488" s="113"/>
      <c r="B2488" s="113"/>
      <c r="C2488" s="113"/>
      <c r="D2488" s="113"/>
      <c r="E2488" s="113"/>
      <c r="F2488" s="113"/>
      <c r="G2488" s="113"/>
      <c r="H2488" s="113"/>
      <c r="I2488" s="116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9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9"/>
      <c r="AG2488" s="9"/>
      <c r="AH2488" s="9"/>
      <c r="AI2488" s="9"/>
      <c r="AJ2488" s="9"/>
    </row>
    <row r="2489" spans="1:36" s="25" customFormat="1" ht="18" customHeight="1" outlineLevel="2" x14ac:dyDescent="0.2">
      <c r="A2489" s="113"/>
      <c r="B2489" s="113"/>
      <c r="C2489" s="113"/>
      <c r="D2489" s="113"/>
      <c r="E2489" s="113"/>
      <c r="F2489" s="113"/>
      <c r="G2489" s="113"/>
      <c r="H2489" s="113"/>
      <c r="I2489" s="116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9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9"/>
      <c r="AG2489" s="9"/>
      <c r="AH2489" s="9"/>
      <c r="AI2489" s="9"/>
      <c r="AJ2489" s="9"/>
    </row>
    <row r="2490" spans="1:36" s="25" customFormat="1" ht="18" customHeight="1" outlineLevel="2" x14ac:dyDescent="0.2">
      <c r="A2490" s="113"/>
      <c r="B2490" s="113"/>
      <c r="C2490" s="113"/>
      <c r="D2490" s="113"/>
      <c r="E2490" s="113"/>
      <c r="F2490" s="113"/>
      <c r="G2490" s="113"/>
      <c r="H2490" s="113"/>
      <c r="I2490" s="116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9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9"/>
      <c r="AG2490" s="9"/>
      <c r="AH2490" s="9"/>
      <c r="AI2490" s="9"/>
      <c r="AJ2490" s="9"/>
    </row>
    <row r="2491" spans="1:36" s="25" customFormat="1" ht="18" customHeight="1" outlineLevel="2" x14ac:dyDescent="0.2">
      <c r="A2491" s="113"/>
      <c r="B2491" s="113"/>
      <c r="C2491" s="113"/>
      <c r="D2491" s="113"/>
      <c r="E2491" s="113"/>
      <c r="F2491" s="113"/>
      <c r="G2491" s="113"/>
      <c r="H2491" s="113"/>
      <c r="I2491" s="116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9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9"/>
      <c r="AG2491" s="9"/>
      <c r="AH2491" s="9"/>
      <c r="AI2491" s="9"/>
      <c r="AJ2491" s="9"/>
    </row>
    <row r="2492" spans="1:36" s="25" customFormat="1" ht="18" customHeight="1" outlineLevel="2" x14ac:dyDescent="0.2">
      <c r="A2492" s="113"/>
      <c r="B2492" s="113"/>
      <c r="C2492" s="113"/>
      <c r="D2492" s="113"/>
      <c r="E2492" s="113"/>
      <c r="F2492" s="113"/>
      <c r="G2492" s="113"/>
      <c r="H2492" s="113"/>
      <c r="I2492" s="116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9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9"/>
      <c r="AG2492" s="9"/>
      <c r="AH2492" s="9"/>
      <c r="AI2492" s="9"/>
      <c r="AJ2492" s="9"/>
    </row>
    <row r="2493" spans="1:36" s="25" customFormat="1" ht="18" customHeight="1" outlineLevel="2" x14ac:dyDescent="0.2">
      <c r="A2493" s="113"/>
      <c r="B2493" s="113"/>
      <c r="C2493" s="113"/>
      <c r="D2493" s="113"/>
      <c r="E2493" s="113"/>
      <c r="F2493" s="113"/>
      <c r="G2493" s="113"/>
      <c r="H2493" s="113"/>
      <c r="I2493" s="116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9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9"/>
      <c r="AG2493" s="9"/>
      <c r="AH2493" s="9"/>
      <c r="AI2493" s="9"/>
      <c r="AJ2493" s="9"/>
    </row>
    <row r="2494" spans="1:36" s="25" customFormat="1" ht="18" customHeight="1" outlineLevel="2" x14ac:dyDescent="0.2">
      <c r="A2494" s="113"/>
      <c r="B2494" s="113"/>
      <c r="C2494" s="113"/>
      <c r="D2494" s="113"/>
      <c r="E2494" s="113"/>
      <c r="F2494" s="113"/>
      <c r="G2494" s="113"/>
      <c r="H2494" s="113"/>
      <c r="I2494" s="116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9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9"/>
      <c r="AG2494" s="9"/>
      <c r="AH2494" s="9"/>
      <c r="AI2494" s="9"/>
      <c r="AJ2494" s="9"/>
    </row>
    <row r="2495" spans="1:36" s="25" customFormat="1" ht="18" customHeight="1" outlineLevel="2" x14ac:dyDescent="0.2">
      <c r="A2495" s="113"/>
      <c r="B2495" s="113"/>
      <c r="C2495" s="113"/>
      <c r="D2495" s="113"/>
      <c r="E2495" s="113"/>
      <c r="F2495" s="113"/>
      <c r="G2495" s="113"/>
      <c r="H2495" s="113"/>
      <c r="I2495" s="116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9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9"/>
      <c r="AG2495" s="9"/>
      <c r="AH2495" s="9"/>
      <c r="AI2495" s="9"/>
      <c r="AJ2495" s="9"/>
    </row>
    <row r="2496" spans="1:36" s="25" customFormat="1" ht="18" customHeight="1" outlineLevel="1" x14ac:dyDescent="0.2">
      <c r="A2496" s="123" t="s">
        <v>46</v>
      </c>
      <c r="B2496" s="124"/>
      <c r="C2496" s="124"/>
      <c r="D2496" s="124"/>
      <c r="E2496" s="124"/>
      <c r="F2496" s="124"/>
      <c r="G2496" s="124"/>
      <c r="H2496" s="124"/>
      <c r="I2496" s="116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9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9"/>
      <c r="AG2496" s="9"/>
      <c r="AH2496" s="9"/>
      <c r="AI2496" s="9"/>
      <c r="AJ2496" s="9"/>
    </row>
    <row r="2497" spans="1:36" s="25" customFormat="1" ht="18" customHeight="1" outlineLevel="2" x14ac:dyDescent="0.2">
      <c r="A2497" s="113"/>
      <c r="B2497" s="113"/>
      <c r="C2497" s="113"/>
      <c r="D2497" s="113"/>
      <c r="E2497" s="113"/>
      <c r="F2497" s="113"/>
      <c r="G2497" s="113"/>
      <c r="H2497" s="113"/>
      <c r="I2497" s="116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9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9"/>
      <c r="AG2497" s="9"/>
      <c r="AH2497" s="9"/>
      <c r="AI2497" s="9"/>
      <c r="AJ2497" s="9"/>
    </row>
    <row r="2498" spans="1:36" s="25" customFormat="1" ht="18" customHeight="1" outlineLevel="2" x14ac:dyDescent="0.2">
      <c r="A2498" s="113"/>
      <c r="B2498" s="113"/>
      <c r="C2498" s="113"/>
      <c r="D2498" s="113"/>
      <c r="E2498" s="113"/>
      <c r="F2498" s="113"/>
      <c r="G2498" s="113"/>
      <c r="H2498" s="113"/>
      <c r="I2498" s="116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9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9"/>
      <c r="AG2498" s="9"/>
      <c r="AH2498" s="9"/>
      <c r="AI2498" s="9"/>
      <c r="AJ2498" s="9"/>
    </row>
    <row r="2499" spans="1:36" s="25" customFormat="1" ht="18" customHeight="1" outlineLevel="2" x14ac:dyDescent="0.2">
      <c r="A2499" s="113"/>
      <c r="B2499" s="113"/>
      <c r="C2499" s="113"/>
      <c r="D2499" s="113"/>
      <c r="E2499" s="113"/>
      <c r="F2499" s="113"/>
      <c r="G2499" s="113"/>
      <c r="H2499" s="113"/>
      <c r="I2499" s="116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9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9"/>
      <c r="AG2499" s="9"/>
      <c r="AH2499" s="9"/>
      <c r="AI2499" s="9"/>
      <c r="AJ2499" s="9"/>
    </row>
    <row r="2500" spans="1:36" s="25" customFormat="1" ht="18" customHeight="1" outlineLevel="2" x14ac:dyDescent="0.2">
      <c r="A2500" s="113"/>
      <c r="B2500" s="113"/>
      <c r="C2500" s="113"/>
      <c r="D2500" s="113"/>
      <c r="E2500" s="113"/>
      <c r="F2500" s="113"/>
      <c r="G2500" s="113"/>
      <c r="H2500" s="113"/>
      <c r="I2500" s="116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9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9"/>
      <c r="AG2500" s="9"/>
      <c r="AH2500" s="9"/>
      <c r="AI2500" s="9"/>
      <c r="AJ2500" s="9"/>
    </row>
    <row r="2501" spans="1:36" s="25" customFormat="1" ht="18" customHeight="1" outlineLevel="2" x14ac:dyDescent="0.2">
      <c r="A2501" s="113"/>
      <c r="B2501" s="113"/>
      <c r="C2501" s="113"/>
      <c r="D2501" s="113"/>
      <c r="E2501" s="113"/>
      <c r="F2501" s="113"/>
      <c r="G2501" s="113"/>
      <c r="H2501" s="113"/>
      <c r="I2501" s="116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9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9"/>
      <c r="AG2501" s="9"/>
      <c r="AH2501" s="9"/>
      <c r="AI2501" s="9"/>
      <c r="AJ2501" s="9"/>
    </row>
    <row r="2502" spans="1:36" s="25" customFormat="1" ht="18" customHeight="1" outlineLevel="2" x14ac:dyDescent="0.2">
      <c r="A2502" s="113"/>
      <c r="B2502" s="113"/>
      <c r="C2502" s="113"/>
      <c r="D2502" s="113"/>
      <c r="E2502" s="113"/>
      <c r="F2502" s="113"/>
      <c r="G2502" s="113"/>
      <c r="H2502" s="113"/>
      <c r="I2502" s="116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9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9"/>
      <c r="AG2502" s="9"/>
      <c r="AH2502" s="9"/>
      <c r="AI2502" s="9"/>
      <c r="AJ2502" s="9"/>
    </row>
    <row r="2503" spans="1:36" s="25" customFormat="1" ht="18" customHeight="1" outlineLevel="2" x14ac:dyDescent="0.2">
      <c r="A2503" s="113"/>
      <c r="B2503" s="113"/>
      <c r="C2503" s="113"/>
      <c r="D2503" s="113"/>
      <c r="E2503" s="113"/>
      <c r="F2503" s="113"/>
      <c r="G2503" s="113"/>
      <c r="H2503" s="113"/>
      <c r="I2503" s="116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9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9"/>
      <c r="AG2503" s="9"/>
      <c r="AH2503" s="9"/>
      <c r="AI2503" s="9"/>
      <c r="AJ2503" s="9"/>
    </row>
    <row r="2504" spans="1:36" s="25" customFormat="1" ht="18" customHeight="1" outlineLevel="2" x14ac:dyDescent="0.2">
      <c r="A2504" s="113"/>
      <c r="B2504" s="113"/>
      <c r="C2504" s="113"/>
      <c r="D2504" s="113"/>
      <c r="E2504" s="113"/>
      <c r="F2504" s="113"/>
      <c r="G2504" s="113"/>
      <c r="H2504" s="113"/>
      <c r="I2504" s="116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9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9"/>
      <c r="AG2504" s="9"/>
      <c r="AH2504" s="9"/>
      <c r="AI2504" s="9"/>
      <c r="AJ2504" s="9"/>
    </row>
    <row r="2505" spans="1:36" s="25" customFormat="1" ht="18" customHeight="1" outlineLevel="2" x14ac:dyDescent="0.2">
      <c r="A2505" s="113"/>
      <c r="B2505" s="113"/>
      <c r="C2505" s="113"/>
      <c r="D2505" s="113"/>
      <c r="E2505" s="113"/>
      <c r="F2505" s="113"/>
      <c r="G2505" s="113"/>
      <c r="H2505" s="113"/>
      <c r="I2505" s="116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9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9"/>
      <c r="AG2505" s="9"/>
      <c r="AH2505" s="9"/>
      <c r="AI2505" s="9"/>
      <c r="AJ2505" s="9"/>
    </row>
    <row r="2506" spans="1:36" s="25" customFormat="1" ht="18" customHeight="1" outlineLevel="2" x14ac:dyDescent="0.2">
      <c r="A2506" s="111"/>
      <c r="B2506" s="111"/>
      <c r="C2506" s="111"/>
      <c r="D2506" s="111"/>
      <c r="E2506" s="111"/>
      <c r="F2506" s="111"/>
      <c r="G2506" s="111"/>
      <c r="H2506" s="111"/>
      <c r="I2506" s="116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9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9"/>
      <c r="AG2506" s="9"/>
      <c r="AH2506" s="9"/>
      <c r="AI2506" s="9"/>
      <c r="AJ2506" s="9"/>
    </row>
    <row r="2507" spans="1:36" s="25" customFormat="1" ht="18" customHeight="1" x14ac:dyDescent="0.2">
      <c r="A2507" s="110"/>
      <c r="B2507" s="110"/>
      <c r="C2507" s="110"/>
      <c r="D2507" s="110"/>
      <c r="E2507" s="110"/>
      <c r="F2507" s="110"/>
      <c r="G2507" s="110"/>
      <c r="H2507" s="110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9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9"/>
      <c r="AG2507" s="9"/>
      <c r="AH2507" s="9"/>
      <c r="AI2507" s="9"/>
      <c r="AJ2507" s="9"/>
    </row>
    <row r="2508" spans="1:36" s="25" customFormat="1" ht="18" customHeight="1" x14ac:dyDescent="0.2"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9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9"/>
      <c r="AG2508" s="9"/>
      <c r="AH2508" s="9"/>
      <c r="AI2508" s="9"/>
      <c r="AJ2508" s="9"/>
    </row>
    <row r="2509" spans="1:36" s="25" customFormat="1" ht="18" customHeight="1" x14ac:dyDescent="0.2"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9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9"/>
      <c r="AG2509" s="9"/>
      <c r="AH2509" s="9"/>
      <c r="AI2509" s="9"/>
      <c r="AJ2509" s="9"/>
    </row>
    <row r="2510" spans="1:36" s="25" customFormat="1" ht="18" customHeight="1" x14ac:dyDescent="0.2"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9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9"/>
      <c r="AG2510" s="9"/>
      <c r="AH2510" s="9"/>
      <c r="AI2510" s="9"/>
      <c r="AJ2510" s="9"/>
    </row>
    <row r="2511" spans="1:36" s="25" customFormat="1" ht="18" customHeight="1" x14ac:dyDescent="0.2"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9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9"/>
      <c r="AG2511" s="9"/>
      <c r="AH2511" s="9"/>
      <c r="AI2511" s="9"/>
      <c r="AJ2511" s="9"/>
    </row>
    <row r="2512" spans="1:36" s="25" customFormat="1" ht="18" customHeight="1" x14ac:dyDescent="0.2"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9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9"/>
      <c r="AG2512" s="9"/>
      <c r="AH2512" s="9"/>
      <c r="AI2512" s="9"/>
      <c r="AJ2512" s="9"/>
    </row>
    <row r="2513" spans="9:36" s="25" customFormat="1" ht="18" customHeight="1" x14ac:dyDescent="0.2"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9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9"/>
      <c r="AG2513" s="9"/>
      <c r="AH2513" s="9"/>
      <c r="AI2513" s="9"/>
      <c r="AJ2513" s="9"/>
    </row>
    <row r="2514" spans="9:36" s="25" customFormat="1" ht="18" customHeight="1" x14ac:dyDescent="0.2"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9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9"/>
      <c r="AG2514" s="9"/>
      <c r="AH2514" s="9"/>
      <c r="AI2514" s="9"/>
      <c r="AJ2514" s="9"/>
    </row>
    <row r="2515" spans="9:36" s="25" customFormat="1" ht="18" customHeight="1" x14ac:dyDescent="0.2"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9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9"/>
      <c r="AG2515" s="9"/>
      <c r="AH2515" s="9"/>
      <c r="AI2515" s="9"/>
      <c r="AJ2515" s="9"/>
    </row>
    <row r="2516" spans="9:36" s="25" customFormat="1" ht="18" customHeight="1" x14ac:dyDescent="0.2"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9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9"/>
      <c r="AG2516" s="9"/>
      <c r="AH2516" s="9"/>
      <c r="AI2516" s="9"/>
      <c r="AJ2516" s="9"/>
    </row>
    <row r="2517" spans="9:36" s="25" customFormat="1" ht="18" customHeight="1" x14ac:dyDescent="0.2"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9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9"/>
      <c r="AG2517" s="9"/>
      <c r="AH2517" s="9"/>
      <c r="AI2517" s="9"/>
      <c r="AJ2517" s="9"/>
    </row>
    <row r="2518" spans="9:36" s="25" customFormat="1" ht="18" customHeight="1" x14ac:dyDescent="0.2"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9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9"/>
      <c r="AG2518" s="9"/>
      <c r="AH2518" s="9"/>
      <c r="AI2518" s="9"/>
      <c r="AJ2518" s="9"/>
    </row>
    <row r="2519" spans="9:36" s="25" customFormat="1" ht="18" customHeight="1" x14ac:dyDescent="0.2"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9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9"/>
      <c r="AG2519" s="9"/>
      <c r="AH2519" s="9"/>
      <c r="AI2519" s="9"/>
      <c r="AJ2519" s="9"/>
    </row>
    <row r="2520" spans="9:36" s="25" customFormat="1" ht="18" customHeight="1" x14ac:dyDescent="0.2"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9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9"/>
      <c r="AG2520" s="9"/>
      <c r="AH2520" s="9"/>
      <c r="AI2520" s="9"/>
      <c r="AJ2520" s="9"/>
    </row>
    <row r="2521" spans="9:36" s="25" customFormat="1" ht="18" customHeight="1" x14ac:dyDescent="0.2"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9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9"/>
      <c r="AG2521" s="9"/>
      <c r="AH2521" s="9"/>
      <c r="AI2521" s="9"/>
      <c r="AJ2521" s="9"/>
    </row>
    <row r="2522" spans="9:36" s="25" customFormat="1" ht="18" customHeight="1" x14ac:dyDescent="0.2"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9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9"/>
      <c r="AG2522" s="9"/>
      <c r="AH2522" s="9"/>
      <c r="AI2522" s="9"/>
      <c r="AJ2522" s="9"/>
    </row>
    <row r="2523" spans="9:36" s="25" customFormat="1" ht="18" customHeight="1" x14ac:dyDescent="0.2"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9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9"/>
      <c r="AG2523" s="9"/>
      <c r="AH2523" s="9"/>
      <c r="AI2523" s="9"/>
      <c r="AJ2523" s="9"/>
    </row>
    <row r="2524" spans="9:36" s="25" customFormat="1" ht="18" customHeight="1" x14ac:dyDescent="0.2"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9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9"/>
      <c r="AG2524" s="9"/>
      <c r="AH2524" s="9"/>
      <c r="AI2524" s="9"/>
      <c r="AJ2524" s="9"/>
    </row>
    <row r="2525" spans="9:36" s="25" customFormat="1" ht="18" customHeight="1" x14ac:dyDescent="0.2"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9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9"/>
      <c r="AG2525" s="9"/>
      <c r="AH2525" s="9"/>
      <c r="AI2525" s="9"/>
      <c r="AJ2525" s="9"/>
    </row>
    <row r="2526" spans="9:36" s="25" customFormat="1" ht="18" customHeight="1" x14ac:dyDescent="0.2"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9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9"/>
      <c r="AG2526" s="9"/>
      <c r="AH2526" s="9"/>
      <c r="AI2526" s="9"/>
      <c r="AJ2526" s="9"/>
    </row>
    <row r="2527" spans="9:36" s="25" customFormat="1" ht="18" customHeight="1" x14ac:dyDescent="0.2"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9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9"/>
      <c r="AG2527" s="9"/>
      <c r="AH2527" s="9"/>
      <c r="AI2527" s="9"/>
      <c r="AJ2527" s="9"/>
    </row>
    <row r="2528" spans="9:36" s="25" customFormat="1" ht="18" customHeight="1" x14ac:dyDescent="0.2"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9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9"/>
      <c r="AG2528" s="9"/>
      <c r="AH2528" s="9"/>
      <c r="AI2528" s="9"/>
      <c r="AJ2528" s="9"/>
    </row>
    <row r="2529" spans="9:36" s="25" customFormat="1" ht="18" customHeight="1" x14ac:dyDescent="0.2"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9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9"/>
      <c r="AG2529" s="9"/>
      <c r="AH2529" s="9"/>
      <c r="AI2529" s="9"/>
      <c r="AJ2529" s="9"/>
    </row>
    <row r="2530" spans="9:36" s="25" customFormat="1" ht="18" customHeight="1" x14ac:dyDescent="0.2"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9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9"/>
      <c r="AG2530" s="9"/>
      <c r="AH2530" s="9"/>
      <c r="AI2530" s="9"/>
      <c r="AJ2530" s="9"/>
    </row>
    <row r="2531" spans="9:36" s="25" customFormat="1" ht="18" customHeight="1" x14ac:dyDescent="0.2"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9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9"/>
      <c r="AG2531" s="9"/>
      <c r="AH2531" s="9"/>
      <c r="AI2531" s="9"/>
      <c r="AJ2531" s="9"/>
    </row>
    <row r="2532" spans="9:36" s="25" customFormat="1" ht="18" customHeight="1" x14ac:dyDescent="0.2"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9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9"/>
      <c r="AG2532" s="9"/>
      <c r="AH2532" s="9"/>
      <c r="AI2532" s="9"/>
      <c r="AJ2532" s="9"/>
    </row>
    <row r="2533" spans="9:36" s="25" customFormat="1" ht="18" customHeight="1" x14ac:dyDescent="0.2"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9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9"/>
      <c r="AG2533" s="9"/>
      <c r="AH2533" s="9"/>
      <c r="AI2533" s="9"/>
      <c r="AJ2533" s="9"/>
    </row>
    <row r="2534" spans="9:36" s="25" customFormat="1" ht="18" customHeight="1" x14ac:dyDescent="0.2"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9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9"/>
      <c r="AG2534" s="9"/>
      <c r="AH2534" s="9"/>
      <c r="AI2534" s="9"/>
      <c r="AJ2534" s="9"/>
    </row>
    <row r="2535" spans="9:36" s="25" customFormat="1" ht="18" customHeight="1" x14ac:dyDescent="0.2"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9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9"/>
      <c r="AG2535" s="9"/>
      <c r="AH2535" s="9"/>
      <c r="AI2535" s="9"/>
      <c r="AJ2535" s="9"/>
    </row>
    <row r="2536" spans="9:36" s="25" customFormat="1" ht="18" customHeight="1" x14ac:dyDescent="0.2"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9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9"/>
      <c r="AG2536" s="9"/>
      <c r="AH2536" s="9"/>
      <c r="AI2536" s="9"/>
      <c r="AJ2536" s="9"/>
    </row>
    <row r="2537" spans="9:36" s="25" customFormat="1" ht="18" customHeight="1" x14ac:dyDescent="0.2"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9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9"/>
      <c r="AG2537" s="9"/>
      <c r="AH2537" s="9"/>
      <c r="AI2537" s="9"/>
      <c r="AJ2537" s="9"/>
    </row>
    <row r="2538" spans="9:36" s="25" customFormat="1" ht="18" customHeight="1" x14ac:dyDescent="0.2"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9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9"/>
      <c r="AG2538" s="9"/>
      <c r="AH2538" s="9"/>
      <c r="AI2538" s="9"/>
      <c r="AJ2538" s="9"/>
    </row>
    <row r="2539" spans="9:36" s="25" customFormat="1" ht="18" customHeight="1" x14ac:dyDescent="0.2"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9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9"/>
      <c r="AG2539" s="9"/>
      <c r="AH2539" s="9"/>
      <c r="AI2539" s="9"/>
      <c r="AJ2539" s="9"/>
    </row>
    <row r="2540" spans="9:36" s="25" customFormat="1" ht="18" customHeight="1" x14ac:dyDescent="0.2"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9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9"/>
      <c r="AG2540" s="9"/>
      <c r="AH2540" s="9"/>
      <c r="AI2540" s="9"/>
      <c r="AJ2540" s="9"/>
    </row>
    <row r="2541" spans="9:36" s="25" customFormat="1" ht="18" customHeight="1" x14ac:dyDescent="0.2"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9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9"/>
      <c r="AG2541" s="9"/>
      <c r="AH2541" s="9"/>
      <c r="AI2541" s="9"/>
      <c r="AJ2541" s="9"/>
    </row>
    <row r="2542" spans="9:36" s="25" customFormat="1" ht="18" customHeight="1" x14ac:dyDescent="0.2"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9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9"/>
      <c r="AG2542" s="9"/>
      <c r="AH2542" s="9"/>
      <c r="AI2542" s="9"/>
      <c r="AJ2542" s="9"/>
    </row>
    <row r="2543" spans="9:36" s="25" customFormat="1" ht="18" customHeight="1" x14ac:dyDescent="0.2"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9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9"/>
      <c r="AG2543" s="9"/>
      <c r="AH2543" s="9"/>
      <c r="AI2543" s="9"/>
      <c r="AJ2543" s="9"/>
    </row>
    <row r="2544" spans="9:36" s="25" customFormat="1" ht="18" customHeight="1" x14ac:dyDescent="0.2"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9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9"/>
      <c r="AG2544" s="9"/>
      <c r="AH2544" s="9"/>
      <c r="AI2544" s="9"/>
      <c r="AJ2544" s="9"/>
    </row>
    <row r="2545" spans="9:36" s="25" customFormat="1" ht="18" customHeight="1" x14ac:dyDescent="0.2"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9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9"/>
      <c r="AG2545" s="9"/>
      <c r="AH2545" s="9"/>
      <c r="AI2545" s="9"/>
      <c r="AJ2545" s="9"/>
    </row>
    <row r="2546" spans="9:36" s="25" customFormat="1" ht="18" customHeight="1" x14ac:dyDescent="0.2"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9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9"/>
      <c r="AG2546" s="9"/>
      <c r="AH2546" s="9"/>
      <c r="AI2546" s="9"/>
      <c r="AJ2546" s="9"/>
    </row>
    <row r="2547" spans="9:36" s="25" customFormat="1" ht="18" customHeight="1" x14ac:dyDescent="0.2"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9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9"/>
      <c r="AG2547" s="9"/>
      <c r="AH2547" s="9"/>
      <c r="AI2547" s="9"/>
      <c r="AJ2547" s="9"/>
    </row>
    <row r="2548" spans="9:36" s="25" customFormat="1" ht="18" customHeight="1" x14ac:dyDescent="0.2"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9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9"/>
      <c r="AG2548" s="9"/>
      <c r="AH2548" s="9"/>
      <c r="AI2548" s="9"/>
      <c r="AJ2548" s="9"/>
    </row>
    <row r="2549" spans="9:36" s="25" customFormat="1" ht="18" customHeight="1" x14ac:dyDescent="0.2"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9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9"/>
      <c r="AG2549" s="9"/>
      <c r="AH2549" s="9"/>
      <c r="AI2549" s="9"/>
      <c r="AJ2549" s="9"/>
    </row>
    <row r="2550" spans="9:36" s="25" customFormat="1" ht="18" customHeight="1" x14ac:dyDescent="0.2"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9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9"/>
      <c r="AG2550" s="9"/>
      <c r="AH2550" s="9"/>
      <c r="AI2550" s="9"/>
      <c r="AJ2550" s="9"/>
    </row>
    <row r="2551" spans="9:36" s="25" customFormat="1" ht="18" customHeight="1" x14ac:dyDescent="0.2"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9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9"/>
      <c r="AG2551" s="9"/>
      <c r="AH2551" s="9"/>
      <c r="AI2551" s="9"/>
      <c r="AJ2551" s="9"/>
    </row>
    <row r="2552" spans="9:36" s="25" customFormat="1" ht="18" customHeight="1" x14ac:dyDescent="0.2"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9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9"/>
      <c r="AG2552" s="9"/>
      <c r="AH2552" s="9"/>
      <c r="AI2552" s="9"/>
      <c r="AJ2552" s="9"/>
    </row>
    <row r="2553" spans="9:36" s="25" customFormat="1" ht="18" customHeight="1" x14ac:dyDescent="0.2"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9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9"/>
      <c r="AG2553" s="9"/>
      <c r="AH2553" s="9"/>
      <c r="AI2553" s="9"/>
      <c r="AJ2553" s="9"/>
    </row>
    <row r="2554" spans="9:36" s="25" customFormat="1" ht="18" customHeight="1" x14ac:dyDescent="0.2"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9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9"/>
      <c r="AG2554" s="9"/>
      <c r="AH2554" s="9"/>
      <c r="AI2554" s="9"/>
      <c r="AJ2554" s="9"/>
    </row>
    <row r="2555" spans="9:36" s="25" customFormat="1" ht="18" customHeight="1" x14ac:dyDescent="0.2"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9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9"/>
      <c r="AG2555" s="9"/>
      <c r="AH2555" s="9"/>
      <c r="AI2555" s="9"/>
      <c r="AJ2555" s="9"/>
    </row>
    <row r="2556" spans="9:36" s="25" customFormat="1" ht="18" customHeight="1" x14ac:dyDescent="0.2"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9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9"/>
      <c r="AG2556" s="9"/>
      <c r="AH2556" s="9"/>
      <c r="AI2556" s="9"/>
      <c r="AJ2556" s="9"/>
    </row>
    <row r="2557" spans="9:36" s="25" customFormat="1" ht="18" customHeight="1" x14ac:dyDescent="0.2"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9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9"/>
      <c r="AG2557" s="9"/>
      <c r="AH2557" s="9"/>
      <c r="AI2557" s="9"/>
      <c r="AJ2557" s="9"/>
    </row>
    <row r="2558" spans="9:36" s="25" customFormat="1" ht="18" customHeight="1" x14ac:dyDescent="0.2"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9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9"/>
      <c r="AG2558" s="9"/>
      <c r="AH2558" s="9"/>
      <c r="AI2558" s="9"/>
      <c r="AJ2558" s="9"/>
    </row>
    <row r="2559" spans="9:36" s="25" customFormat="1" ht="18" customHeight="1" x14ac:dyDescent="0.2"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9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9"/>
      <c r="AG2559" s="9"/>
      <c r="AH2559" s="9"/>
      <c r="AI2559" s="9"/>
      <c r="AJ2559" s="9"/>
    </row>
    <row r="2560" spans="9:36" s="25" customFormat="1" ht="18" customHeight="1" x14ac:dyDescent="0.2"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9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9"/>
      <c r="AG2560" s="9"/>
      <c r="AH2560" s="9"/>
      <c r="AI2560" s="9"/>
      <c r="AJ2560" s="9"/>
    </row>
    <row r="2561" spans="9:36" s="25" customFormat="1" ht="18" customHeight="1" x14ac:dyDescent="0.2"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9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9"/>
      <c r="AG2561" s="9"/>
      <c r="AH2561" s="9"/>
      <c r="AI2561" s="9"/>
      <c r="AJ2561" s="9"/>
    </row>
    <row r="2562" spans="9:36" s="25" customFormat="1" ht="18" customHeight="1" x14ac:dyDescent="0.2"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9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9"/>
      <c r="AG2562" s="9"/>
      <c r="AH2562" s="9"/>
      <c r="AI2562" s="9"/>
      <c r="AJ2562" s="9"/>
    </row>
    <row r="2563" spans="9:36" s="25" customFormat="1" ht="18" customHeight="1" x14ac:dyDescent="0.2"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9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9"/>
      <c r="AG2563" s="9"/>
      <c r="AH2563" s="9"/>
      <c r="AI2563" s="9"/>
      <c r="AJ2563" s="9"/>
    </row>
    <row r="2564" spans="9:36" s="25" customFormat="1" ht="18" customHeight="1" x14ac:dyDescent="0.2"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9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9"/>
      <c r="AG2564" s="9"/>
      <c r="AH2564" s="9"/>
      <c r="AI2564" s="9"/>
      <c r="AJ2564" s="9"/>
    </row>
    <row r="2565" spans="9:36" s="25" customFormat="1" ht="18" customHeight="1" x14ac:dyDescent="0.2"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9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9"/>
      <c r="AG2565" s="9"/>
      <c r="AH2565" s="9"/>
      <c r="AI2565" s="9"/>
      <c r="AJ2565" s="9"/>
    </row>
    <row r="2566" spans="9:36" s="25" customFormat="1" ht="18" customHeight="1" x14ac:dyDescent="0.2"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9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9"/>
      <c r="AG2566" s="9"/>
      <c r="AH2566" s="9"/>
      <c r="AI2566" s="9"/>
      <c r="AJ2566" s="9"/>
    </row>
    <row r="2567" spans="9:36" s="25" customFormat="1" ht="18" customHeight="1" x14ac:dyDescent="0.2"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9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9"/>
      <c r="AG2567" s="9"/>
      <c r="AH2567" s="9"/>
      <c r="AI2567" s="9"/>
      <c r="AJ2567" s="9"/>
    </row>
    <row r="2568" spans="9:36" s="25" customFormat="1" ht="18" customHeight="1" x14ac:dyDescent="0.2"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9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9"/>
      <c r="AG2568" s="9"/>
      <c r="AH2568" s="9"/>
      <c r="AI2568" s="9"/>
      <c r="AJ2568" s="9"/>
    </row>
    <row r="2569" spans="9:36" s="25" customFormat="1" ht="18" customHeight="1" x14ac:dyDescent="0.2"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9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9"/>
      <c r="AG2569" s="9"/>
      <c r="AH2569" s="9"/>
      <c r="AI2569" s="9"/>
      <c r="AJ2569" s="9"/>
    </row>
    <row r="2570" spans="9:36" s="25" customFormat="1" ht="18" customHeight="1" x14ac:dyDescent="0.2"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9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9"/>
      <c r="AG2570" s="9"/>
      <c r="AH2570" s="9"/>
      <c r="AI2570" s="9"/>
      <c r="AJ2570" s="9"/>
    </row>
    <row r="2571" spans="9:36" s="25" customFormat="1" ht="18" customHeight="1" x14ac:dyDescent="0.2"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9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9"/>
      <c r="AG2571" s="9"/>
      <c r="AH2571" s="9"/>
      <c r="AI2571" s="9"/>
      <c r="AJ2571" s="9"/>
    </row>
    <row r="2572" spans="9:36" s="25" customFormat="1" ht="18" customHeight="1" x14ac:dyDescent="0.2"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9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9"/>
      <c r="AG2572" s="9"/>
      <c r="AH2572" s="9"/>
      <c r="AI2572" s="9"/>
      <c r="AJ2572" s="9"/>
    </row>
    <row r="2573" spans="9:36" s="25" customFormat="1" ht="18" customHeight="1" x14ac:dyDescent="0.2"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9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9"/>
      <c r="AG2573" s="9"/>
      <c r="AH2573" s="9"/>
      <c r="AI2573" s="9"/>
      <c r="AJ2573" s="9"/>
    </row>
    <row r="2574" spans="9:36" s="25" customFormat="1" ht="18" customHeight="1" x14ac:dyDescent="0.2"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9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9"/>
      <c r="AG2574" s="9"/>
      <c r="AH2574" s="9"/>
      <c r="AI2574" s="9"/>
      <c r="AJ2574" s="9"/>
    </row>
    <row r="2575" spans="9:36" s="25" customFormat="1" ht="18" customHeight="1" x14ac:dyDescent="0.2"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9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9"/>
      <c r="AG2575" s="9"/>
      <c r="AH2575" s="9"/>
      <c r="AI2575" s="9"/>
      <c r="AJ2575" s="9"/>
    </row>
    <row r="2576" spans="9:36" s="25" customFormat="1" ht="18" customHeight="1" x14ac:dyDescent="0.2"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9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9"/>
      <c r="AG2576" s="9"/>
      <c r="AH2576" s="9"/>
      <c r="AI2576" s="9"/>
      <c r="AJ2576" s="9"/>
    </row>
    <row r="2577" spans="9:36" s="25" customFormat="1" ht="18" customHeight="1" x14ac:dyDescent="0.2"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9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9"/>
      <c r="AG2577" s="9"/>
      <c r="AH2577" s="9"/>
      <c r="AI2577" s="9"/>
      <c r="AJ2577" s="9"/>
    </row>
    <row r="2578" spans="9:36" s="25" customFormat="1" ht="18" customHeight="1" x14ac:dyDescent="0.2"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9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9"/>
      <c r="AG2578" s="9"/>
      <c r="AH2578" s="9"/>
      <c r="AI2578" s="9"/>
      <c r="AJ2578" s="9"/>
    </row>
    <row r="2579" spans="9:36" s="25" customFormat="1" ht="18" customHeight="1" x14ac:dyDescent="0.2"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9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9"/>
      <c r="AG2579" s="9"/>
      <c r="AH2579" s="9"/>
      <c r="AI2579" s="9"/>
      <c r="AJ2579" s="9"/>
    </row>
    <row r="2580" spans="9:36" s="25" customFormat="1" ht="18" customHeight="1" x14ac:dyDescent="0.2"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9"/>
      <c r="AG2580" s="9"/>
      <c r="AH2580" s="9"/>
      <c r="AI2580" s="9"/>
      <c r="AJ2580" s="9"/>
    </row>
    <row r="2581" spans="9:36" s="25" customFormat="1" ht="18" customHeight="1" x14ac:dyDescent="0.2"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9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9"/>
      <c r="AG2581" s="9"/>
      <c r="AH2581" s="9"/>
      <c r="AI2581" s="9"/>
      <c r="AJ2581" s="9"/>
    </row>
    <row r="2582" spans="9:36" s="25" customFormat="1" ht="18" customHeight="1" x14ac:dyDescent="0.2"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9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9"/>
      <c r="AG2582" s="9"/>
      <c r="AH2582" s="9"/>
      <c r="AI2582" s="9"/>
      <c r="AJ2582" s="9"/>
    </row>
    <row r="2583" spans="9:36" s="25" customFormat="1" ht="18" customHeight="1" x14ac:dyDescent="0.2"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9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9"/>
      <c r="AG2583" s="9"/>
      <c r="AH2583" s="9"/>
      <c r="AI2583" s="9"/>
      <c r="AJ2583" s="9"/>
    </row>
    <row r="2584" spans="9:36" s="25" customFormat="1" ht="18" customHeight="1" x14ac:dyDescent="0.2"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9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9"/>
      <c r="AG2584" s="9"/>
      <c r="AH2584" s="9"/>
      <c r="AI2584" s="9"/>
      <c r="AJ2584" s="9"/>
    </row>
    <row r="2585" spans="9:36" s="25" customFormat="1" ht="18" customHeight="1" x14ac:dyDescent="0.2"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9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9"/>
      <c r="AG2585" s="9"/>
      <c r="AH2585" s="9"/>
      <c r="AI2585" s="9"/>
      <c r="AJ2585" s="9"/>
    </row>
    <row r="2586" spans="9:36" s="25" customFormat="1" ht="18" customHeight="1" x14ac:dyDescent="0.2"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9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9"/>
      <c r="AG2586" s="9"/>
      <c r="AH2586" s="9"/>
      <c r="AI2586" s="9"/>
      <c r="AJ2586" s="9"/>
    </row>
    <row r="2587" spans="9:36" s="25" customFormat="1" ht="18" customHeight="1" x14ac:dyDescent="0.2"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9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9"/>
      <c r="AG2587" s="9"/>
      <c r="AH2587" s="9"/>
      <c r="AI2587" s="9"/>
      <c r="AJ2587" s="9"/>
    </row>
    <row r="2588" spans="9:36" s="25" customFormat="1" ht="18" customHeight="1" x14ac:dyDescent="0.2"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9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9"/>
      <c r="AG2588" s="9"/>
      <c r="AH2588" s="9"/>
      <c r="AI2588" s="9"/>
      <c r="AJ2588" s="9"/>
    </row>
    <row r="2589" spans="9:36" s="25" customFormat="1" ht="18" customHeight="1" x14ac:dyDescent="0.2"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9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9"/>
      <c r="AG2589" s="9"/>
      <c r="AH2589" s="9"/>
      <c r="AI2589" s="9"/>
      <c r="AJ2589" s="9"/>
    </row>
    <row r="2590" spans="9:36" s="25" customFormat="1" ht="18" customHeight="1" x14ac:dyDescent="0.2"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9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9"/>
      <c r="AG2590" s="9"/>
      <c r="AH2590" s="9"/>
      <c r="AI2590" s="9"/>
      <c r="AJ2590" s="9"/>
    </row>
    <row r="2591" spans="9:36" s="25" customFormat="1" ht="18" customHeight="1" x14ac:dyDescent="0.2"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9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9"/>
      <c r="AG2591" s="9"/>
      <c r="AH2591" s="9"/>
      <c r="AI2591" s="9"/>
      <c r="AJ2591" s="9"/>
    </row>
    <row r="2592" spans="9:36" s="25" customFormat="1" ht="18" customHeight="1" x14ac:dyDescent="0.2"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9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9"/>
      <c r="AG2592" s="9"/>
      <c r="AH2592" s="9"/>
      <c r="AI2592" s="9"/>
      <c r="AJ2592" s="9"/>
    </row>
    <row r="2593" spans="9:36" s="25" customFormat="1" ht="18" customHeight="1" x14ac:dyDescent="0.2"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9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9"/>
      <c r="AG2593" s="9"/>
      <c r="AH2593" s="9"/>
      <c r="AI2593" s="9"/>
      <c r="AJ2593" s="9"/>
    </row>
    <row r="2594" spans="9:36" s="25" customFormat="1" ht="18" customHeight="1" x14ac:dyDescent="0.2"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9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9"/>
      <c r="AG2594" s="9"/>
      <c r="AH2594" s="9"/>
      <c r="AI2594" s="9"/>
      <c r="AJ2594" s="9"/>
    </row>
    <row r="2595" spans="9:36" s="25" customFormat="1" ht="18" customHeight="1" x14ac:dyDescent="0.2"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9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9"/>
      <c r="AG2595" s="9"/>
      <c r="AH2595" s="9"/>
      <c r="AI2595" s="9"/>
      <c r="AJ2595" s="9"/>
    </row>
    <row r="2596" spans="9:36" s="25" customFormat="1" ht="18" customHeight="1" x14ac:dyDescent="0.2"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9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9"/>
      <c r="AG2596" s="9"/>
      <c r="AH2596" s="9"/>
      <c r="AI2596" s="9"/>
      <c r="AJ2596" s="9"/>
    </row>
    <row r="2597" spans="9:36" s="25" customFormat="1" ht="18" customHeight="1" x14ac:dyDescent="0.2"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9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9"/>
      <c r="AG2597" s="9"/>
      <c r="AH2597" s="9"/>
      <c r="AI2597" s="9"/>
      <c r="AJ2597" s="9"/>
    </row>
    <row r="2598" spans="9:36" s="25" customFormat="1" ht="18" customHeight="1" x14ac:dyDescent="0.2"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9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9"/>
      <c r="AG2598" s="9"/>
      <c r="AH2598" s="9"/>
      <c r="AI2598" s="9"/>
      <c r="AJ2598" s="9"/>
    </row>
    <row r="2599" spans="9:36" s="25" customFormat="1" ht="18" customHeight="1" x14ac:dyDescent="0.2"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9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9"/>
      <c r="AG2599" s="9"/>
      <c r="AH2599" s="9"/>
      <c r="AI2599" s="9"/>
      <c r="AJ2599" s="9"/>
    </row>
    <row r="2600" spans="9:36" s="25" customFormat="1" ht="18" customHeight="1" x14ac:dyDescent="0.2"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9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9"/>
      <c r="AG2600" s="9"/>
      <c r="AH2600" s="9"/>
      <c r="AI2600" s="9"/>
      <c r="AJ2600" s="9"/>
    </row>
    <row r="2601" spans="9:36" s="25" customFormat="1" ht="18" customHeight="1" x14ac:dyDescent="0.2"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9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9"/>
      <c r="AG2601" s="9"/>
      <c r="AH2601" s="9"/>
      <c r="AI2601" s="9"/>
      <c r="AJ2601" s="9"/>
    </row>
    <row r="2602" spans="9:36" s="25" customFormat="1" ht="18" customHeight="1" x14ac:dyDescent="0.2"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9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9"/>
      <c r="AG2602" s="9"/>
      <c r="AH2602" s="9"/>
      <c r="AI2602" s="9"/>
      <c r="AJ2602" s="9"/>
    </row>
    <row r="2603" spans="9:36" s="25" customFormat="1" ht="18" customHeight="1" x14ac:dyDescent="0.2"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9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9"/>
      <c r="AG2603" s="9"/>
      <c r="AH2603" s="9"/>
      <c r="AI2603" s="9"/>
      <c r="AJ2603" s="9"/>
    </row>
    <row r="2604" spans="9:36" s="25" customFormat="1" ht="18" customHeight="1" x14ac:dyDescent="0.2"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9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9"/>
      <c r="AG2604" s="9"/>
      <c r="AH2604" s="9"/>
      <c r="AI2604" s="9"/>
      <c r="AJ2604" s="9"/>
    </row>
    <row r="2605" spans="9:36" s="25" customFormat="1" ht="18" customHeight="1" x14ac:dyDescent="0.2"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9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9"/>
      <c r="AG2605" s="9"/>
      <c r="AH2605" s="9"/>
      <c r="AI2605" s="9"/>
      <c r="AJ2605" s="9"/>
    </row>
    <row r="2606" spans="9:36" s="25" customFormat="1" ht="18" customHeight="1" x14ac:dyDescent="0.2"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9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9"/>
      <c r="AG2606" s="9"/>
      <c r="AH2606" s="9"/>
      <c r="AI2606" s="9"/>
      <c r="AJ2606" s="9"/>
    </row>
    <row r="2607" spans="9:36" s="25" customFormat="1" ht="18" customHeight="1" x14ac:dyDescent="0.2"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9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9"/>
      <c r="AG2607" s="9"/>
      <c r="AH2607" s="9"/>
      <c r="AI2607" s="9"/>
      <c r="AJ2607" s="9"/>
    </row>
    <row r="2608" spans="9:36" s="25" customFormat="1" ht="18" customHeight="1" x14ac:dyDescent="0.2"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9"/>
      <c r="AG2608" s="9"/>
      <c r="AH2608" s="9"/>
      <c r="AI2608" s="9"/>
      <c r="AJ2608" s="9"/>
    </row>
    <row r="2609" spans="9:36" s="25" customFormat="1" ht="18" customHeight="1" x14ac:dyDescent="0.2"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9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9"/>
      <c r="AG2609" s="9"/>
      <c r="AH2609" s="9"/>
      <c r="AI2609" s="9"/>
      <c r="AJ2609" s="9"/>
    </row>
    <row r="2610" spans="9:36" s="25" customFormat="1" ht="18" customHeight="1" x14ac:dyDescent="0.2"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9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9"/>
      <c r="AG2610" s="9"/>
      <c r="AH2610" s="9"/>
      <c r="AI2610" s="9"/>
      <c r="AJ2610" s="9"/>
    </row>
    <row r="2611" spans="9:36" s="25" customFormat="1" ht="18" customHeight="1" x14ac:dyDescent="0.2"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9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9"/>
      <c r="AG2611" s="9"/>
      <c r="AH2611" s="9"/>
      <c r="AI2611" s="9"/>
      <c r="AJ2611" s="9"/>
    </row>
    <row r="2612" spans="9:36" s="25" customFormat="1" ht="18" customHeight="1" x14ac:dyDescent="0.2"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9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9"/>
      <c r="AG2612" s="9"/>
      <c r="AH2612" s="9"/>
      <c r="AI2612" s="9"/>
      <c r="AJ2612" s="9"/>
    </row>
    <row r="2613" spans="9:36" s="25" customFormat="1" ht="18" customHeight="1" x14ac:dyDescent="0.2"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9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9"/>
      <c r="AG2613" s="9"/>
      <c r="AH2613" s="9"/>
      <c r="AI2613" s="9"/>
      <c r="AJ2613" s="9"/>
    </row>
    <row r="2614" spans="9:36" s="25" customFormat="1" ht="18" customHeight="1" x14ac:dyDescent="0.2"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9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9"/>
      <c r="AG2614" s="9"/>
      <c r="AH2614" s="9"/>
      <c r="AI2614" s="9"/>
      <c r="AJ2614" s="9"/>
    </row>
    <row r="2615" spans="9:36" s="25" customFormat="1" ht="18" customHeight="1" x14ac:dyDescent="0.2"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9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9"/>
      <c r="AG2615" s="9"/>
      <c r="AH2615" s="9"/>
      <c r="AI2615" s="9"/>
      <c r="AJ2615" s="9"/>
    </row>
    <row r="2616" spans="9:36" s="25" customFormat="1" ht="18" customHeight="1" x14ac:dyDescent="0.2"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9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9"/>
      <c r="AG2616" s="9"/>
      <c r="AH2616" s="9"/>
      <c r="AI2616" s="9"/>
      <c r="AJ2616" s="9"/>
    </row>
    <row r="2617" spans="9:36" s="25" customFormat="1" ht="18" customHeight="1" x14ac:dyDescent="0.2"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9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9"/>
      <c r="AG2617" s="9"/>
      <c r="AH2617" s="9"/>
      <c r="AI2617" s="9"/>
      <c r="AJ2617" s="9"/>
    </row>
    <row r="2618" spans="9:36" s="25" customFormat="1" ht="18" customHeight="1" x14ac:dyDescent="0.2"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9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9"/>
      <c r="AG2618" s="9"/>
      <c r="AH2618" s="9"/>
      <c r="AI2618" s="9"/>
      <c r="AJ2618" s="9"/>
    </row>
    <row r="2619" spans="9:36" s="25" customFormat="1" ht="18" customHeight="1" x14ac:dyDescent="0.2"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9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9"/>
      <c r="AG2619" s="9"/>
      <c r="AH2619" s="9"/>
      <c r="AI2619" s="9"/>
      <c r="AJ2619" s="9"/>
    </row>
    <row r="2620" spans="9:36" s="25" customFormat="1" ht="18" customHeight="1" x14ac:dyDescent="0.2"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9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9"/>
      <c r="AG2620" s="9"/>
      <c r="AH2620" s="9"/>
      <c r="AI2620" s="9"/>
      <c r="AJ2620" s="9"/>
    </row>
    <row r="2621" spans="9:36" s="25" customFormat="1" ht="18" customHeight="1" x14ac:dyDescent="0.2"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9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9"/>
      <c r="AG2621" s="9"/>
      <c r="AH2621" s="9"/>
      <c r="AI2621" s="9"/>
      <c r="AJ2621" s="9"/>
    </row>
    <row r="2622" spans="9:36" s="25" customFormat="1" ht="18" customHeight="1" x14ac:dyDescent="0.2"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9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9"/>
      <c r="AG2622" s="9"/>
      <c r="AH2622" s="9"/>
      <c r="AI2622" s="9"/>
      <c r="AJ2622" s="9"/>
    </row>
    <row r="2623" spans="9:36" s="25" customFormat="1" ht="18" customHeight="1" x14ac:dyDescent="0.2"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9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9"/>
      <c r="AG2623" s="9"/>
      <c r="AH2623" s="9"/>
      <c r="AI2623" s="9"/>
      <c r="AJ2623" s="9"/>
    </row>
    <row r="2624" spans="9:36" s="25" customFormat="1" ht="18" customHeight="1" x14ac:dyDescent="0.2"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9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9"/>
      <c r="AG2624" s="9"/>
      <c r="AH2624" s="9"/>
      <c r="AI2624" s="9"/>
      <c r="AJ2624" s="9"/>
    </row>
    <row r="2625" spans="9:36" s="25" customFormat="1" ht="18" customHeight="1" x14ac:dyDescent="0.2"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9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9"/>
      <c r="AG2625" s="9"/>
      <c r="AH2625" s="9"/>
      <c r="AI2625" s="9"/>
      <c r="AJ2625" s="9"/>
    </row>
    <row r="2626" spans="9:36" s="25" customFormat="1" ht="18" customHeight="1" x14ac:dyDescent="0.2"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9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9"/>
      <c r="AG2626" s="9"/>
      <c r="AH2626" s="9"/>
      <c r="AI2626" s="9"/>
      <c r="AJ2626" s="9"/>
    </row>
    <row r="2627" spans="9:36" s="25" customFormat="1" ht="18" customHeight="1" x14ac:dyDescent="0.2"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9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9"/>
      <c r="AG2627" s="9"/>
      <c r="AH2627" s="9"/>
      <c r="AI2627" s="9"/>
      <c r="AJ2627" s="9"/>
    </row>
    <row r="2628" spans="9:36" s="25" customFormat="1" ht="18" customHeight="1" x14ac:dyDescent="0.2"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9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9"/>
      <c r="AG2628" s="9"/>
      <c r="AH2628" s="9"/>
      <c r="AI2628" s="9"/>
      <c r="AJ2628" s="9"/>
    </row>
    <row r="2629" spans="9:36" s="25" customFormat="1" ht="18" customHeight="1" x14ac:dyDescent="0.2"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9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9"/>
      <c r="AG2629" s="9"/>
      <c r="AH2629" s="9"/>
      <c r="AI2629" s="9"/>
      <c r="AJ2629" s="9"/>
    </row>
    <row r="2630" spans="9:36" s="25" customFormat="1" ht="18" customHeight="1" x14ac:dyDescent="0.2"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9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9"/>
      <c r="AG2630" s="9"/>
      <c r="AH2630" s="9"/>
      <c r="AI2630" s="9"/>
      <c r="AJ2630" s="9"/>
    </row>
    <row r="2631" spans="9:36" s="25" customFormat="1" ht="18" customHeight="1" x14ac:dyDescent="0.2"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9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9"/>
      <c r="AG2631" s="9"/>
      <c r="AH2631" s="9"/>
      <c r="AI2631" s="9"/>
      <c r="AJ2631" s="9"/>
    </row>
    <row r="2632" spans="9:36" s="25" customFormat="1" ht="18" customHeight="1" x14ac:dyDescent="0.2"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9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9"/>
      <c r="AG2632" s="9"/>
      <c r="AH2632" s="9"/>
      <c r="AI2632" s="9"/>
      <c r="AJ2632" s="9"/>
    </row>
    <row r="2633" spans="9:36" s="25" customFormat="1" ht="18" customHeight="1" x14ac:dyDescent="0.2"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9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9"/>
      <c r="AG2633" s="9"/>
      <c r="AH2633" s="9"/>
      <c r="AI2633" s="9"/>
      <c r="AJ2633" s="9"/>
    </row>
    <row r="2634" spans="9:36" s="25" customFormat="1" ht="18" customHeight="1" x14ac:dyDescent="0.2"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9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9"/>
      <c r="AG2634" s="9"/>
      <c r="AH2634" s="9"/>
      <c r="AI2634" s="9"/>
      <c r="AJ2634" s="9"/>
    </row>
    <row r="2635" spans="9:36" s="25" customFormat="1" ht="18" customHeight="1" x14ac:dyDescent="0.2"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9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9"/>
      <c r="AG2635" s="9"/>
      <c r="AH2635" s="9"/>
      <c r="AI2635" s="9"/>
      <c r="AJ2635" s="9"/>
    </row>
    <row r="2636" spans="9:36" s="25" customFormat="1" ht="18" customHeight="1" x14ac:dyDescent="0.2"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9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9"/>
      <c r="AG2636" s="9"/>
      <c r="AH2636" s="9"/>
      <c r="AI2636" s="9"/>
      <c r="AJ2636" s="9"/>
    </row>
    <row r="2637" spans="9:36" s="25" customFormat="1" ht="18" customHeight="1" x14ac:dyDescent="0.2"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9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9"/>
      <c r="AG2637" s="9"/>
      <c r="AH2637" s="9"/>
      <c r="AI2637" s="9"/>
      <c r="AJ2637" s="9"/>
    </row>
    <row r="2638" spans="9:36" s="25" customFormat="1" ht="18" customHeight="1" x14ac:dyDescent="0.2"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9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9"/>
      <c r="AG2638" s="9"/>
      <c r="AH2638" s="9"/>
      <c r="AI2638" s="9"/>
      <c r="AJ2638" s="9"/>
    </row>
    <row r="2639" spans="9:36" s="25" customFormat="1" ht="18" customHeight="1" x14ac:dyDescent="0.2"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9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9"/>
      <c r="AG2639" s="9"/>
      <c r="AH2639" s="9"/>
      <c r="AI2639" s="9"/>
      <c r="AJ2639" s="9"/>
    </row>
    <row r="2640" spans="9:36" s="25" customFormat="1" ht="18" customHeight="1" x14ac:dyDescent="0.2"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9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9"/>
      <c r="AG2640" s="9"/>
      <c r="AH2640" s="9"/>
      <c r="AI2640" s="9"/>
      <c r="AJ2640" s="9"/>
    </row>
    <row r="2641" spans="9:36" s="25" customFormat="1" ht="18" customHeight="1" x14ac:dyDescent="0.2"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9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9"/>
      <c r="AG2641" s="9"/>
      <c r="AH2641" s="9"/>
      <c r="AI2641" s="9"/>
      <c r="AJ2641" s="9"/>
    </row>
    <row r="2642" spans="9:36" s="25" customFormat="1" ht="18" customHeight="1" x14ac:dyDescent="0.2"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9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9"/>
      <c r="AG2642" s="9"/>
      <c r="AH2642" s="9"/>
      <c r="AI2642" s="9"/>
      <c r="AJ2642" s="9"/>
    </row>
    <row r="2643" spans="9:36" s="25" customFormat="1" ht="18" customHeight="1" x14ac:dyDescent="0.2"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9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9"/>
      <c r="AG2643" s="9"/>
      <c r="AH2643" s="9"/>
      <c r="AI2643" s="9"/>
      <c r="AJ2643" s="9"/>
    </row>
    <row r="2644" spans="9:36" s="25" customFormat="1" ht="18" customHeight="1" x14ac:dyDescent="0.2"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9"/>
      <c r="AG2644" s="9"/>
      <c r="AH2644" s="9"/>
      <c r="AI2644" s="9"/>
      <c r="AJ2644" s="9"/>
    </row>
    <row r="2645" spans="9:36" s="25" customFormat="1" ht="18" customHeight="1" x14ac:dyDescent="0.2"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9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9"/>
      <c r="AG2645" s="9"/>
      <c r="AH2645" s="9"/>
      <c r="AI2645" s="9"/>
      <c r="AJ2645" s="9"/>
    </row>
    <row r="2646" spans="9:36" s="25" customFormat="1" ht="18" customHeight="1" x14ac:dyDescent="0.2"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9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9"/>
      <c r="AG2646" s="9"/>
      <c r="AH2646" s="9"/>
      <c r="AI2646" s="9"/>
      <c r="AJ2646" s="9"/>
    </row>
    <row r="2647" spans="9:36" s="25" customFormat="1" ht="18" customHeight="1" x14ac:dyDescent="0.2"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9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9"/>
      <c r="AG2647" s="9"/>
      <c r="AH2647" s="9"/>
      <c r="AI2647" s="9"/>
      <c r="AJ2647" s="9"/>
    </row>
    <row r="2648" spans="9:36" s="25" customFormat="1" ht="18" customHeight="1" x14ac:dyDescent="0.2"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9"/>
      <c r="AG2648" s="9"/>
      <c r="AH2648" s="9"/>
      <c r="AI2648" s="9"/>
      <c r="AJ2648" s="9"/>
    </row>
    <row r="2649" spans="9:36" s="25" customFormat="1" ht="18" customHeight="1" x14ac:dyDescent="0.2"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9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9"/>
      <c r="AG2649" s="9"/>
      <c r="AH2649" s="9"/>
      <c r="AI2649" s="9"/>
      <c r="AJ2649" s="9"/>
    </row>
    <row r="2650" spans="9:36" s="25" customFormat="1" ht="18" customHeight="1" x14ac:dyDescent="0.2"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9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9"/>
      <c r="AG2650" s="9"/>
      <c r="AH2650" s="9"/>
      <c r="AI2650" s="9"/>
      <c r="AJ2650" s="9"/>
    </row>
    <row r="2651" spans="9:36" s="25" customFormat="1" ht="18" customHeight="1" x14ac:dyDescent="0.2"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9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9"/>
      <c r="AG2651" s="9"/>
      <c r="AH2651" s="9"/>
      <c r="AI2651" s="9"/>
      <c r="AJ2651" s="9"/>
    </row>
    <row r="2652" spans="9:36" s="25" customFormat="1" ht="18" customHeight="1" x14ac:dyDescent="0.2"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9"/>
      <c r="AG2652" s="9"/>
      <c r="AH2652" s="9"/>
      <c r="AI2652" s="9"/>
      <c r="AJ2652" s="9"/>
    </row>
    <row r="2653" spans="9:36" s="25" customFormat="1" ht="18" customHeight="1" x14ac:dyDescent="0.2"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9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9"/>
      <c r="AG2653" s="9"/>
      <c r="AH2653" s="9"/>
      <c r="AI2653" s="9"/>
      <c r="AJ2653" s="9"/>
    </row>
    <row r="2654" spans="9:36" s="25" customFormat="1" ht="18" customHeight="1" x14ac:dyDescent="0.2"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9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9"/>
      <c r="AG2654" s="9"/>
      <c r="AH2654" s="9"/>
      <c r="AI2654" s="9"/>
      <c r="AJ2654" s="9"/>
    </row>
    <row r="2655" spans="9:36" s="25" customFormat="1" ht="18" customHeight="1" x14ac:dyDescent="0.2"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9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9"/>
      <c r="AG2655" s="9"/>
      <c r="AH2655" s="9"/>
      <c r="AI2655" s="9"/>
      <c r="AJ2655" s="9"/>
    </row>
    <row r="2656" spans="9:36" s="25" customFormat="1" ht="18" customHeight="1" x14ac:dyDescent="0.2"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9"/>
      <c r="AG2656" s="9"/>
      <c r="AH2656" s="9"/>
      <c r="AI2656" s="9"/>
      <c r="AJ2656" s="9"/>
    </row>
    <row r="2657" spans="9:36" s="25" customFormat="1" ht="18" customHeight="1" x14ac:dyDescent="0.2"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9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9"/>
      <c r="AG2657" s="9"/>
      <c r="AH2657" s="9"/>
      <c r="AI2657" s="9"/>
      <c r="AJ2657" s="9"/>
    </row>
    <row r="2658" spans="9:36" s="25" customFormat="1" ht="18" customHeight="1" x14ac:dyDescent="0.2"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9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9"/>
      <c r="AG2658" s="9"/>
      <c r="AH2658" s="9"/>
      <c r="AI2658" s="9"/>
      <c r="AJ2658" s="9"/>
    </row>
    <row r="2659" spans="9:36" s="25" customFormat="1" ht="18" customHeight="1" x14ac:dyDescent="0.2"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9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9"/>
      <c r="AG2659" s="9"/>
      <c r="AH2659" s="9"/>
      <c r="AI2659" s="9"/>
      <c r="AJ2659" s="9"/>
    </row>
    <row r="2660" spans="9:36" s="25" customFormat="1" ht="18" customHeight="1" x14ac:dyDescent="0.2"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9"/>
      <c r="AG2660" s="9"/>
      <c r="AH2660" s="9"/>
      <c r="AI2660" s="9"/>
      <c r="AJ2660" s="9"/>
    </row>
    <row r="2661" spans="9:36" s="25" customFormat="1" ht="18" customHeight="1" x14ac:dyDescent="0.2"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9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9"/>
      <c r="AG2661" s="9"/>
      <c r="AH2661" s="9"/>
      <c r="AI2661" s="9"/>
      <c r="AJ2661" s="9"/>
    </row>
    <row r="2662" spans="9:36" s="25" customFormat="1" ht="18" customHeight="1" x14ac:dyDescent="0.2"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9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9"/>
      <c r="AG2662" s="9"/>
      <c r="AH2662" s="9"/>
      <c r="AI2662" s="9"/>
      <c r="AJ2662" s="9"/>
    </row>
    <row r="2663" spans="9:36" s="25" customFormat="1" ht="18" customHeight="1" x14ac:dyDescent="0.2"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9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9"/>
      <c r="AG2663" s="9"/>
      <c r="AH2663" s="9"/>
      <c r="AI2663" s="9"/>
      <c r="AJ2663" s="9"/>
    </row>
    <row r="2664" spans="9:36" s="25" customFormat="1" ht="18" customHeight="1" x14ac:dyDescent="0.2"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9"/>
      <c r="AG2664" s="9"/>
      <c r="AH2664" s="9"/>
      <c r="AI2664" s="9"/>
      <c r="AJ2664" s="9"/>
    </row>
    <row r="2665" spans="9:36" s="25" customFormat="1" ht="18" customHeight="1" x14ac:dyDescent="0.2"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9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9"/>
      <c r="AG2665" s="9"/>
      <c r="AH2665" s="9"/>
      <c r="AI2665" s="9"/>
      <c r="AJ2665" s="9"/>
    </row>
    <row r="2666" spans="9:36" s="25" customFormat="1" ht="18" customHeight="1" x14ac:dyDescent="0.2"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9"/>
      <c r="AG2666" s="9"/>
      <c r="AH2666" s="9"/>
      <c r="AI2666" s="9"/>
      <c r="AJ2666" s="9"/>
    </row>
    <row r="2667" spans="9:36" s="25" customFormat="1" ht="18" customHeight="1" x14ac:dyDescent="0.2"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9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9"/>
      <c r="AG2667" s="9"/>
      <c r="AH2667" s="9"/>
      <c r="AI2667" s="9"/>
      <c r="AJ2667" s="9"/>
    </row>
    <row r="2668" spans="9:36" s="25" customFormat="1" ht="18" customHeight="1" x14ac:dyDescent="0.2"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9"/>
      <c r="AG2668" s="9"/>
      <c r="AH2668" s="9"/>
      <c r="AI2668" s="9"/>
      <c r="AJ2668" s="9"/>
    </row>
    <row r="2669" spans="9:36" s="25" customFormat="1" ht="18" customHeight="1" x14ac:dyDescent="0.2"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9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9"/>
      <c r="AG2669" s="9"/>
      <c r="AH2669" s="9"/>
      <c r="AI2669" s="9"/>
      <c r="AJ2669" s="9"/>
    </row>
    <row r="2670" spans="9:36" s="25" customFormat="1" ht="18" customHeight="1" x14ac:dyDescent="0.2"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9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9"/>
      <c r="AG2670" s="9"/>
      <c r="AH2670" s="9"/>
      <c r="AI2670" s="9"/>
      <c r="AJ2670" s="9"/>
    </row>
    <row r="2671" spans="9:36" s="25" customFormat="1" ht="18" customHeight="1" x14ac:dyDescent="0.2"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9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9"/>
      <c r="AG2671" s="9"/>
      <c r="AH2671" s="9"/>
      <c r="AI2671" s="9"/>
      <c r="AJ2671" s="9"/>
    </row>
    <row r="2672" spans="9:36" s="25" customFormat="1" ht="18" customHeight="1" x14ac:dyDescent="0.2"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9"/>
      <c r="AG2672" s="9"/>
      <c r="AH2672" s="9"/>
      <c r="AI2672" s="9"/>
      <c r="AJ2672" s="9"/>
    </row>
    <row r="2673" spans="9:36" s="25" customFormat="1" ht="18" customHeight="1" x14ac:dyDescent="0.2"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9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9"/>
      <c r="AG2673" s="9"/>
      <c r="AH2673" s="9"/>
      <c r="AI2673" s="9"/>
      <c r="AJ2673" s="9"/>
    </row>
    <row r="2674" spans="9:36" s="25" customFormat="1" ht="18" customHeight="1" x14ac:dyDescent="0.2"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9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9"/>
      <c r="AG2674" s="9"/>
      <c r="AH2674" s="9"/>
      <c r="AI2674" s="9"/>
      <c r="AJ2674" s="9"/>
    </row>
    <row r="2675" spans="9:36" s="25" customFormat="1" ht="18" customHeight="1" x14ac:dyDescent="0.2"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9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9"/>
      <c r="AG2675" s="9"/>
      <c r="AH2675" s="9"/>
      <c r="AI2675" s="9"/>
      <c r="AJ2675" s="9"/>
    </row>
    <row r="2676" spans="9:36" s="25" customFormat="1" ht="18" customHeight="1" x14ac:dyDescent="0.2"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9"/>
      <c r="AG2676" s="9"/>
      <c r="AH2676" s="9"/>
      <c r="AI2676" s="9"/>
      <c r="AJ2676" s="9"/>
    </row>
    <row r="2677" spans="9:36" s="25" customFormat="1" ht="18" customHeight="1" x14ac:dyDescent="0.2"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9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9"/>
      <c r="AG2677" s="9"/>
      <c r="AH2677" s="9"/>
      <c r="AI2677" s="9"/>
      <c r="AJ2677" s="9"/>
    </row>
    <row r="2678" spans="9:36" s="25" customFormat="1" ht="18" customHeight="1" x14ac:dyDescent="0.2"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9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9"/>
      <c r="AG2678" s="9"/>
      <c r="AH2678" s="9"/>
      <c r="AI2678" s="9"/>
      <c r="AJ2678" s="9"/>
    </row>
    <row r="2679" spans="9:36" s="25" customFormat="1" ht="18" customHeight="1" x14ac:dyDescent="0.2"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9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9"/>
      <c r="AG2679" s="9"/>
      <c r="AH2679" s="9"/>
      <c r="AI2679" s="9"/>
      <c r="AJ2679" s="9"/>
    </row>
    <row r="2680" spans="9:36" s="25" customFormat="1" ht="18" customHeight="1" x14ac:dyDescent="0.2"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9"/>
      <c r="AG2680" s="9"/>
      <c r="AH2680" s="9"/>
      <c r="AI2680" s="9"/>
      <c r="AJ2680" s="9"/>
    </row>
    <row r="2681" spans="9:36" s="25" customFormat="1" ht="18" customHeight="1" x14ac:dyDescent="0.2"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9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9"/>
      <c r="AG2681" s="9"/>
      <c r="AH2681" s="9"/>
      <c r="AI2681" s="9"/>
      <c r="AJ2681" s="9"/>
    </row>
    <row r="2682" spans="9:36" s="25" customFormat="1" ht="18" customHeight="1" x14ac:dyDescent="0.2"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9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9"/>
      <c r="AG2682" s="9"/>
      <c r="AH2682" s="9"/>
      <c r="AI2682" s="9"/>
      <c r="AJ2682" s="9"/>
    </row>
    <row r="2683" spans="9:36" s="25" customFormat="1" ht="18" customHeight="1" x14ac:dyDescent="0.2"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9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9"/>
      <c r="AG2683" s="9"/>
      <c r="AH2683" s="9"/>
      <c r="AI2683" s="9"/>
      <c r="AJ2683" s="9"/>
    </row>
    <row r="2684" spans="9:36" s="25" customFormat="1" ht="18" customHeight="1" x14ac:dyDescent="0.2"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9"/>
      <c r="AG2684" s="9"/>
      <c r="AH2684" s="9"/>
      <c r="AI2684" s="9"/>
      <c r="AJ2684" s="9"/>
    </row>
    <row r="2685" spans="9:36" s="25" customFormat="1" ht="18" customHeight="1" x14ac:dyDescent="0.2"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9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9"/>
      <c r="AG2685" s="9"/>
      <c r="AH2685" s="9"/>
      <c r="AI2685" s="9"/>
      <c r="AJ2685" s="9"/>
    </row>
    <row r="2686" spans="9:36" s="25" customFormat="1" ht="18" customHeight="1" x14ac:dyDescent="0.2"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9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9"/>
      <c r="AG2686" s="9"/>
      <c r="AH2686" s="9"/>
      <c r="AI2686" s="9"/>
      <c r="AJ2686" s="9"/>
    </row>
    <row r="2687" spans="9:36" s="25" customFormat="1" ht="18" customHeight="1" x14ac:dyDescent="0.2"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9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9"/>
      <c r="AG2687" s="9"/>
      <c r="AH2687" s="9"/>
      <c r="AI2687" s="9"/>
      <c r="AJ2687" s="9"/>
    </row>
    <row r="2688" spans="9:36" s="25" customFormat="1" ht="18" customHeight="1" x14ac:dyDescent="0.2"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9"/>
      <c r="AG2688" s="9"/>
      <c r="AH2688" s="9"/>
      <c r="AI2688" s="9"/>
      <c r="AJ2688" s="9"/>
    </row>
    <row r="2689" spans="9:36" s="25" customFormat="1" ht="18" customHeight="1" x14ac:dyDescent="0.2"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9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9"/>
      <c r="AG2689" s="9"/>
      <c r="AH2689" s="9"/>
      <c r="AI2689" s="9"/>
      <c r="AJ2689" s="9"/>
    </row>
    <row r="2690" spans="9:36" s="25" customFormat="1" ht="18" customHeight="1" x14ac:dyDescent="0.2"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9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9"/>
      <c r="AG2690" s="9"/>
      <c r="AH2690" s="9"/>
      <c r="AI2690" s="9"/>
      <c r="AJ2690" s="9"/>
    </row>
    <row r="2691" spans="9:36" s="25" customFormat="1" ht="18" customHeight="1" x14ac:dyDescent="0.2"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9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9"/>
      <c r="AG2691" s="9"/>
      <c r="AH2691" s="9"/>
      <c r="AI2691" s="9"/>
      <c r="AJ2691" s="9"/>
    </row>
    <row r="2692" spans="9:36" s="25" customFormat="1" ht="18" customHeight="1" x14ac:dyDescent="0.2"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9"/>
      <c r="AG2692" s="9"/>
      <c r="AH2692" s="9"/>
      <c r="AI2692" s="9"/>
      <c r="AJ2692" s="9"/>
    </row>
    <row r="2693" spans="9:36" s="25" customFormat="1" ht="18" customHeight="1" x14ac:dyDescent="0.2"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9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9"/>
      <c r="AG2693" s="9"/>
      <c r="AH2693" s="9"/>
      <c r="AI2693" s="9"/>
      <c r="AJ2693" s="9"/>
    </row>
    <row r="2694" spans="9:36" s="25" customFormat="1" ht="18" customHeight="1" x14ac:dyDescent="0.2"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9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9"/>
      <c r="AG2694" s="9"/>
      <c r="AH2694" s="9"/>
      <c r="AI2694" s="9"/>
      <c r="AJ2694" s="9"/>
    </row>
    <row r="2695" spans="9:36" s="25" customFormat="1" ht="18" customHeight="1" x14ac:dyDescent="0.2"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9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9"/>
      <c r="AG2695" s="9"/>
      <c r="AH2695" s="9"/>
      <c r="AI2695" s="9"/>
      <c r="AJ2695" s="9"/>
    </row>
    <row r="2696" spans="9:36" s="25" customFormat="1" ht="18" customHeight="1" x14ac:dyDescent="0.2"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9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9"/>
      <c r="AG2696" s="9"/>
      <c r="AH2696" s="9"/>
      <c r="AI2696" s="9"/>
      <c r="AJ2696" s="9"/>
    </row>
    <row r="2697" spans="9:36" s="25" customFormat="1" ht="18" customHeight="1" x14ac:dyDescent="0.2"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9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9"/>
      <c r="AG2697" s="9"/>
      <c r="AH2697" s="9"/>
      <c r="AI2697" s="9"/>
      <c r="AJ2697" s="9"/>
    </row>
    <row r="2698" spans="9:36" s="25" customFormat="1" ht="18" customHeight="1" x14ac:dyDescent="0.2"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9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9"/>
      <c r="AG2698" s="9"/>
      <c r="AH2698" s="9"/>
      <c r="AI2698" s="9"/>
      <c r="AJ2698" s="9"/>
    </row>
    <row r="2699" spans="9:36" s="25" customFormat="1" ht="18" customHeight="1" x14ac:dyDescent="0.2"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9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9"/>
      <c r="AG2699" s="9"/>
      <c r="AH2699" s="9"/>
      <c r="AI2699" s="9"/>
      <c r="AJ2699" s="9"/>
    </row>
    <row r="2700" spans="9:36" s="25" customFormat="1" ht="18" customHeight="1" x14ac:dyDescent="0.2"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9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9"/>
      <c r="AG2700" s="9"/>
      <c r="AH2700" s="9"/>
      <c r="AI2700" s="9"/>
      <c r="AJ2700" s="9"/>
    </row>
    <row r="2701" spans="9:36" s="25" customFormat="1" ht="18" customHeight="1" x14ac:dyDescent="0.2"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9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9"/>
      <c r="AG2701" s="9"/>
      <c r="AH2701" s="9"/>
      <c r="AI2701" s="9"/>
      <c r="AJ2701" s="9"/>
    </row>
    <row r="2702" spans="9:36" s="25" customFormat="1" ht="18" customHeight="1" x14ac:dyDescent="0.2"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9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9"/>
      <c r="AG2702" s="9"/>
      <c r="AH2702" s="9"/>
      <c r="AI2702" s="9"/>
      <c r="AJ2702" s="9"/>
    </row>
    <row r="2703" spans="9:36" s="25" customFormat="1" ht="18" customHeight="1" x14ac:dyDescent="0.2"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9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9"/>
      <c r="AG2703" s="9"/>
      <c r="AH2703" s="9"/>
      <c r="AI2703" s="9"/>
      <c r="AJ2703" s="9"/>
    </row>
    <row r="2704" spans="9:36" s="25" customFormat="1" ht="18" customHeight="1" x14ac:dyDescent="0.2"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9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9"/>
      <c r="AG2704" s="9"/>
      <c r="AH2704" s="9"/>
      <c r="AI2704" s="9"/>
      <c r="AJ2704" s="9"/>
    </row>
    <row r="2705" spans="9:36" s="25" customFormat="1" ht="18" customHeight="1" x14ac:dyDescent="0.2"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9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9"/>
      <c r="AG2705" s="9"/>
      <c r="AH2705" s="9"/>
      <c r="AI2705" s="9"/>
      <c r="AJ2705" s="9"/>
    </row>
    <row r="2706" spans="9:36" s="25" customFormat="1" ht="18" customHeight="1" x14ac:dyDescent="0.2"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9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9"/>
      <c r="AG2706" s="9"/>
      <c r="AH2706" s="9"/>
      <c r="AI2706" s="9"/>
      <c r="AJ2706" s="9"/>
    </row>
    <row r="2707" spans="9:36" s="25" customFormat="1" ht="18" customHeight="1" x14ac:dyDescent="0.2"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9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9"/>
      <c r="AG2707" s="9"/>
      <c r="AH2707" s="9"/>
      <c r="AI2707" s="9"/>
      <c r="AJ2707" s="9"/>
    </row>
    <row r="2708" spans="9:36" s="25" customFormat="1" ht="18" customHeight="1" x14ac:dyDescent="0.2"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9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9"/>
      <c r="AG2708" s="9"/>
      <c r="AH2708" s="9"/>
      <c r="AI2708" s="9"/>
      <c r="AJ2708" s="9"/>
    </row>
    <row r="2709" spans="9:36" s="25" customFormat="1" ht="18" customHeight="1" x14ac:dyDescent="0.2"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9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9"/>
      <c r="AG2709" s="9"/>
      <c r="AH2709" s="9"/>
      <c r="AI2709" s="9"/>
      <c r="AJ2709" s="9"/>
    </row>
    <row r="2710" spans="9:36" s="25" customFormat="1" ht="18" customHeight="1" x14ac:dyDescent="0.2"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9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9"/>
      <c r="AG2710" s="9"/>
      <c r="AH2710" s="9"/>
      <c r="AI2710" s="9"/>
      <c r="AJ2710" s="9"/>
    </row>
    <row r="2711" spans="9:36" s="25" customFormat="1" ht="18" customHeight="1" x14ac:dyDescent="0.2"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9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9"/>
      <c r="AG2711" s="9"/>
      <c r="AH2711" s="9"/>
      <c r="AI2711" s="9"/>
      <c r="AJ2711" s="9"/>
    </row>
    <row r="2712" spans="9:36" s="25" customFormat="1" ht="18" customHeight="1" x14ac:dyDescent="0.2"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9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9"/>
      <c r="AG2712" s="9"/>
      <c r="AH2712" s="9"/>
      <c r="AI2712" s="9"/>
      <c r="AJ2712" s="9"/>
    </row>
    <row r="2713" spans="9:36" s="25" customFormat="1" ht="18" customHeight="1" x14ac:dyDescent="0.2"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9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9"/>
      <c r="AG2713" s="9"/>
      <c r="AH2713" s="9"/>
      <c r="AI2713" s="9"/>
      <c r="AJ2713" s="9"/>
    </row>
    <row r="2714" spans="9:36" s="25" customFormat="1" ht="18" customHeight="1" x14ac:dyDescent="0.2"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9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9"/>
      <c r="AG2714" s="9"/>
      <c r="AH2714" s="9"/>
      <c r="AI2714" s="9"/>
      <c r="AJ2714" s="9"/>
    </row>
    <row r="2715" spans="9:36" s="25" customFormat="1" ht="18" customHeight="1" x14ac:dyDescent="0.2"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9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9"/>
      <c r="AG2715" s="9"/>
      <c r="AH2715" s="9"/>
      <c r="AI2715" s="9"/>
      <c r="AJ2715" s="9"/>
    </row>
    <row r="2716" spans="9:36" s="25" customFormat="1" ht="18" customHeight="1" x14ac:dyDescent="0.2"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9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9"/>
      <c r="AG2716" s="9"/>
      <c r="AH2716" s="9"/>
      <c r="AI2716" s="9"/>
      <c r="AJ2716" s="9"/>
    </row>
    <row r="2717" spans="9:36" s="25" customFormat="1" ht="18" customHeight="1" x14ac:dyDescent="0.2"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9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9"/>
      <c r="AG2717" s="9"/>
      <c r="AH2717" s="9"/>
      <c r="AI2717" s="9"/>
      <c r="AJ2717" s="9"/>
    </row>
    <row r="2718" spans="9:36" s="25" customFormat="1" ht="18" customHeight="1" x14ac:dyDescent="0.2"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9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9"/>
      <c r="AG2718" s="9"/>
      <c r="AH2718" s="9"/>
      <c r="AI2718" s="9"/>
      <c r="AJ2718" s="9"/>
    </row>
    <row r="2719" spans="9:36" s="25" customFormat="1" ht="18" customHeight="1" x14ac:dyDescent="0.2"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9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9"/>
      <c r="AG2719" s="9"/>
      <c r="AH2719" s="9"/>
      <c r="AI2719" s="9"/>
      <c r="AJ2719" s="9"/>
    </row>
    <row r="2720" spans="9:36" s="25" customFormat="1" ht="18" customHeight="1" x14ac:dyDescent="0.2"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9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9"/>
      <c r="AG2720" s="9"/>
      <c r="AH2720" s="9"/>
      <c r="AI2720" s="9"/>
      <c r="AJ2720" s="9"/>
    </row>
    <row r="2721" spans="9:36" s="25" customFormat="1" ht="18" customHeight="1" x14ac:dyDescent="0.2"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9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9"/>
      <c r="AG2721" s="9"/>
      <c r="AH2721" s="9"/>
      <c r="AI2721" s="9"/>
      <c r="AJ2721" s="9"/>
    </row>
    <row r="2722" spans="9:36" s="25" customFormat="1" ht="18" customHeight="1" x14ac:dyDescent="0.2"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9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9"/>
      <c r="AG2722" s="9"/>
      <c r="AH2722" s="9"/>
      <c r="AI2722" s="9"/>
      <c r="AJ2722" s="9"/>
    </row>
    <row r="2723" spans="9:36" s="25" customFormat="1" ht="18" customHeight="1" x14ac:dyDescent="0.2"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9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9"/>
      <c r="AG2723" s="9"/>
      <c r="AH2723" s="9"/>
      <c r="AI2723" s="9"/>
      <c r="AJ2723" s="9"/>
    </row>
    <row r="2724" spans="9:36" s="25" customFormat="1" ht="18" customHeight="1" x14ac:dyDescent="0.2"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9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9"/>
      <c r="AG2724" s="9"/>
      <c r="AH2724" s="9"/>
      <c r="AI2724" s="9"/>
      <c r="AJ2724" s="9"/>
    </row>
    <row r="2725" spans="9:36" s="25" customFormat="1" ht="18" customHeight="1" x14ac:dyDescent="0.2"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9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9"/>
      <c r="AG2725" s="9"/>
      <c r="AH2725" s="9"/>
      <c r="AI2725" s="9"/>
      <c r="AJ2725" s="9"/>
    </row>
    <row r="2726" spans="9:36" s="25" customFormat="1" ht="18" customHeight="1" x14ac:dyDescent="0.2"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9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9"/>
      <c r="AG2726" s="9"/>
      <c r="AH2726" s="9"/>
      <c r="AI2726" s="9"/>
      <c r="AJ2726" s="9"/>
    </row>
    <row r="2727" spans="9:36" s="25" customFormat="1" ht="18" customHeight="1" x14ac:dyDescent="0.2"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9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9"/>
      <c r="AG2727" s="9"/>
      <c r="AH2727" s="9"/>
      <c r="AI2727" s="9"/>
      <c r="AJ2727" s="9"/>
    </row>
    <row r="2728" spans="9:36" s="25" customFormat="1" ht="18" customHeight="1" x14ac:dyDescent="0.2"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9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9"/>
      <c r="AG2728" s="9"/>
      <c r="AH2728" s="9"/>
      <c r="AI2728" s="9"/>
      <c r="AJ2728" s="9"/>
    </row>
    <row r="2729" spans="9:36" s="25" customFormat="1" ht="18" customHeight="1" x14ac:dyDescent="0.2"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9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9"/>
      <c r="AG2729" s="9"/>
      <c r="AH2729" s="9"/>
      <c r="AI2729" s="9"/>
      <c r="AJ2729" s="9"/>
    </row>
    <row r="2730" spans="9:36" s="25" customFormat="1" ht="18" customHeight="1" x14ac:dyDescent="0.2"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9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9"/>
      <c r="AG2730" s="9"/>
      <c r="AH2730" s="9"/>
      <c r="AI2730" s="9"/>
      <c r="AJ2730" s="9"/>
    </row>
    <row r="2731" spans="9:36" s="25" customFormat="1" ht="18" customHeight="1" x14ac:dyDescent="0.2"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9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9"/>
      <c r="AG2731" s="9"/>
      <c r="AH2731" s="9"/>
      <c r="AI2731" s="9"/>
      <c r="AJ2731" s="9"/>
    </row>
    <row r="2732" spans="9:36" s="25" customFormat="1" ht="18" customHeight="1" x14ac:dyDescent="0.2"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9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9"/>
      <c r="AG2732" s="9"/>
      <c r="AH2732" s="9"/>
      <c r="AI2732" s="9"/>
      <c r="AJ2732" s="9"/>
    </row>
    <row r="2733" spans="9:36" s="25" customFormat="1" ht="18" customHeight="1" x14ac:dyDescent="0.2"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9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9"/>
      <c r="AG2733" s="9"/>
      <c r="AH2733" s="9"/>
      <c r="AI2733" s="9"/>
      <c r="AJ2733" s="9"/>
    </row>
    <row r="2734" spans="9:36" s="25" customFormat="1" ht="18" customHeight="1" x14ac:dyDescent="0.2"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9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9"/>
      <c r="AG2734" s="9"/>
      <c r="AH2734" s="9"/>
      <c r="AI2734" s="9"/>
      <c r="AJ2734" s="9"/>
    </row>
    <row r="2735" spans="9:36" s="25" customFormat="1" ht="18" customHeight="1" x14ac:dyDescent="0.2"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9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9"/>
      <c r="AG2735" s="9"/>
      <c r="AH2735" s="9"/>
      <c r="AI2735" s="9"/>
      <c r="AJ2735" s="9"/>
    </row>
    <row r="2736" spans="9:36" s="25" customFormat="1" ht="18" customHeight="1" x14ac:dyDescent="0.2"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9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9"/>
      <c r="AG2736" s="9"/>
      <c r="AH2736" s="9"/>
      <c r="AI2736" s="9"/>
      <c r="AJ2736" s="9"/>
    </row>
    <row r="2737" spans="9:36" s="25" customFormat="1" ht="18" customHeight="1" x14ac:dyDescent="0.2"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9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9"/>
      <c r="AG2737" s="9"/>
      <c r="AH2737" s="9"/>
      <c r="AI2737" s="9"/>
      <c r="AJ2737" s="9"/>
    </row>
    <row r="2738" spans="9:36" s="25" customFormat="1" ht="18" customHeight="1" x14ac:dyDescent="0.2"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9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9"/>
      <c r="AG2738" s="9"/>
      <c r="AH2738" s="9"/>
      <c r="AI2738" s="9"/>
      <c r="AJ2738" s="9"/>
    </row>
    <row r="2739" spans="9:36" s="25" customFormat="1" ht="18" customHeight="1" x14ac:dyDescent="0.2"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9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9"/>
      <c r="AG2739" s="9"/>
      <c r="AH2739" s="9"/>
      <c r="AI2739" s="9"/>
      <c r="AJ2739" s="9"/>
    </row>
    <row r="2740" spans="9:36" s="25" customFormat="1" ht="18" customHeight="1" x14ac:dyDescent="0.2"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9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9"/>
      <c r="AG2740" s="9"/>
      <c r="AH2740" s="9"/>
      <c r="AI2740" s="9"/>
      <c r="AJ2740" s="9"/>
    </row>
    <row r="2741" spans="9:36" s="25" customFormat="1" ht="18" customHeight="1" x14ac:dyDescent="0.2"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9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9"/>
      <c r="AG2741" s="9"/>
      <c r="AH2741" s="9"/>
      <c r="AI2741" s="9"/>
      <c r="AJ2741" s="9"/>
    </row>
    <row r="2742" spans="9:36" s="25" customFormat="1" ht="18" customHeight="1" x14ac:dyDescent="0.2"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9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9"/>
      <c r="AG2742" s="9"/>
      <c r="AH2742" s="9"/>
      <c r="AI2742" s="9"/>
      <c r="AJ2742" s="9"/>
    </row>
    <row r="2743" spans="9:36" s="25" customFormat="1" ht="18" customHeight="1" x14ac:dyDescent="0.2"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9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9"/>
      <c r="AG2743" s="9"/>
      <c r="AH2743" s="9"/>
      <c r="AI2743" s="9"/>
      <c r="AJ2743" s="9"/>
    </row>
    <row r="2744" spans="9:36" s="25" customFormat="1" ht="18" customHeight="1" x14ac:dyDescent="0.2"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9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9"/>
      <c r="AG2744" s="9"/>
      <c r="AH2744" s="9"/>
      <c r="AI2744" s="9"/>
      <c r="AJ2744" s="9"/>
    </row>
    <row r="2745" spans="9:36" s="25" customFormat="1" ht="18" customHeight="1" x14ac:dyDescent="0.2"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9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9"/>
      <c r="AG2745" s="9"/>
      <c r="AH2745" s="9"/>
      <c r="AI2745" s="9"/>
      <c r="AJ2745" s="9"/>
    </row>
    <row r="2746" spans="9:36" s="25" customFormat="1" ht="18" customHeight="1" x14ac:dyDescent="0.2"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9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9"/>
      <c r="AG2746" s="9"/>
      <c r="AH2746" s="9"/>
      <c r="AI2746" s="9"/>
      <c r="AJ2746" s="9"/>
    </row>
    <row r="2747" spans="9:36" s="25" customFormat="1" ht="18" customHeight="1" x14ac:dyDescent="0.2"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9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9"/>
      <c r="AG2747" s="9"/>
      <c r="AH2747" s="9"/>
      <c r="AI2747" s="9"/>
      <c r="AJ2747" s="9"/>
    </row>
    <row r="2748" spans="9:36" s="25" customFormat="1" ht="18" customHeight="1" x14ac:dyDescent="0.2"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9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9"/>
      <c r="AG2748" s="9"/>
      <c r="AH2748" s="9"/>
      <c r="AI2748" s="9"/>
      <c r="AJ2748" s="9"/>
    </row>
    <row r="2749" spans="9:36" s="25" customFormat="1" ht="18" customHeight="1" x14ac:dyDescent="0.2"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9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9"/>
      <c r="AG2749" s="9"/>
      <c r="AH2749" s="9"/>
      <c r="AI2749" s="9"/>
      <c r="AJ2749" s="9"/>
    </row>
    <row r="2750" spans="9:36" s="25" customFormat="1" ht="18" customHeight="1" x14ac:dyDescent="0.2"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9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9"/>
      <c r="AG2750" s="9"/>
      <c r="AH2750" s="9"/>
      <c r="AI2750" s="9"/>
      <c r="AJ2750" s="9"/>
    </row>
    <row r="2751" spans="9:36" s="25" customFormat="1" ht="18" customHeight="1" x14ac:dyDescent="0.2"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9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9"/>
      <c r="AG2751" s="9"/>
      <c r="AH2751" s="9"/>
      <c r="AI2751" s="9"/>
      <c r="AJ2751" s="9"/>
    </row>
    <row r="2752" spans="9:36" s="25" customFormat="1" ht="18" customHeight="1" x14ac:dyDescent="0.2"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9"/>
      <c r="AG2752" s="9"/>
      <c r="AH2752" s="9"/>
      <c r="AI2752" s="9"/>
      <c r="AJ2752" s="9"/>
    </row>
    <row r="2753" spans="9:36" s="25" customFormat="1" ht="18" customHeight="1" x14ac:dyDescent="0.2"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9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9"/>
      <c r="AG2753" s="9"/>
      <c r="AH2753" s="9"/>
      <c r="AI2753" s="9"/>
      <c r="AJ2753" s="9"/>
    </row>
    <row r="2754" spans="9:36" s="25" customFormat="1" ht="18" customHeight="1" x14ac:dyDescent="0.2"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9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9"/>
      <c r="AG2754" s="9"/>
      <c r="AH2754" s="9"/>
      <c r="AI2754" s="9"/>
      <c r="AJ2754" s="9"/>
    </row>
    <row r="2755" spans="9:36" s="25" customFormat="1" ht="18" customHeight="1" x14ac:dyDescent="0.2"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9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9"/>
      <c r="AG2755" s="9"/>
      <c r="AH2755" s="9"/>
      <c r="AI2755" s="9"/>
      <c r="AJ2755" s="9"/>
    </row>
    <row r="2756" spans="9:36" s="25" customFormat="1" ht="18" customHeight="1" x14ac:dyDescent="0.2"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9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9"/>
      <c r="AG2756" s="9"/>
      <c r="AH2756" s="9"/>
      <c r="AI2756" s="9"/>
      <c r="AJ2756" s="9"/>
    </row>
    <row r="2757" spans="9:36" s="25" customFormat="1" ht="18" customHeight="1" x14ac:dyDescent="0.2"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9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9"/>
      <c r="AG2757" s="9"/>
      <c r="AH2757" s="9"/>
      <c r="AI2757" s="9"/>
      <c r="AJ2757" s="9"/>
    </row>
    <row r="2758" spans="9:36" s="25" customFormat="1" ht="18" customHeight="1" x14ac:dyDescent="0.2"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9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9"/>
      <c r="AG2758" s="9"/>
      <c r="AH2758" s="9"/>
      <c r="AI2758" s="9"/>
      <c r="AJ2758" s="9"/>
    </row>
    <row r="2759" spans="9:36" s="25" customFormat="1" ht="18" customHeight="1" x14ac:dyDescent="0.2"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9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9"/>
      <c r="AG2759" s="9"/>
      <c r="AH2759" s="9"/>
      <c r="AI2759" s="9"/>
      <c r="AJ2759" s="9"/>
    </row>
    <row r="2760" spans="9:36" s="25" customFormat="1" ht="18" customHeight="1" x14ac:dyDescent="0.2"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9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9"/>
      <c r="AG2760" s="9"/>
      <c r="AH2760" s="9"/>
      <c r="AI2760" s="9"/>
      <c r="AJ2760" s="9"/>
    </row>
    <row r="2761" spans="9:36" s="25" customFormat="1" ht="18" customHeight="1" x14ac:dyDescent="0.2"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9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9"/>
      <c r="AG2761" s="9"/>
      <c r="AH2761" s="9"/>
      <c r="AI2761" s="9"/>
      <c r="AJ2761" s="9"/>
    </row>
    <row r="2762" spans="9:36" s="25" customFormat="1" ht="18" customHeight="1" x14ac:dyDescent="0.2"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9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9"/>
      <c r="AG2762" s="9"/>
      <c r="AH2762" s="9"/>
      <c r="AI2762" s="9"/>
      <c r="AJ2762" s="9"/>
    </row>
    <row r="2763" spans="9:36" s="25" customFormat="1" ht="18" customHeight="1" x14ac:dyDescent="0.2"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9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9"/>
      <c r="AG2763" s="9"/>
      <c r="AH2763" s="9"/>
      <c r="AI2763" s="9"/>
      <c r="AJ2763" s="9"/>
    </row>
    <row r="2764" spans="9:36" s="25" customFormat="1" ht="18" customHeight="1" x14ac:dyDescent="0.2"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9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9"/>
      <c r="AG2764" s="9"/>
      <c r="AH2764" s="9"/>
      <c r="AI2764" s="9"/>
      <c r="AJ2764" s="9"/>
    </row>
    <row r="2765" spans="9:36" s="25" customFormat="1" ht="18" customHeight="1" x14ac:dyDescent="0.2"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9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9"/>
      <c r="AG2765" s="9"/>
      <c r="AH2765" s="9"/>
      <c r="AI2765" s="9"/>
      <c r="AJ2765" s="9"/>
    </row>
    <row r="2766" spans="9:36" s="25" customFormat="1" ht="18" customHeight="1" x14ac:dyDescent="0.2"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9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9"/>
      <c r="AG2766" s="9"/>
      <c r="AH2766" s="9"/>
      <c r="AI2766" s="9"/>
      <c r="AJ2766" s="9"/>
    </row>
    <row r="2767" spans="9:36" s="25" customFormat="1" ht="18" customHeight="1" x14ac:dyDescent="0.2"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9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9"/>
      <c r="AG2767" s="9"/>
      <c r="AH2767" s="9"/>
      <c r="AI2767" s="9"/>
      <c r="AJ2767" s="9"/>
    </row>
    <row r="2768" spans="9:36" s="25" customFormat="1" ht="18" customHeight="1" x14ac:dyDescent="0.2"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9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9"/>
      <c r="AG2768" s="9"/>
      <c r="AH2768" s="9"/>
      <c r="AI2768" s="9"/>
      <c r="AJ2768" s="9"/>
    </row>
    <row r="2769" spans="9:36" s="25" customFormat="1" ht="18" customHeight="1" x14ac:dyDescent="0.2"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9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9"/>
      <c r="AG2769" s="9"/>
      <c r="AH2769" s="9"/>
      <c r="AI2769" s="9"/>
      <c r="AJ2769" s="9"/>
    </row>
    <row r="2770" spans="9:36" s="25" customFormat="1" ht="18" customHeight="1" x14ac:dyDescent="0.2"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9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9"/>
      <c r="AG2770" s="9"/>
      <c r="AH2770" s="9"/>
      <c r="AI2770" s="9"/>
      <c r="AJ2770" s="9"/>
    </row>
    <row r="2771" spans="9:36" s="25" customFormat="1" ht="18" customHeight="1" x14ac:dyDescent="0.2"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9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9"/>
      <c r="AG2771" s="9"/>
      <c r="AH2771" s="9"/>
      <c r="AI2771" s="9"/>
      <c r="AJ2771" s="9"/>
    </row>
    <row r="2772" spans="9:36" s="25" customFormat="1" ht="18" customHeight="1" x14ac:dyDescent="0.2"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9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9"/>
      <c r="AG2772" s="9"/>
      <c r="AH2772" s="9"/>
      <c r="AI2772" s="9"/>
      <c r="AJ2772" s="9"/>
    </row>
    <row r="2773" spans="9:36" s="25" customFormat="1" ht="18" customHeight="1" x14ac:dyDescent="0.2"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9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9"/>
      <c r="AG2773" s="9"/>
      <c r="AH2773" s="9"/>
      <c r="AI2773" s="9"/>
      <c r="AJ2773" s="9"/>
    </row>
    <row r="2774" spans="9:36" s="25" customFormat="1" ht="18" customHeight="1" x14ac:dyDescent="0.2"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9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9"/>
      <c r="AG2774" s="9"/>
      <c r="AH2774" s="9"/>
      <c r="AI2774" s="9"/>
      <c r="AJ2774" s="9"/>
    </row>
    <row r="2775" spans="9:36" s="25" customFormat="1" ht="18" customHeight="1" x14ac:dyDescent="0.2"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9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9"/>
      <c r="AG2775" s="9"/>
      <c r="AH2775" s="9"/>
      <c r="AI2775" s="9"/>
      <c r="AJ2775" s="9"/>
    </row>
    <row r="2776" spans="9:36" s="25" customFormat="1" ht="18" customHeight="1" x14ac:dyDescent="0.2"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9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9"/>
      <c r="AG2776" s="9"/>
      <c r="AH2776" s="9"/>
      <c r="AI2776" s="9"/>
      <c r="AJ2776" s="9"/>
    </row>
    <row r="2777" spans="9:36" s="25" customFormat="1" ht="18" customHeight="1" x14ac:dyDescent="0.2"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9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9"/>
      <c r="AG2777" s="9"/>
      <c r="AH2777" s="9"/>
      <c r="AI2777" s="9"/>
      <c r="AJ2777" s="9"/>
    </row>
    <row r="2778" spans="9:36" s="25" customFormat="1" ht="18" customHeight="1" x14ac:dyDescent="0.2"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9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9"/>
      <c r="AG2778" s="9"/>
      <c r="AH2778" s="9"/>
      <c r="AI2778" s="9"/>
      <c r="AJ2778" s="9"/>
    </row>
    <row r="2779" spans="9:36" s="25" customFormat="1" ht="18" customHeight="1" x14ac:dyDescent="0.2"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9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9"/>
      <c r="AG2779" s="9"/>
      <c r="AH2779" s="9"/>
      <c r="AI2779" s="9"/>
      <c r="AJ2779" s="9"/>
    </row>
    <row r="2780" spans="9:36" s="25" customFormat="1" ht="18" customHeight="1" x14ac:dyDescent="0.2"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9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9"/>
      <c r="AG2780" s="9"/>
      <c r="AH2780" s="9"/>
      <c r="AI2780" s="9"/>
      <c r="AJ2780" s="9"/>
    </row>
    <row r="2781" spans="9:36" s="25" customFormat="1" ht="18" customHeight="1" x14ac:dyDescent="0.2"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9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9"/>
      <c r="AG2781" s="9"/>
      <c r="AH2781" s="9"/>
      <c r="AI2781" s="9"/>
      <c r="AJ2781" s="9"/>
    </row>
    <row r="2782" spans="9:36" s="25" customFormat="1" ht="18" customHeight="1" x14ac:dyDescent="0.2"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9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9"/>
      <c r="AG2782" s="9"/>
      <c r="AH2782" s="9"/>
      <c r="AI2782" s="9"/>
      <c r="AJ2782" s="9"/>
    </row>
    <row r="2783" spans="9:36" s="25" customFormat="1" ht="18" customHeight="1" x14ac:dyDescent="0.2"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9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9"/>
      <c r="AG2783" s="9"/>
      <c r="AH2783" s="9"/>
      <c r="AI2783" s="9"/>
      <c r="AJ2783" s="9"/>
    </row>
    <row r="2784" spans="9:36" s="25" customFormat="1" ht="18" customHeight="1" x14ac:dyDescent="0.2"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9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9"/>
      <c r="AG2784" s="9"/>
      <c r="AH2784" s="9"/>
      <c r="AI2784" s="9"/>
      <c r="AJ2784" s="9"/>
    </row>
    <row r="2785" spans="9:36" s="25" customFormat="1" ht="18" customHeight="1" x14ac:dyDescent="0.2"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9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9"/>
      <c r="AG2785" s="9"/>
      <c r="AH2785" s="9"/>
      <c r="AI2785" s="9"/>
      <c r="AJ2785" s="9"/>
    </row>
    <row r="2786" spans="9:36" s="25" customFormat="1" ht="18" customHeight="1" x14ac:dyDescent="0.2"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9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9"/>
      <c r="AG2786" s="9"/>
      <c r="AH2786" s="9"/>
      <c r="AI2786" s="9"/>
      <c r="AJ2786" s="9"/>
    </row>
    <row r="2787" spans="9:36" s="25" customFormat="1" ht="18" customHeight="1" x14ac:dyDescent="0.2"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9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9"/>
      <c r="AG2787" s="9"/>
      <c r="AH2787" s="9"/>
      <c r="AI2787" s="9"/>
      <c r="AJ2787" s="9"/>
    </row>
    <row r="2788" spans="9:36" s="25" customFormat="1" ht="18" customHeight="1" x14ac:dyDescent="0.2"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9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9"/>
      <c r="AG2788" s="9"/>
      <c r="AH2788" s="9"/>
      <c r="AI2788" s="9"/>
      <c r="AJ2788" s="9"/>
    </row>
    <row r="2789" spans="9:36" s="25" customFormat="1" ht="18" customHeight="1" x14ac:dyDescent="0.2"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9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9"/>
      <c r="AG2789" s="9"/>
      <c r="AH2789" s="9"/>
      <c r="AI2789" s="9"/>
      <c r="AJ2789" s="9"/>
    </row>
    <row r="2790" spans="9:36" s="25" customFormat="1" ht="18" customHeight="1" x14ac:dyDescent="0.2"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9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9"/>
      <c r="AG2790" s="9"/>
      <c r="AH2790" s="9"/>
      <c r="AI2790" s="9"/>
      <c r="AJ2790" s="9"/>
    </row>
    <row r="2791" spans="9:36" s="25" customFormat="1" ht="18" customHeight="1" x14ac:dyDescent="0.2"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9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9"/>
      <c r="AG2791" s="9"/>
      <c r="AH2791" s="9"/>
      <c r="AI2791" s="9"/>
      <c r="AJ2791" s="9"/>
    </row>
    <row r="2792" spans="9:36" s="25" customFormat="1" ht="18" customHeight="1" x14ac:dyDescent="0.2"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9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9"/>
      <c r="AG2792" s="9"/>
      <c r="AH2792" s="9"/>
      <c r="AI2792" s="9"/>
      <c r="AJ2792" s="9"/>
    </row>
    <row r="2793" spans="9:36" s="25" customFormat="1" ht="18" customHeight="1" x14ac:dyDescent="0.2"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9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9"/>
      <c r="AG2793" s="9"/>
      <c r="AH2793" s="9"/>
      <c r="AI2793" s="9"/>
      <c r="AJ2793" s="9"/>
    </row>
    <row r="2794" spans="9:36" s="25" customFormat="1" ht="18" customHeight="1" x14ac:dyDescent="0.2"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9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9"/>
      <c r="AG2794" s="9"/>
      <c r="AH2794" s="9"/>
      <c r="AI2794" s="9"/>
      <c r="AJ2794" s="9"/>
    </row>
    <row r="2795" spans="9:36" s="25" customFormat="1" ht="18" customHeight="1" x14ac:dyDescent="0.2"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9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9"/>
      <c r="AG2795" s="9"/>
      <c r="AH2795" s="9"/>
      <c r="AI2795" s="9"/>
      <c r="AJ2795" s="9"/>
    </row>
    <row r="2796" spans="9:36" s="25" customFormat="1" ht="18" customHeight="1" x14ac:dyDescent="0.2"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9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9"/>
      <c r="AG2796" s="9"/>
      <c r="AH2796" s="9"/>
      <c r="AI2796" s="9"/>
      <c r="AJ2796" s="9"/>
    </row>
    <row r="2797" spans="9:36" s="25" customFormat="1" ht="18" customHeight="1" x14ac:dyDescent="0.2"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9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9"/>
      <c r="AG2797" s="9"/>
      <c r="AH2797" s="9"/>
      <c r="AI2797" s="9"/>
      <c r="AJ2797" s="9"/>
    </row>
    <row r="2798" spans="9:36" s="25" customFormat="1" ht="18" customHeight="1" x14ac:dyDescent="0.2"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9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9"/>
      <c r="AG2798" s="9"/>
      <c r="AH2798" s="9"/>
      <c r="AI2798" s="9"/>
      <c r="AJ2798" s="9"/>
    </row>
    <row r="2799" spans="9:36" s="25" customFormat="1" ht="18" customHeight="1" x14ac:dyDescent="0.2"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9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9"/>
      <c r="AG2799" s="9"/>
      <c r="AH2799" s="9"/>
      <c r="AI2799" s="9"/>
      <c r="AJ2799" s="9"/>
    </row>
    <row r="2800" spans="9:36" s="25" customFormat="1" ht="18" customHeight="1" x14ac:dyDescent="0.2"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9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9"/>
      <c r="AG2800" s="9"/>
      <c r="AH2800" s="9"/>
      <c r="AI2800" s="9"/>
      <c r="AJ2800" s="9"/>
    </row>
    <row r="2801" spans="9:36" s="25" customFormat="1" ht="18" customHeight="1" x14ac:dyDescent="0.2"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9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9"/>
      <c r="AG2801" s="9"/>
      <c r="AH2801" s="9"/>
      <c r="AI2801" s="9"/>
      <c r="AJ2801" s="9"/>
    </row>
    <row r="2802" spans="9:36" s="25" customFormat="1" ht="18" customHeight="1" x14ac:dyDescent="0.2"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9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9"/>
      <c r="AG2802" s="9"/>
      <c r="AH2802" s="9"/>
      <c r="AI2802" s="9"/>
      <c r="AJ2802" s="9"/>
    </row>
    <row r="2803" spans="9:36" s="25" customFormat="1" ht="18" customHeight="1" x14ac:dyDescent="0.2"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9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9"/>
      <c r="AG2803" s="9"/>
      <c r="AH2803" s="9"/>
      <c r="AI2803" s="9"/>
      <c r="AJ2803" s="9"/>
    </row>
    <row r="2804" spans="9:36" s="25" customFormat="1" ht="18" customHeight="1" x14ac:dyDescent="0.2"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9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9"/>
      <c r="AG2804" s="9"/>
      <c r="AH2804" s="9"/>
      <c r="AI2804" s="9"/>
      <c r="AJ2804" s="9"/>
    </row>
    <row r="2805" spans="9:36" s="25" customFormat="1" ht="18" customHeight="1" x14ac:dyDescent="0.2"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9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9"/>
      <c r="AG2805" s="9"/>
      <c r="AH2805" s="9"/>
      <c r="AI2805" s="9"/>
      <c r="AJ2805" s="9"/>
    </row>
    <row r="2806" spans="9:36" s="25" customFormat="1" ht="18" customHeight="1" x14ac:dyDescent="0.2"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9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9"/>
      <c r="AG2806" s="9"/>
      <c r="AH2806" s="9"/>
      <c r="AI2806" s="9"/>
      <c r="AJ2806" s="9"/>
    </row>
    <row r="2807" spans="9:36" s="25" customFormat="1" ht="18" customHeight="1" x14ac:dyDescent="0.2"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9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9"/>
      <c r="AG2807" s="9"/>
      <c r="AH2807" s="9"/>
      <c r="AI2807" s="9"/>
      <c r="AJ2807" s="9"/>
    </row>
    <row r="2808" spans="9:36" s="25" customFormat="1" ht="18" customHeight="1" x14ac:dyDescent="0.2"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9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9"/>
      <c r="AG2808" s="9"/>
      <c r="AH2808" s="9"/>
      <c r="AI2808" s="9"/>
      <c r="AJ2808" s="9"/>
    </row>
    <row r="2809" spans="9:36" s="25" customFormat="1" ht="18" customHeight="1" x14ac:dyDescent="0.2"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9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9"/>
      <c r="AG2809" s="9"/>
      <c r="AH2809" s="9"/>
      <c r="AI2809" s="9"/>
      <c r="AJ2809" s="9"/>
    </row>
    <row r="2810" spans="9:36" s="25" customFormat="1" ht="18" customHeight="1" x14ac:dyDescent="0.2"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9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9"/>
      <c r="AG2810" s="9"/>
      <c r="AH2810" s="9"/>
      <c r="AI2810" s="9"/>
      <c r="AJ2810" s="9"/>
    </row>
    <row r="2811" spans="9:36" s="25" customFormat="1" ht="18" customHeight="1" x14ac:dyDescent="0.2"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9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9"/>
      <c r="AG2811" s="9"/>
      <c r="AH2811" s="9"/>
      <c r="AI2811" s="9"/>
      <c r="AJ2811" s="9"/>
    </row>
    <row r="2812" spans="9:36" s="25" customFormat="1" ht="18" customHeight="1" x14ac:dyDescent="0.2"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9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9"/>
      <c r="AG2812" s="9"/>
      <c r="AH2812" s="9"/>
      <c r="AI2812" s="9"/>
      <c r="AJ2812" s="9"/>
    </row>
    <row r="2813" spans="9:36" s="25" customFormat="1" ht="18" customHeight="1" x14ac:dyDescent="0.2"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9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9"/>
      <c r="AG2813" s="9"/>
      <c r="AH2813" s="9"/>
      <c r="AI2813" s="9"/>
      <c r="AJ2813" s="9"/>
    </row>
    <row r="2814" spans="9:36" s="25" customFormat="1" ht="18" customHeight="1" x14ac:dyDescent="0.2"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9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9"/>
      <c r="AG2814" s="9"/>
      <c r="AH2814" s="9"/>
      <c r="AI2814" s="9"/>
      <c r="AJ2814" s="9"/>
    </row>
    <row r="2815" spans="9:36" s="25" customFormat="1" ht="18" customHeight="1" x14ac:dyDescent="0.2"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9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9"/>
      <c r="AG2815" s="9"/>
      <c r="AH2815" s="9"/>
      <c r="AI2815" s="9"/>
      <c r="AJ2815" s="9"/>
    </row>
    <row r="2816" spans="9:36" s="25" customFormat="1" ht="18" customHeight="1" x14ac:dyDescent="0.2"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9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9"/>
      <c r="AG2816" s="9"/>
      <c r="AH2816" s="9"/>
      <c r="AI2816" s="9"/>
      <c r="AJ2816" s="9"/>
    </row>
    <row r="2817" spans="9:36" s="25" customFormat="1" ht="18" customHeight="1" x14ac:dyDescent="0.2"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9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9"/>
      <c r="AG2817" s="9"/>
      <c r="AH2817" s="9"/>
      <c r="AI2817" s="9"/>
      <c r="AJ2817" s="9"/>
    </row>
    <row r="2818" spans="9:36" s="25" customFormat="1" ht="18" customHeight="1" x14ac:dyDescent="0.2"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9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9"/>
      <c r="AG2818" s="9"/>
      <c r="AH2818" s="9"/>
      <c r="AI2818" s="9"/>
      <c r="AJ2818" s="9"/>
    </row>
    <row r="2819" spans="9:36" s="25" customFormat="1" ht="18" customHeight="1" x14ac:dyDescent="0.2"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9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9"/>
      <c r="AG2819" s="9"/>
      <c r="AH2819" s="9"/>
      <c r="AI2819" s="9"/>
      <c r="AJ2819" s="9"/>
    </row>
    <row r="2820" spans="9:36" s="25" customFormat="1" ht="18" customHeight="1" x14ac:dyDescent="0.2"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9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9"/>
      <c r="AG2820" s="9"/>
      <c r="AH2820" s="9"/>
      <c r="AI2820" s="9"/>
      <c r="AJ2820" s="9"/>
    </row>
    <row r="2821" spans="9:36" s="25" customFormat="1" ht="18" customHeight="1" x14ac:dyDescent="0.2"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9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9"/>
      <c r="AG2821" s="9"/>
      <c r="AH2821" s="9"/>
      <c r="AI2821" s="9"/>
      <c r="AJ2821" s="9"/>
    </row>
    <row r="2822" spans="9:36" s="25" customFormat="1" ht="18" customHeight="1" x14ac:dyDescent="0.2"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9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9"/>
      <c r="AG2822" s="9"/>
      <c r="AH2822" s="9"/>
      <c r="AI2822" s="9"/>
      <c r="AJ2822" s="9"/>
    </row>
    <row r="2823" spans="9:36" s="25" customFormat="1" ht="18" customHeight="1" x14ac:dyDescent="0.2"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9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9"/>
      <c r="AG2823" s="9"/>
      <c r="AH2823" s="9"/>
      <c r="AI2823" s="9"/>
      <c r="AJ2823" s="9"/>
    </row>
    <row r="2824" spans="9:36" s="25" customFormat="1" ht="18" customHeight="1" x14ac:dyDescent="0.2"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9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9"/>
      <c r="AG2824" s="9"/>
      <c r="AH2824" s="9"/>
      <c r="AI2824" s="9"/>
      <c r="AJ2824" s="9"/>
    </row>
    <row r="2825" spans="9:36" s="25" customFormat="1" ht="18" customHeight="1" x14ac:dyDescent="0.2"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9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9"/>
      <c r="AG2825" s="9"/>
      <c r="AH2825" s="9"/>
      <c r="AI2825" s="9"/>
      <c r="AJ2825" s="9"/>
    </row>
    <row r="2826" spans="9:36" s="25" customFormat="1" ht="18" customHeight="1" x14ac:dyDescent="0.2"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9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9"/>
      <c r="AG2826" s="9"/>
      <c r="AH2826" s="9"/>
      <c r="AI2826" s="9"/>
      <c r="AJ2826" s="9"/>
    </row>
    <row r="2827" spans="9:36" s="25" customFormat="1" ht="18" customHeight="1" x14ac:dyDescent="0.2"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9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9"/>
      <c r="AG2827" s="9"/>
      <c r="AH2827" s="9"/>
      <c r="AI2827" s="9"/>
      <c r="AJ2827" s="9"/>
    </row>
    <row r="2828" spans="9:36" s="25" customFormat="1" ht="18" customHeight="1" x14ac:dyDescent="0.2"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9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9"/>
      <c r="AG2828" s="9"/>
      <c r="AH2828" s="9"/>
      <c r="AI2828" s="9"/>
      <c r="AJ2828" s="9"/>
    </row>
    <row r="2829" spans="9:36" s="25" customFormat="1" ht="18" customHeight="1" x14ac:dyDescent="0.2"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9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9"/>
      <c r="AG2829" s="9"/>
      <c r="AH2829" s="9"/>
      <c r="AI2829" s="9"/>
      <c r="AJ2829" s="9"/>
    </row>
    <row r="2830" spans="9:36" s="25" customFormat="1" ht="18" customHeight="1" x14ac:dyDescent="0.2"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9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9"/>
      <c r="AG2830" s="9"/>
      <c r="AH2830" s="9"/>
      <c r="AI2830" s="9"/>
      <c r="AJ2830" s="9"/>
    </row>
    <row r="2831" spans="9:36" s="25" customFormat="1" ht="18" customHeight="1" x14ac:dyDescent="0.2"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9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9"/>
      <c r="AG2831" s="9"/>
      <c r="AH2831" s="9"/>
      <c r="AI2831" s="9"/>
      <c r="AJ2831" s="9"/>
    </row>
    <row r="2832" spans="9:36" s="25" customFormat="1" ht="18" customHeight="1" x14ac:dyDescent="0.2"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9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9"/>
      <c r="AG2832" s="9"/>
      <c r="AH2832" s="9"/>
      <c r="AI2832" s="9"/>
      <c r="AJ2832" s="9"/>
    </row>
    <row r="2833" spans="9:36" s="25" customFormat="1" ht="18" customHeight="1" x14ac:dyDescent="0.2"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9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9"/>
      <c r="AG2833" s="9"/>
      <c r="AH2833" s="9"/>
      <c r="AI2833" s="9"/>
      <c r="AJ2833" s="9"/>
    </row>
    <row r="2834" spans="9:36" s="25" customFormat="1" ht="18" customHeight="1" x14ac:dyDescent="0.2"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9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9"/>
      <c r="AG2834" s="9"/>
      <c r="AH2834" s="9"/>
      <c r="AI2834" s="9"/>
      <c r="AJ2834" s="9"/>
    </row>
    <row r="2835" spans="9:36" s="25" customFormat="1" ht="18" customHeight="1" x14ac:dyDescent="0.2"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9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9"/>
      <c r="AG2835" s="9"/>
      <c r="AH2835" s="9"/>
      <c r="AI2835" s="9"/>
      <c r="AJ2835" s="9"/>
    </row>
    <row r="2836" spans="9:36" s="25" customFormat="1" ht="18" customHeight="1" x14ac:dyDescent="0.2"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9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9"/>
      <c r="AG2836" s="9"/>
      <c r="AH2836" s="9"/>
      <c r="AI2836" s="9"/>
      <c r="AJ2836" s="9"/>
    </row>
    <row r="2837" spans="9:36" s="25" customFormat="1" ht="18" customHeight="1" x14ac:dyDescent="0.2"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9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9"/>
      <c r="AG2837" s="9"/>
      <c r="AH2837" s="9"/>
      <c r="AI2837" s="9"/>
      <c r="AJ2837" s="9"/>
    </row>
    <row r="2838" spans="9:36" s="25" customFormat="1" ht="18" customHeight="1" x14ac:dyDescent="0.2"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9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9"/>
      <c r="AG2838" s="9"/>
      <c r="AH2838" s="9"/>
      <c r="AI2838" s="9"/>
      <c r="AJ2838" s="9"/>
    </row>
    <row r="2839" spans="9:36" s="25" customFormat="1" ht="18" customHeight="1" x14ac:dyDescent="0.2"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9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9"/>
      <c r="AG2839" s="9"/>
      <c r="AH2839" s="9"/>
      <c r="AI2839" s="9"/>
      <c r="AJ2839" s="9"/>
    </row>
    <row r="2840" spans="9:36" s="25" customFormat="1" ht="18" customHeight="1" x14ac:dyDescent="0.2"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9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9"/>
      <c r="AG2840" s="9"/>
      <c r="AH2840" s="9"/>
      <c r="AI2840" s="9"/>
      <c r="AJ2840" s="9"/>
    </row>
    <row r="2841" spans="9:36" s="25" customFormat="1" ht="18" customHeight="1" x14ac:dyDescent="0.2"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9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9"/>
      <c r="AG2841" s="9"/>
      <c r="AH2841" s="9"/>
      <c r="AI2841" s="9"/>
      <c r="AJ2841" s="9"/>
    </row>
    <row r="2842" spans="9:36" s="25" customFormat="1" ht="18" customHeight="1" x14ac:dyDescent="0.2"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9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9"/>
      <c r="AG2842" s="9"/>
      <c r="AH2842" s="9"/>
      <c r="AI2842" s="9"/>
      <c r="AJ2842" s="9"/>
    </row>
    <row r="2843" spans="9:36" s="25" customFormat="1" ht="18" customHeight="1" x14ac:dyDescent="0.2"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9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9"/>
      <c r="AG2843" s="9"/>
      <c r="AH2843" s="9"/>
      <c r="AI2843" s="9"/>
      <c r="AJ2843" s="9"/>
    </row>
    <row r="2844" spans="9:36" s="25" customFormat="1" ht="18" customHeight="1" x14ac:dyDescent="0.2"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9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9"/>
      <c r="AG2844" s="9"/>
      <c r="AH2844" s="9"/>
      <c r="AI2844" s="9"/>
      <c r="AJ2844" s="9"/>
    </row>
    <row r="2845" spans="9:36" s="25" customFormat="1" ht="18" customHeight="1" x14ac:dyDescent="0.2"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9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9"/>
      <c r="AG2845" s="9"/>
      <c r="AH2845" s="9"/>
      <c r="AI2845" s="9"/>
      <c r="AJ2845" s="9"/>
    </row>
    <row r="2846" spans="9:36" s="25" customFormat="1" ht="18" customHeight="1" x14ac:dyDescent="0.2"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9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9"/>
      <c r="AG2846" s="9"/>
      <c r="AH2846" s="9"/>
      <c r="AI2846" s="9"/>
      <c r="AJ2846" s="9"/>
    </row>
    <row r="2847" spans="9:36" s="25" customFormat="1" ht="18" customHeight="1" x14ac:dyDescent="0.2"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9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9"/>
      <c r="AG2847" s="9"/>
      <c r="AH2847" s="9"/>
      <c r="AI2847" s="9"/>
      <c r="AJ2847" s="9"/>
    </row>
    <row r="2848" spans="9:36" s="25" customFormat="1" ht="18" customHeight="1" x14ac:dyDescent="0.2"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9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9"/>
      <c r="AG2848" s="9"/>
      <c r="AH2848" s="9"/>
      <c r="AI2848" s="9"/>
      <c r="AJ2848" s="9"/>
    </row>
    <row r="2849" spans="9:36" s="25" customFormat="1" ht="18" customHeight="1" x14ac:dyDescent="0.2"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9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9"/>
      <c r="AG2849" s="9"/>
      <c r="AH2849" s="9"/>
      <c r="AI2849" s="9"/>
      <c r="AJ2849" s="9"/>
    </row>
    <row r="2850" spans="9:36" s="25" customFormat="1" ht="18" customHeight="1" x14ac:dyDescent="0.2"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9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9"/>
      <c r="AG2850" s="9"/>
      <c r="AH2850" s="9"/>
      <c r="AI2850" s="9"/>
      <c r="AJ2850" s="9"/>
    </row>
    <row r="2851" spans="9:36" s="25" customFormat="1" ht="18" customHeight="1" x14ac:dyDescent="0.2"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9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9"/>
      <c r="AG2851" s="9"/>
      <c r="AH2851" s="9"/>
      <c r="AI2851" s="9"/>
      <c r="AJ2851" s="9"/>
    </row>
    <row r="2852" spans="9:36" s="25" customFormat="1" ht="18" customHeight="1" x14ac:dyDescent="0.2"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9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9"/>
      <c r="AG2852" s="9"/>
      <c r="AH2852" s="9"/>
      <c r="AI2852" s="9"/>
      <c r="AJ2852" s="9"/>
    </row>
    <row r="2853" spans="9:36" s="25" customFormat="1" ht="18" customHeight="1" x14ac:dyDescent="0.2"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9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9"/>
      <c r="AG2853" s="9"/>
      <c r="AH2853" s="9"/>
      <c r="AI2853" s="9"/>
      <c r="AJ2853" s="9"/>
    </row>
    <row r="2854" spans="9:36" s="25" customFormat="1" ht="18" customHeight="1" x14ac:dyDescent="0.2"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9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9"/>
      <c r="AG2854" s="9"/>
      <c r="AH2854" s="9"/>
      <c r="AI2854" s="9"/>
      <c r="AJ2854" s="9"/>
    </row>
    <row r="2855" spans="9:36" s="25" customFormat="1" ht="18" customHeight="1" x14ac:dyDescent="0.2"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9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9"/>
      <c r="AG2855" s="9"/>
      <c r="AH2855" s="9"/>
      <c r="AI2855" s="9"/>
      <c r="AJ2855" s="9"/>
    </row>
    <row r="2856" spans="9:36" s="25" customFormat="1" ht="18" customHeight="1" x14ac:dyDescent="0.2"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9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9"/>
      <c r="AG2856" s="9"/>
      <c r="AH2856" s="9"/>
      <c r="AI2856" s="9"/>
      <c r="AJ2856" s="9"/>
    </row>
    <row r="2857" spans="9:36" s="25" customFormat="1" ht="18" customHeight="1" x14ac:dyDescent="0.2"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9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9"/>
      <c r="AG2857" s="9"/>
      <c r="AH2857" s="9"/>
      <c r="AI2857" s="9"/>
      <c r="AJ2857" s="9"/>
    </row>
    <row r="2858" spans="9:36" s="25" customFormat="1" ht="18" customHeight="1" x14ac:dyDescent="0.2"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9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9"/>
      <c r="AG2858" s="9"/>
      <c r="AH2858" s="9"/>
      <c r="AI2858" s="9"/>
      <c r="AJ2858" s="9"/>
    </row>
    <row r="2859" spans="9:36" s="25" customFormat="1" ht="18" customHeight="1" x14ac:dyDescent="0.2"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9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9"/>
      <c r="AG2859" s="9"/>
      <c r="AH2859" s="9"/>
      <c r="AI2859" s="9"/>
      <c r="AJ2859" s="9"/>
    </row>
    <row r="2860" spans="9:36" s="25" customFormat="1" ht="18" customHeight="1" x14ac:dyDescent="0.2"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9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9"/>
      <c r="AG2860" s="9"/>
      <c r="AH2860" s="9"/>
      <c r="AI2860" s="9"/>
      <c r="AJ2860" s="9"/>
    </row>
    <row r="2861" spans="9:36" s="25" customFormat="1" ht="18" customHeight="1" x14ac:dyDescent="0.2"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9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9"/>
      <c r="AG2861" s="9"/>
      <c r="AH2861" s="9"/>
      <c r="AI2861" s="9"/>
      <c r="AJ2861" s="9"/>
    </row>
    <row r="2862" spans="9:36" s="25" customFormat="1" ht="18" customHeight="1" x14ac:dyDescent="0.2"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9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9"/>
      <c r="AG2862" s="9"/>
      <c r="AH2862" s="9"/>
      <c r="AI2862" s="9"/>
      <c r="AJ2862" s="9"/>
    </row>
    <row r="2863" spans="9:36" s="25" customFormat="1" ht="18" customHeight="1" x14ac:dyDescent="0.2"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9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9"/>
      <c r="AG2863" s="9"/>
      <c r="AH2863" s="9"/>
      <c r="AI2863" s="9"/>
      <c r="AJ2863" s="9"/>
    </row>
    <row r="2864" spans="9:36" s="25" customFormat="1" ht="18" customHeight="1" x14ac:dyDescent="0.2"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9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9"/>
      <c r="AG2864" s="9"/>
      <c r="AH2864" s="9"/>
      <c r="AI2864" s="9"/>
      <c r="AJ2864" s="9"/>
    </row>
    <row r="2865" spans="9:36" s="25" customFormat="1" ht="18" customHeight="1" x14ac:dyDescent="0.2"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9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9"/>
      <c r="AG2865" s="9"/>
      <c r="AH2865" s="9"/>
      <c r="AI2865" s="9"/>
      <c r="AJ2865" s="9"/>
    </row>
    <row r="2866" spans="9:36" s="25" customFormat="1" ht="18" customHeight="1" x14ac:dyDescent="0.2"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9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9"/>
      <c r="AG2866" s="9"/>
      <c r="AH2866" s="9"/>
      <c r="AI2866" s="9"/>
      <c r="AJ2866" s="9"/>
    </row>
    <row r="2867" spans="9:36" s="25" customFormat="1" ht="18" customHeight="1" x14ac:dyDescent="0.2"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9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9"/>
      <c r="AG2867" s="9"/>
      <c r="AH2867" s="9"/>
      <c r="AI2867" s="9"/>
      <c r="AJ2867" s="9"/>
    </row>
    <row r="2868" spans="9:36" s="25" customFormat="1" ht="18" customHeight="1" x14ac:dyDescent="0.2"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9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9"/>
      <c r="AG2868" s="9"/>
      <c r="AH2868" s="9"/>
      <c r="AI2868" s="9"/>
      <c r="AJ2868" s="9"/>
    </row>
    <row r="2869" spans="9:36" s="25" customFormat="1" ht="18" customHeight="1" x14ac:dyDescent="0.2"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9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9"/>
      <c r="AG2869" s="9"/>
      <c r="AH2869" s="9"/>
      <c r="AI2869" s="9"/>
      <c r="AJ2869" s="9"/>
    </row>
    <row r="2870" spans="9:36" s="25" customFormat="1" ht="18" customHeight="1" x14ac:dyDescent="0.2"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9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9"/>
      <c r="AG2870" s="9"/>
      <c r="AH2870" s="9"/>
      <c r="AI2870" s="9"/>
      <c r="AJ2870" s="9"/>
    </row>
    <row r="2871" spans="9:36" s="25" customFormat="1" ht="18" customHeight="1" x14ac:dyDescent="0.2"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9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9"/>
      <c r="AG2871" s="9"/>
      <c r="AH2871" s="9"/>
      <c r="AI2871" s="9"/>
      <c r="AJ2871" s="9"/>
    </row>
    <row r="2872" spans="9:36" s="25" customFormat="1" ht="18" customHeight="1" x14ac:dyDescent="0.2"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9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9"/>
      <c r="AG2872" s="9"/>
      <c r="AH2872" s="9"/>
      <c r="AI2872" s="9"/>
      <c r="AJ2872" s="9"/>
    </row>
    <row r="2873" spans="9:36" s="25" customFormat="1" ht="18" customHeight="1" x14ac:dyDescent="0.2"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9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9"/>
      <c r="AG2873" s="9"/>
      <c r="AH2873" s="9"/>
      <c r="AI2873" s="9"/>
      <c r="AJ2873" s="9"/>
    </row>
    <row r="2874" spans="9:36" s="25" customFormat="1" ht="18" customHeight="1" x14ac:dyDescent="0.2"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9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9"/>
      <c r="AG2874" s="9"/>
      <c r="AH2874" s="9"/>
      <c r="AI2874" s="9"/>
      <c r="AJ2874" s="9"/>
    </row>
    <row r="2875" spans="9:36" s="25" customFormat="1" ht="18" customHeight="1" x14ac:dyDescent="0.2"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9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9"/>
      <c r="AG2875" s="9"/>
      <c r="AH2875" s="9"/>
      <c r="AI2875" s="9"/>
      <c r="AJ2875" s="9"/>
    </row>
    <row r="2876" spans="9:36" s="25" customFormat="1" ht="18" customHeight="1" x14ac:dyDescent="0.2"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9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9"/>
      <c r="AG2876" s="9"/>
      <c r="AH2876" s="9"/>
      <c r="AI2876" s="9"/>
      <c r="AJ2876" s="9"/>
    </row>
    <row r="2877" spans="9:36" s="25" customFormat="1" ht="18" customHeight="1" x14ac:dyDescent="0.2"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9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9"/>
      <c r="AG2877" s="9"/>
      <c r="AH2877" s="9"/>
      <c r="AI2877" s="9"/>
      <c r="AJ2877" s="9"/>
    </row>
    <row r="2878" spans="9:36" s="25" customFormat="1" ht="18" customHeight="1" x14ac:dyDescent="0.2"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9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9"/>
      <c r="AG2878" s="9"/>
      <c r="AH2878" s="9"/>
      <c r="AI2878" s="9"/>
      <c r="AJ2878" s="9"/>
    </row>
    <row r="2879" spans="9:36" s="25" customFormat="1" ht="18" customHeight="1" x14ac:dyDescent="0.2"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9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9"/>
      <c r="AG2879" s="9"/>
      <c r="AH2879" s="9"/>
      <c r="AI2879" s="9"/>
      <c r="AJ2879" s="9"/>
    </row>
    <row r="2880" spans="9:36" s="25" customFormat="1" ht="18" customHeight="1" x14ac:dyDescent="0.2"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9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9"/>
      <c r="AG2880" s="9"/>
      <c r="AH2880" s="9"/>
      <c r="AI2880" s="9"/>
      <c r="AJ2880" s="9"/>
    </row>
    <row r="2881" spans="9:36" s="25" customFormat="1" ht="18" customHeight="1" x14ac:dyDescent="0.2"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9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9"/>
      <c r="AG2881" s="9"/>
      <c r="AH2881" s="9"/>
      <c r="AI2881" s="9"/>
      <c r="AJ2881" s="9"/>
    </row>
    <row r="2882" spans="9:36" s="25" customFormat="1" ht="18" customHeight="1" x14ac:dyDescent="0.2"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9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9"/>
      <c r="AG2882" s="9"/>
      <c r="AH2882" s="9"/>
      <c r="AI2882" s="9"/>
      <c r="AJ2882" s="9"/>
    </row>
    <row r="2883" spans="9:36" s="25" customFormat="1" ht="18" customHeight="1" x14ac:dyDescent="0.2"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9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9"/>
      <c r="AG2883" s="9"/>
      <c r="AH2883" s="9"/>
      <c r="AI2883" s="9"/>
      <c r="AJ2883" s="9"/>
    </row>
    <row r="2884" spans="9:36" s="25" customFormat="1" ht="18" customHeight="1" x14ac:dyDescent="0.2"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9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9"/>
      <c r="AG2884" s="9"/>
      <c r="AH2884" s="9"/>
      <c r="AI2884" s="9"/>
      <c r="AJ2884" s="9"/>
    </row>
    <row r="2885" spans="9:36" s="25" customFormat="1" ht="18" customHeight="1" x14ac:dyDescent="0.2"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9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9"/>
      <c r="AG2885" s="9"/>
      <c r="AH2885" s="9"/>
      <c r="AI2885" s="9"/>
      <c r="AJ2885" s="9"/>
    </row>
    <row r="2886" spans="9:36" s="25" customFormat="1" ht="18" customHeight="1" x14ac:dyDescent="0.2"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9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9"/>
      <c r="AG2886" s="9"/>
      <c r="AH2886" s="9"/>
      <c r="AI2886" s="9"/>
      <c r="AJ2886" s="9"/>
    </row>
    <row r="2887" spans="9:36" s="25" customFormat="1" ht="18" customHeight="1" x14ac:dyDescent="0.2"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9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9"/>
      <c r="AG2887" s="9"/>
      <c r="AH2887" s="9"/>
      <c r="AI2887" s="9"/>
      <c r="AJ2887" s="9"/>
    </row>
    <row r="2888" spans="9:36" s="25" customFormat="1" ht="18" customHeight="1" x14ac:dyDescent="0.2"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9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9"/>
      <c r="AG2888" s="9"/>
      <c r="AH2888" s="9"/>
      <c r="AI2888" s="9"/>
      <c r="AJ2888" s="9"/>
    </row>
    <row r="2889" spans="9:36" s="25" customFormat="1" ht="18" customHeight="1" x14ac:dyDescent="0.2"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9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9"/>
      <c r="AG2889" s="9"/>
      <c r="AH2889" s="9"/>
      <c r="AI2889" s="9"/>
      <c r="AJ2889" s="9"/>
    </row>
    <row r="2890" spans="9:36" s="25" customFormat="1" ht="18" customHeight="1" x14ac:dyDescent="0.2"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9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9"/>
      <c r="AG2890" s="9"/>
      <c r="AH2890" s="9"/>
      <c r="AI2890" s="9"/>
      <c r="AJ2890" s="9"/>
    </row>
    <row r="2891" spans="9:36" s="25" customFormat="1" ht="18" customHeight="1" x14ac:dyDescent="0.2"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9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9"/>
      <c r="AG2891" s="9"/>
      <c r="AH2891" s="9"/>
      <c r="AI2891" s="9"/>
      <c r="AJ2891" s="9"/>
    </row>
    <row r="2892" spans="9:36" s="25" customFormat="1" ht="18" customHeight="1" x14ac:dyDescent="0.2"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9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9"/>
      <c r="AG2892" s="9"/>
      <c r="AH2892" s="9"/>
      <c r="AI2892" s="9"/>
      <c r="AJ2892" s="9"/>
    </row>
    <row r="2893" spans="9:36" s="25" customFormat="1" ht="18" customHeight="1" x14ac:dyDescent="0.2"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9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9"/>
      <c r="AG2893" s="9"/>
      <c r="AH2893" s="9"/>
      <c r="AI2893" s="9"/>
      <c r="AJ2893" s="9"/>
    </row>
    <row r="2894" spans="9:36" s="25" customFormat="1" ht="18" customHeight="1" x14ac:dyDescent="0.2"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9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9"/>
      <c r="AG2894" s="9"/>
      <c r="AH2894" s="9"/>
      <c r="AI2894" s="9"/>
      <c r="AJ2894" s="9"/>
    </row>
    <row r="2895" spans="9:36" s="25" customFormat="1" ht="18" customHeight="1" x14ac:dyDescent="0.2"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9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9"/>
      <c r="AG2895" s="9"/>
      <c r="AH2895" s="9"/>
      <c r="AI2895" s="9"/>
      <c r="AJ2895" s="9"/>
    </row>
    <row r="2896" spans="9:36" s="25" customFormat="1" ht="18" customHeight="1" x14ac:dyDescent="0.2"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9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9"/>
      <c r="AG2896" s="9"/>
      <c r="AH2896" s="9"/>
      <c r="AI2896" s="9"/>
      <c r="AJ2896" s="9"/>
    </row>
    <row r="2897" spans="9:36" s="25" customFormat="1" ht="18" customHeight="1" x14ac:dyDescent="0.2"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9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9"/>
      <c r="AG2897" s="9"/>
      <c r="AH2897" s="9"/>
      <c r="AI2897" s="9"/>
      <c r="AJ2897" s="9"/>
    </row>
    <row r="2898" spans="9:36" s="25" customFormat="1" ht="18" customHeight="1" x14ac:dyDescent="0.2"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9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9"/>
      <c r="AG2898" s="9"/>
      <c r="AH2898" s="9"/>
      <c r="AI2898" s="9"/>
      <c r="AJ2898" s="9"/>
    </row>
    <row r="2899" spans="9:36" s="25" customFormat="1" ht="18" customHeight="1" x14ac:dyDescent="0.2"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9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9"/>
      <c r="AG2899" s="9"/>
      <c r="AH2899" s="9"/>
      <c r="AI2899" s="9"/>
      <c r="AJ2899" s="9"/>
    </row>
    <row r="2900" spans="9:36" s="25" customFormat="1" ht="18" customHeight="1" x14ac:dyDescent="0.2"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9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9"/>
      <c r="AG2900" s="9"/>
      <c r="AH2900" s="9"/>
      <c r="AI2900" s="9"/>
      <c r="AJ2900" s="9"/>
    </row>
    <row r="2901" spans="9:36" s="25" customFormat="1" ht="18" customHeight="1" x14ac:dyDescent="0.2"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9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9"/>
      <c r="AG2901" s="9"/>
      <c r="AH2901" s="9"/>
      <c r="AI2901" s="9"/>
      <c r="AJ2901" s="9"/>
    </row>
    <row r="2902" spans="9:36" s="25" customFormat="1" ht="18" customHeight="1" x14ac:dyDescent="0.2"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9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9"/>
      <c r="AG2902" s="9"/>
      <c r="AH2902" s="9"/>
      <c r="AI2902" s="9"/>
      <c r="AJ2902" s="9"/>
    </row>
    <row r="2903" spans="9:36" s="25" customFormat="1" ht="18" customHeight="1" x14ac:dyDescent="0.2"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9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9"/>
      <c r="AG2903" s="9"/>
      <c r="AH2903" s="9"/>
      <c r="AI2903" s="9"/>
      <c r="AJ2903" s="9"/>
    </row>
    <row r="2904" spans="9:36" s="25" customFormat="1" ht="18" customHeight="1" x14ac:dyDescent="0.2"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9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9"/>
      <c r="AG2904" s="9"/>
      <c r="AH2904" s="9"/>
      <c r="AI2904" s="9"/>
      <c r="AJ2904" s="9"/>
    </row>
    <row r="2905" spans="9:36" s="25" customFormat="1" ht="18" customHeight="1" x14ac:dyDescent="0.2"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9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9"/>
      <c r="AG2905" s="9"/>
      <c r="AH2905" s="9"/>
      <c r="AI2905" s="9"/>
      <c r="AJ2905" s="9"/>
    </row>
    <row r="2906" spans="9:36" s="25" customFormat="1" ht="18" customHeight="1" x14ac:dyDescent="0.2"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9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9"/>
      <c r="AG2906" s="9"/>
      <c r="AH2906" s="9"/>
      <c r="AI2906" s="9"/>
      <c r="AJ2906" s="9"/>
    </row>
    <row r="2907" spans="9:36" s="25" customFormat="1" ht="18" customHeight="1" x14ac:dyDescent="0.2"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9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9"/>
      <c r="AG2907" s="9"/>
      <c r="AH2907" s="9"/>
      <c r="AI2907" s="9"/>
      <c r="AJ2907" s="9"/>
    </row>
    <row r="2908" spans="9:36" s="25" customFormat="1" ht="18" customHeight="1" x14ac:dyDescent="0.2"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9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9"/>
      <c r="AG2908" s="9"/>
      <c r="AH2908" s="9"/>
      <c r="AI2908" s="9"/>
      <c r="AJ2908" s="9"/>
    </row>
    <row r="2909" spans="9:36" s="25" customFormat="1" ht="18" customHeight="1" x14ac:dyDescent="0.2"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9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9"/>
      <c r="AG2909" s="9"/>
      <c r="AH2909" s="9"/>
      <c r="AI2909" s="9"/>
      <c r="AJ2909" s="9"/>
    </row>
    <row r="2910" spans="9:36" s="25" customFormat="1" ht="18" customHeight="1" x14ac:dyDescent="0.2"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9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9"/>
      <c r="AG2910" s="9"/>
      <c r="AH2910" s="9"/>
      <c r="AI2910" s="9"/>
      <c r="AJ2910" s="9"/>
    </row>
    <row r="2911" spans="9:36" s="25" customFormat="1" ht="18" customHeight="1" x14ac:dyDescent="0.2"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9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9"/>
      <c r="AG2911" s="9"/>
      <c r="AH2911" s="9"/>
      <c r="AI2911" s="9"/>
      <c r="AJ2911" s="9"/>
    </row>
    <row r="2912" spans="9:36" s="25" customFormat="1" ht="18" customHeight="1" x14ac:dyDescent="0.2"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9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9"/>
      <c r="AG2912" s="9"/>
      <c r="AH2912" s="9"/>
      <c r="AI2912" s="9"/>
      <c r="AJ2912" s="9"/>
    </row>
    <row r="2913" spans="9:36" s="25" customFormat="1" ht="18" customHeight="1" x14ac:dyDescent="0.2"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9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9"/>
      <c r="AG2913" s="9"/>
      <c r="AH2913" s="9"/>
      <c r="AI2913" s="9"/>
      <c r="AJ2913" s="9"/>
    </row>
    <row r="2914" spans="9:36" s="25" customFormat="1" ht="18" customHeight="1" x14ac:dyDescent="0.2"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9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9"/>
      <c r="AG2914" s="9"/>
      <c r="AH2914" s="9"/>
      <c r="AI2914" s="9"/>
      <c r="AJ2914" s="9"/>
    </row>
    <row r="2915" spans="9:36" s="25" customFormat="1" ht="18" customHeight="1" x14ac:dyDescent="0.2"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9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9"/>
      <c r="AG2915" s="9"/>
      <c r="AH2915" s="9"/>
      <c r="AI2915" s="9"/>
      <c r="AJ2915" s="9"/>
    </row>
    <row r="2916" spans="9:36" s="25" customFormat="1" ht="18" customHeight="1" x14ac:dyDescent="0.2"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9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9"/>
      <c r="AG2916" s="9"/>
      <c r="AH2916" s="9"/>
      <c r="AI2916" s="9"/>
      <c r="AJ2916" s="9"/>
    </row>
    <row r="2917" spans="9:36" s="25" customFormat="1" ht="18" customHeight="1" x14ac:dyDescent="0.2"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9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9"/>
      <c r="AG2917" s="9"/>
      <c r="AH2917" s="9"/>
      <c r="AI2917" s="9"/>
      <c r="AJ2917" s="9"/>
    </row>
    <row r="2918" spans="9:36" s="25" customFormat="1" ht="18" customHeight="1" x14ac:dyDescent="0.2"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9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9"/>
      <c r="AG2918" s="9"/>
      <c r="AH2918" s="9"/>
      <c r="AI2918" s="9"/>
      <c r="AJ2918" s="9"/>
    </row>
    <row r="2919" spans="9:36" s="25" customFormat="1" ht="18" customHeight="1" x14ac:dyDescent="0.2"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9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9"/>
      <c r="AG2919" s="9"/>
      <c r="AH2919" s="9"/>
      <c r="AI2919" s="9"/>
      <c r="AJ2919" s="9"/>
    </row>
    <row r="2920" spans="9:36" s="25" customFormat="1" ht="18" customHeight="1" x14ac:dyDescent="0.2"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9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9"/>
      <c r="AG2920" s="9"/>
      <c r="AH2920" s="9"/>
      <c r="AI2920" s="9"/>
      <c r="AJ2920" s="9"/>
    </row>
    <row r="2921" spans="9:36" s="25" customFormat="1" ht="18" customHeight="1" x14ac:dyDescent="0.2"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9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9"/>
      <c r="AG2921" s="9"/>
      <c r="AH2921" s="9"/>
      <c r="AI2921" s="9"/>
      <c r="AJ2921" s="9"/>
    </row>
    <row r="2922" spans="9:36" s="25" customFormat="1" ht="18" customHeight="1" x14ac:dyDescent="0.2"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9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9"/>
      <c r="AG2922" s="9"/>
      <c r="AH2922" s="9"/>
      <c r="AI2922" s="9"/>
      <c r="AJ2922" s="9"/>
    </row>
    <row r="2923" spans="9:36" s="25" customFormat="1" ht="18" customHeight="1" x14ac:dyDescent="0.2"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9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9"/>
      <c r="AG2923" s="9"/>
      <c r="AH2923" s="9"/>
      <c r="AI2923" s="9"/>
      <c r="AJ2923" s="9"/>
    </row>
    <row r="2924" spans="9:36" s="25" customFormat="1" ht="18" customHeight="1" x14ac:dyDescent="0.2"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9"/>
      <c r="AG2924" s="9"/>
      <c r="AH2924" s="9"/>
      <c r="AI2924" s="9"/>
      <c r="AJ2924" s="9"/>
    </row>
    <row r="2925" spans="9:36" s="25" customFormat="1" ht="18" customHeight="1" x14ac:dyDescent="0.2"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9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9"/>
      <c r="AG2925" s="9"/>
      <c r="AH2925" s="9"/>
      <c r="AI2925" s="9"/>
      <c r="AJ2925" s="9"/>
    </row>
    <row r="2926" spans="9:36" s="25" customFormat="1" ht="18" customHeight="1" x14ac:dyDescent="0.2"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9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9"/>
      <c r="AG2926" s="9"/>
      <c r="AH2926" s="9"/>
      <c r="AI2926" s="9"/>
      <c r="AJ2926" s="9"/>
    </row>
    <row r="2927" spans="9:36" s="25" customFormat="1" ht="18" customHeight="1" x14ac:dyDescent="0.2"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9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9"/>
      <c r="AG2927" s="9"/>
      <c r="AH2927" s="9"/>
      <c r="AI2927" s="9"/>
      <c r="AJ2927" s="9"/>
    </row>
    <row r="2928" spans="9:36" s="25" customFormat="1" ht="18" customHeight="1" x14ac:dyDescent="0.2"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9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9"/>
      <c r="AG2928" s="9"/>
      <c r="AH2928" s="9"/>
      <c r="AI2928" s="9"/>
      <c r="AJ2928" s="9"/>
    </row>
    <row r="2929" spans="9:36" s="25" customFormat="1" ht="18" customHeight="1" x14ac:dyDescent="0.2"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9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9"/>
      <c r="AG2929" s="9"/>
      <c r="AH2929" s="9"/>
      <c r="AI2929" s="9"/>
      <c r="AJ2929" s="9"/>
    </row>
    <row r="2930" spans="9:36" s="25" customFormat="1" ht="18" customHeight="1" x14ac:dyDescent="0.2"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9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9"/>
      <c r="AG2930" s="9"/>
      <c r="AH2930" s="9"/>
      <c r="AI2930" s="9"/>
      <c r="AJ2930" s="9"/>
    </row>
    <row r="2931" spans="9:36" s="25" customFormat="1" ht="18" customHeight="1" x14ac:dyDescent="0.2"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9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9"/>
      <c r="AG2931" s="9"/>
      <c r="AH2931" s="9"/>
      <c r="AI2931" s="9"/>
      <c r="AJ2931" s="9"/>
    </row>
    <row r="2932" spans="9:36" s="25" customFormat="1" ht="18" customHeight="1" x14ac:dyDescent="0.2"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9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9"/>
      <c r="AG2932" s="9"/>
      <c r="AH2932" s="9"/>
      <c r="AI2932" s="9"/>
      <c r="AJ2932" s="9"/>
    </row>
    <row r="2933" spans="9:36" s="25" customFormat="1" ht="18" customHeight="1" x14ac:dyDescent="0.2"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9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9"/>
      <c r="AG2933" s="9"/>
      <c r="AH2933" s="9"/>
      <c r="AI2933" s="9"/>
      <c r="AJ2933" s="9"/>
    </row>
    <row r="2934" spans="9:36" s="25" customFormat="1" ht="18" customHeight="1" x14ac:dyDescent="0.2"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9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9"/>
      <c r="AG2934" s="9"/>
      <c r="AH2934" s="9"/>
      <c r="AI2934" s="9"/>
      <c r="AJ2934" s="9"/>
    </row>
    <row r="2935" spans="9:36" s="25" customFormat="1" ht="18" customHeight="1" x14ac:dyDescent="0.2"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9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9"/>
      <c r="AG2935" s="9"/>
      <c r="AH2935" s="9"/>
      <c r="AI2935" s="9"/>
      <c r="AJ2935" s="9"/>
    </row>
    <row r="2936" spans="9:36" s="25" customFormat="1" ht="18" customHeight="1" x14ac:dyDescent="0.2"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9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9"/>
      <c r="AG2936" s="9"/>
      <c r="AH2936" s="9"/>
      <c r="AI2936" s="9"/>
      <c r="AJ2936" s="9"/>
    </row>
    <row r="2937" spans="9:36" s="25" customFormat="1" ht="18" customHeight="1" x14ac:dyDescent="0.2"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9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9"/>
      <c r="AG2937" s="9"/>
      <c r="AH2937" s="9"/>
      <c r="AI2937" s="9"/>
      <c r="AJ2937" s="9"/>
    </row>
    <row r="2938" spans="9:36" s="25" customFormat="1" ht="18" customHeight="1" x14ac:dyDescent="0.2"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9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9"/>
      <c r="AG2938" s="9"/>
      <c r="AH2938" s="9"/>
      <c r="AI2938" s="9"/>
      <c r="AJ2938" s="9"/>
    </row>
    <row r="2939" spans="9:36" s="25" customFormat="1" ht="18" customHeight="1" x14ac:dyDescent="0.2"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9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9"/>
      <c r="AG2939" s="9"/>
      <c r="AH2939" s="9"/>
      <c r="AI2939" s="9"/>
      <c r="AJ2939" s="9"/>
    </row>
    <row r="2940" spans="9:36" s="25" customFormat="1" ht="18" customHeight="1" x14ac:dyDescent="0.2"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9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9"/>
      <c r="AG2940" s="9"/>
      <c r="AH2940" s="9"/>
      <c r="AI2940" s="9"/>
      <c r="AJ2940" s="9"/>
    </row>
    <row r="2941" spans="9:36" s="25" customFormat="1" ht="18" customHeight="1" x14ac:dyDescent="0.2"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9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9"/>
      <c r="AG2941" s="9"/>
      <c r="AH2941" s="9"/>
      <c r="AI2941" s="9"/>
      <c r="AJ2941" s="9"/>
    </row>
    <row r="2942" spans="9:36" s="25" customFormat="1" ht="18" customHeight="1" x14ac:dyDescent="0.2"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9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9"/>
      <c r="AG2942" s="9"/>
      <c r="AH2942" s="9"/>
      <c r="AI2942" s="9"/>
      <c r="AJ2942" s="9"/>
    </row>
    <row r="2943" spans="9:36" s="25" customFormat="1" ht="18" customHeight="1" x14ac:dyDescent="0.2"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9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9"/>
      <c r="AG2943" s="9"/>
      <c r="AH2943" s="9"/>
      <c r="AI2943" s="9"/>
      <c r="AJ2943" s="9"/>
    </row>
    <row r="2944" spans="9:36" s="25" customFormat="1" ht="18" customHeight="1" x14ac:dyDescent="0.2"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9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9"/>
      <c r="AG2944" s="9"/>
      <c r="AH2944" s="9"/>
      <c r="AI2944" s="9"/>
      <c r="AJ2944" s="9"/>
    </row>
    <row r="2945" spans="9:36" s="25" customFormat="1" ht="18" customHeight="1" x14ac:dyDescent="0.2"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9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9"/>
      <c r="AG2945" s="9"/>
      <c r="AH2945" s="9"/>
      <c r="AI2945" s="9"/>
      <c r="AJ2945" s="9"/>
    </row>
    <row r="2946" spans="9:36" s="25" customFormat="1" ht="18" customHeight="1" x14ac:dyDescent="0.2"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9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9"/>
      <c r="AG2946" s="9"/>
      <c r="AH2946" s="9"/>
      <c r="AI2946" s="9"/>
      <c r="AJ2946" s="9"/>
    </row>
    <row r="2947" spans="9:36" s="25" customFormat="1" ht="18" customHeight="1" x14ac:dyDescent="0.2"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9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9"/>
      <c r="AG2947" s="9"/>
      <c r="AH2947" s="9"/>
      <c r="AI2947" s="9"/>
      <c r="AJ2947" s="9"/>
    </row>
    <row r="2948" spans="9:36" s="25" customFormat="1" ht="18" customHeight="1" x14ac:dyDescent="0.2"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9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9"/>
      <c r="AG2948" s="9"/>
      <c r="AH2948" s="9"/>
      <c r="AI2948" s="9"/>
      <c r="AJ2948" s="9"/>
    </row>
    <row r="2949" spans="9:36" s="25" customFormat="1" ht="18" customHeight="1" x14ac:dyDescent="0.2"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9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9"/>
      <c r="AG2949" s="9"/>
      <c r="AH2949" s="9"/>
      <c r="AI2949" s="9"/>
      <c r="AJ2949" s="9"/>
    </row>
    <row r="2950" spans="9:36" s="25" customFormat="1" ht="18" customHeight="1" x14ac:dyDescent="0.2"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9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9"/>
      <c r="AG2950" s="9"/>
      <c r="AH2950" s="9"/>
      <c r="AI2950" s="9"/>
      <c r="AJ2950" s="9"/>
    </row>
    <row r="2951" spans="9:36" s="25" customFormat="1" ht="18" customHeight="1" x14ac:dyDescent="0.2"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9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9"/>
      <c r="AG2951" s="9"/>
      <c r="AH2951" s="9"/>
      <c r="AI2951" s="9"/>
      <c r="AJ2951" s="9"/>
    </row>
    <row r="2952" spans="9:36" s="25" customFormat="1" ht="18" customHeight="1" x14ac:dyDescent="0.2"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9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9"/>
      <c r="AG2952" s="9"/>
      <c r="AH2952" s="9"/>
      <c r="AI2952" s="9"/>
      <c r="AJ2952" s="9"/>
    </row>
    <row r="2953" spans="9:36" s="25" customFormat="1" ht="18" customHeight="1" x14ac:dyDescent="0.2"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9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9"/>
      <c r="AG2953" s="9"/>
      <c r="AH2953" s="9"/>
      <c r="AI2953" s="9"/>
      <c r="AJ2953" s="9"/>
    </row>
    <row r="2954" spans="9:36" s="25" customFormat="1" ht="18" customHeight="1" x14ac:dyDescent="0.2"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9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9"/>
      <c r="AG2954" s="9"/>
      <c r="AH2954" s="9"/>
      <c r="AI2954" s="9"/>
      <c r="AJ2954" s="9"/>
    </row>
    <row r="2955" spans="9:36" s="25" customFormat="1" ht="18" customHeight="1" x14ac:dyDescent="0.2"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9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9"/>
      <c r="AG2955" s="9"/>
      <c r="AH2955" s="9"/>
      <c r="AI2955" s="9"/>
      <c r="AJ2955" s="9"/>
    </row>
    <row r="2956" spans="9:36" s="25" customFormat="1" ht="18" customHeight="1" x14ac:dyDescent="0.2"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9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9"/>
      <c r="AG2956" s="9"/>
      <c r="AH2956" s="9"/>
      <c r="AI2956" s="9"/>
      <c r="AJ2956" s="9"/>
    </row>
    <row r="2957" spans="9:36" s="25" customFormat="1" ht="18" customHeight="1" x14ac:dyDescent="0.2"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9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9"/>
      <c r="AG2957" s="9"/>
      <c r="AH2957" s="9"/>
      <c r="AI2957" s="9"/>
      <c r="AJ2957" s="9"/>
    </row>
    <row r="2958" spans="9:36" s="25" customFormat="1" ht="18" customHeight="1" x14ac:dyDescent="0.2"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9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9"/>
      <c r="AG2958" s="9"/>
      <c r="AH2958" s="9"/>
      <c r="AI2958" s="9"/>
      <c r="AJ2958" s="9"/>
    </row>
    <row r="2959" spans="9:36" s="25" customFormat="1" ht="18" customHeight="1" x14ac:dyDescent="0.2"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9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9"/>
      <c r="AG2959" s="9"/>
      <c r="AH2959" s="9"/>
      <c r="AI2959" s="9"/>
      <c r="AJ2959" s="9"/>
    </row>
    <row r="2960" spans="9:36" s="25" customFormat="1" ht="18" customHeight="1" x14ac:dyDescent="0.2"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9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9"/>
      <c r="AG2960" s="9"/>
      <c r="AH2960" s="9"/>
      <c r="AI2960" s="9"/>
      <c r="AJ2960" s="9"/>
    </row>
    <row r="2961" spans="9:36" s="25" customFormat="1" ht="18" customHeight="1" x14ac:dyDescent="0.2"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9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9"/>
      <c r="AG2961" s="9"/>
      <c r="AH2961" s="9"/>
      <c r="AI2961" s="9"/>
      <c r="AJ2961" s="9"/>
    </row>
    <row r="2962" spans="9:36" s="25" customFormat="1" ht="18" customHeight="1" x14ac:dyDescent="0.2"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9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9"/>
      <c r="AG2962" s="9"/>
      <c r="AH2962" s="9"/>
      <c r="AI2962" s="9"/>
      <c r="AJ2962" s="9"/>
    </row>
    <row r="2963" spans="9:36" s="25" customFormat="1" ht="18" customHeight="1" x14ac:dyDescent="0.2"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9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9"/>
      <c r="AG2963" s="9"/>
      <c r="AH2963" s="9"/>
      <c r="AI2963" s="9"/>
      <c r="AJ2963" s="9"/>
    </row>
    <row r="2964" spans="9:36" s="25" customFormat="1" ht="18" customHeight="1" x14ac:dyDescent="0.2"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9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9"/>
      <c r="AG2964" s="9"/>
      <c r="AH2964" s="9"/>
      <c r="AI2964" s="9"/>
      <c r="AJ2964" s="9"/>
    </row>
    <row r="2965" spans="9:36" s="25" customFormat="1" ht="18" customHeight="1" x14ac:dyDescent="0.2"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9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9"/>
      <c r="AG2965" s="9"/>
      <c r="AH2965" s="9"/>
      <c r="AI2965" s="9"/>
      <c r="AJ2965" s="9"/>
    </row>
    <row r="2966" spans="9:36" s="25" customFormat="1" ht="18" customHeight="1" x14ac:dyDescent="0.2"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9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9"/>
      <c r="AG2966" s="9"/>
      <c r="AH2966" s="9"/>
      <c r="AI2966" s="9"/>
      <c r="AJ2966" s="9"/>
    </row>
    <row r="2967" spans="9:36" s="25" customFormat="1" ht="18" customHeight="1" x14ac:dyDescent="0.2"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9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9"/>
      <c r="AG2967" s="9"/>
      <c r="AH2967" s="9"/>
      <c r="AI2967" s="9"/>
      <c r="AJ2967" s="9"/>
    </row>
    <row r="2968" spans="9:36" s="25" customFormat="1" ht="18" customHeight="1" x14ac:dyDescent="0.2"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9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9"/>
      <c r="AG2968" s="9"/>
      <c r="AH2968" s="9"/>
      <c r="AI2968" s="9"/>
      <c r="AJ2968" s="9"/>
    </row>
    <row r="2969" spans="9:36" s="25" customFormat="1" ht="18" customHeight="1" x14ac:dyDescent="0.2"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9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9"/>
      <c r="AG2969" s="9"/>
      <c r="AH2969" s="9"/>
      <c r="AI2969" s="9"/>
      <c r="AJ2969" s="9"/>
    </row>
    <row r="2970" spans="9:36" s="25" customFormat="1" ht="18" customHeight="1" x14ac:dyDescent="0.2"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9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9"/>
      <c r="AG2970" s="9"/>
      <c r="AH2970" s="9"/>
      <c r="AI2970" s="9"/>
      <c r="AJ2970" s="9"/>
    </row>
    <row r="2971" spans="9:36" s="25" customFormat="1" ht="18" customHeight="1" x14ac:dyDescent="0.2"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9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9"/>
      <c r="AG2971" s="9"/>
      <c r="AH2971" s="9"/>
      <c r="AI2971" s="9"/>
      <c r="AJ2971" s="9"/>
    </row>
    <row r="2972" spans="9:36" s="25" customFormat="1" ht="18" customHeight="1" x14ac:dyDescent="0.2"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9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9"/>
      <c r="AG2972" s="9"/>
      <c r="AH2972" s="9"/>
      <c r="AI2972" s="9"/>
      <c r="AJ2972" s="9"/>
    </row>
    <row r="2973" spans="9:36" s="25" customFormat="1" ht="18" customHeight="1" x14ac:dyDescent="0.2"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9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9"/>
      <c r="AG2973" s="9"/>
      <c r="AH2973" s="9"/>
      <c r="AI2973" s="9"/>
      <c r="AJ2973" s="9"/>
    </row>
    <row r="2974" spans="9:36" s="25" customFormat="1" ht="18" customHeight="1" x14ac:dyDescent="0.2"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9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9"/>
      <c r="AG2974" s="9"/>
      <c r="AH2974" s="9"/>
      <c r="AI2974" s="9"/>
      <c r="AJ2974" s="9"/>
    </row>
    <row r="2975" spans="9:36" s="25" customFormat="1" ht="18" customHeight="1" x14ac:dyDescent="0.2"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9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9"/>
      <c r="AG2975" s="9"/>
      <c r="AH2975" s="9"/>
      <c r="AI2975" s="9"/>
      <c r="AJ2975" s="9"/>
    </row>
    <row r="2976" spans="9:36" s="25" customFormat="1" ht="18" customHeight="1" x14ac:dyDescent="0.2"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9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9"/>
      <c r="AG2976" s="9"/>
      <c r="AH2976" s="9"/>
      <c r="AI2976" s="9"/>
      <c r="AJ2976" s="9"/>
    </row>
    <row r="2977" spans="9:36" s="25" customFormat="1" ht="18" customHeight="1" x14ac:dyDescent="0.2"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9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9"/>
      <c r="AG2977" s="9"/>
      <c r="AH2977" s="9"/>
      <c r="AI2977" s="9"/>
      <c r="AJ2977" s="9"/>
    </row>
    <row r="2978" spans="9:36" s="25" customFormat="1" ht="18" customHeight="1" x14ac:dyDescent="0.2"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9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9"/>
      <c r="AG2978" s="9"/>
      <c r="AH2978" s="9"/>
      <c r="AI2978" s="9"/>
      <c r="AJ2978" s="9"/>
    </row>
    <row r="2979" spans="9:36" s="25" customFormat="1" ht="18" customHeight="1" x14ac:dyDescent="0.2"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9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9"/>
      <c r="AG2979" s="9"/>
      <c r="AH2979" s="9"/>
      <c r="AI2979" s="9"/>
      <c r="AJ2979" s="9"/>
    </row>
    <row r="2980" spans="9:36" s="25" customFormat="1" ht="18" customHeight="1" x14ac:dyDescent="0.2"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9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9"/>
      <c r="AG2980" s="9"/>
      <c r="AH2980" s="9"/>
      <c r="AI2980" s="9"/>
      <c r="AJ2980" s="9"/>
    </row>
    <row r="2981" spans="9:36" s="25" customFormat="1" ht="18" customHeight="1" x14ac:dyDescent="0.2"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9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9"/>
      <c r="AG2981" s="9"/>
      <c r="AH2981" s="9"/>
      <c r="AI2981" s="9"/>
      <c r="AJ2981" s="9"/>
    </row>
    <row r="2982" spans="9:36" s="25" customFormat="1" ht="18" customHeight="1" x14ac:dyDescent="0.2"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9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9"/>
      <c r="AG2982" s="9"/>
      <c r="AH2982" s="9"/>
      <c r="AI2982" s="9"/>
      <c r="AJ2982" s="9"/>
    </row>
    <row r="2983" spans="9:36" s="25" customFormat="1" ht="18" customHeight="1" x14ac:dyDescent="0.2"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9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9"/>
      <c r="AG2983" s="9"/>
      <c r="AH2983" s="9"/>
      <c r="AI2983" s="9"/>
      <c r="AJ2983" s="9"/>
    </row>
    <row r="2984" spans="9:36" s="25" customFormat="1" ht="18" customHeight="1" x14ac:dyDescent="0.2"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9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9"/>
      <c r="AG2984" s="9"/>
      <c r="AH2984" s="9"/>
      <c r="AI2984" s="9"/>
      <c r="AJ2984" s="9"/>
    </row>
    <row r="2985" spans="9:36" s="25" customFormat="1" ht="18" customHeight="1" x14ac:dyDescent="0.2"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9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9"/>
      <c r="AG2985" s="9"/>
      <c r="AH2985" s="9"/>
      <c r="AI2985" s="9"/>
      <c r="AJ2985" s="9"/>
    </row>
    <row r="2986" spans="9:36" s="25" customFormat="1" ht="18" customHeight="1" x14ac:dyDescent="0.2"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9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9"/>
      <c r="AG2986" s="9"/>
      <c r="AH2986" s="9"/>
      <c r="AI2986" s="9"/>
      <c r="AJ2986" s="9"/>
    </row>
    <row r="2987" spans="9:36" s="25" customFormat="1" ht="18" customHeight="1" x14ac:dyDescent="0.2"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9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9"/>
      <c r="AG2987" s="9"/>
      <c r="AH2987" s="9"/>
      <c r="AI2987" s="9"/>
      <c r="AJ2987" s="9"/>
    </row>
    <row r="2988" spans="9:36" s="25" customFormat="1" ht="18" customHeight="1" x14ac:dyDescent="0.2"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9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9"/>
      <c r="AG2988" s="9"/>
      <c r="AH2988" s="9"/>
      <c r="AI2988" s="9"/>
      <c r="AJ2988" s="9"/>
    </row>
    <row r="2989" spans="9:36" s="25" customFormat="1" ht="18" customHeight="1" x14ac:dyDescent="0.2"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9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9"/>
      <c r="AG2989" s="9"/>
      <c r="AH2989" s="9"/>
      <c r="AI2989" s="9"/>
      <c r="AJ2989" s="9"/>
    </row>
    <row r="2990" spans="9:36" s="25" customFormat="1" ht="18" customHeight="1" x14ac:dyDescent="0.2"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9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9"/>
      <c r="AG2990" s="9"/>
      <c r="AH2990" s="9"/>
      <c r="AI2990" s="9"/>
      <c r="AJ2990" s="9"/>
    </row>
    <row r="2991" spans="9:36" s="25" customFormat="1" ht="18" customHeight="1" x14ac:dyDescent="0.2"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9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9"/>
      <c r="AG2991" s="9"/>
      <c r="AH2991" s="9"/>
      <c r="AI2991" s="9"/>
      <c r="AJ2991" s="9"/>
    </row>
    <row r="2992" spans="9:36" s="25" customFormat="1" ht="18" customHeight="1" x14ac:dyDescent="0.2"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9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9"/>
      <c r="AG2992" s="9"/>
      <c r="AH2992" s="9"/>
      <c r="AI2992" s="9"/>
      <c r="AJ2992" s="9"/>
    </row>
    <row r="2993" spans="9:36" s="25" customFormat="1" ht="18" customHeight="1" x14ac:dyDescent="0.2"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9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9"/>
      <c r="AG2993" s="9"/>
      <c r="AH2993" s="9"/>
      <c r="AI2993" s="9"/>
      <c r="AJ2993" s="9"/>
    </row>
    <row r="2994" spans="9:36" s="25" customFormat="1" ht="18" customHeight="1" x14ac:dyDescent="0.2"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9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9"/>
      <c r="AG2994" s="9"/>
      <c r="AH2994" s="9"/>
      <c r="AI2994" s="9"/>
      <c r="AJ2994" s="9"/>
    </row>
    <row r="2995" spans="9:36" s="25" customFormat="1" ht="18" customHeight="1" x14ac:dyDescent="0.2"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9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9"/>
      <c r="AG2995" s="9"/>
      <c r="AH2995" s="9"/>
      <c r="AI2995" s="9"/>
      <c r="AJ2995" s="9"/>
    </row>
    <row r="2996" spans="9:36" s="25" customFormat="1" ht="18" customHeight="1" x14ac:dyDescent="0.2"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9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9"/>
      <c r="AG2996" s="9"/>
      <c r="AH2996" s="9"/>
      <c r="AI2996" s="9"/>
      <c r="AJ2996" s="9"/>
    </row>
    <row r="2997" spans="9:36" s="25" customFormat="1" ht="18" customHeight="1" x14ac:dyDescent="0.2"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9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9"/>
      <c r="AG2997" s="9"/>
      <c r="AH2997" s="9"/>
      <c r="AI2997" s="9"/>
      <c r="AJ2997" s="9"/>
    </row>
    <row r="2998" spans="9:36" s="25" customFormat="1" ht="18" customHeight="1" x14ac:dyDescent="0.2"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9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9"/>
      <c r="AG2998" s="9"/>
      <c r="AH2998" s="9"/>
      <c r="AI2998" s="9"/>
      <c r="AJ2998" s="9"/>
    </row>
    <row r="2999" spans="9:36" s="25" customFormat="1" ht="18" customHeight="1" x14ac:dyDescent="0.2"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9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9"/>
      <c r="AG2999" s="9"/>
      <c r="AH2999" s="9"/>
      <c r="AI2999" s="9"/>
      <c r="AJ2999" s="9"/>
    </row>
    <row r="3000" spans="9:36" s="25" customFormat="1" ht="18" customHeight="1" x14ac:dyDescent="0.2"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9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9"/>
      <c r="AG3000" s="9"/>
      <c r="AH3000" s="9"/>
      <c r="AI3000" s="9"/>
      <c r="AJ3000" s="9"/>
    </row>
    <row r="3001" spans="9:36" s="25" customFormat="1" ht="18" customHeight="1" x14ac:dyDescent="0.2"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9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9"/>
      <c r="AG3001" s="9"/>
      <c r="AH3001" s="9"/>
      <c r="AI3001" s="9"/>
      <c r="AJ3001" s="9"/>
    </row>
    <row r="3002" spans="9:36" s="25" customFormat="1" ht="18" customHeight="1" x14ac:dyDescent="0.2"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9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9"/>
      <c r="AG3002" s="9"/>
      <c r="AH3002" s="9"/>
      <c r="AI3002" s="9"/>
      <c r="AJ3002" s="9"/>
    </row>
    <row r="3003" spans="9:36" s="25" customFormat="1" ht="18" customHeight="1" x14ac:dyDescent="0.2"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9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9"/>
      <c r="AG3003" s="9"/>
      <c r="AH3003" s="9"/>
      <c r="AI3003" s="9"/>
      <c r="AJ3003" s="9"/>
    </row>
    <row r="3004" spans="9:36" s="25" customFormat="1" ht="18" customHeight="1" x14ac:dyDescent="0.2"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9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9"/>
      <c r="AG3004" s="9"/>
      <c r="AH3004" s="9"/>
      <c r="AI3004" s="9"/>
      <c r="AJ3004" s="9"/>
    </row>
    <row r="3005" spans="9:36" s="25" customFormat="1" ht="18" customHeight="1" x14ac:dyDescent="0.2"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9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9"/>
      <c r="AG3005" s="9"/>
      <c r="AH3005" s="9"/>
      <c r="AI3005" s="9"/>
      <c r="AJ3005" s="9"/>
    </row>
    <row r="3006" spans="9:36" s="25" customFormat="1" ht="18" customHeight="1" x14ac:dyDescent="0.2"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9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9"/>
      <c r="AG3006" s="9"/>
      <c r="AH3006" s="9"/>
      <c r="AI3006" s="9"/>
      <c r="AJ3006" s="9"/>
    </row>
    <row r="3007" spans="9:36" s="25" customFormat="1" ht="18" customHeight="1" x14ac:dyDescent="0.2"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9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9"/>
      <c r="AG3007" s="9"/>
      <c r="AH3007" s="9"/>
      <c r="AI3007" s="9"/>
      <c r="AJ3007" s="9"/>
    </row>
    <row r="3008" spans="9:36" s="25" customFormat="1" ht="18" customHeight="1" x14ac:dyDescent="0.2"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9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9"/>
      <c r="AG3008" s="9"/>
      <c r="AH3008" s="9"/>
      <c r="AI3008" s="9"/>
      <c r="AJ3008" s="9"/>
    </row>
    <row r="3009" spans="9:36" s="25" customFormat="1" ht="18" customHeight="1" x14ac:dyDescent="0.2"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9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9"/>
      <c r="AG3009" s="9"/>
      <c r="AH3009" s="9"/>
      <c r="AI3009" s="9"/>
      <c r="AJ3009" s="9"/>
    </row>
    <row r="3010" spans="9:36" s="25" customFormat="1" ht="18" customHeight="1" x14ac:dyDescent="0.2"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9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9"/>
      <c r="AG3010" s="9"/>
      <c r="AH3010" s="9"/>
      <c r="AI3010" s="9"/>
      <c r="AJ3010" s="9"/>
    </row>
    <row r="3011" spans="9:36" s="25" customFormat="1" ht="18" customHeight="1" x14ac:dyDescent="0.2"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9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9"/>
      <c r="AG3011" s="9"/>
      <c r="AH3011" s="9"/>
      <c r="AI3011" s="9"/>
      <c r="AJ3011" s="9"/>
    </row>
    <row r="3012" spans="9:36" s="25" customFormat="1" ht="18" customHeight="1" x14ac:dyDescent="0.2"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9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9"/>
      <c r="AG3012" s="9"/>
      <c r="AH3012" s="9"/>
      <c r="AI3012" s="9"/>
      <c r="AJ3012" s="9"/>
    </row>
    <row r="3013" spans="9:36" s="25" customFormat="1" ht="18" customHeight="1" x14ac:dyDescent="0.2"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9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9"/>
      <c r="AG3013" s="9"/>
      <c r="AH3013" s="9"/>
      <c r="AI3013" s="9"/>
      <c r="AJ3013" s="9"/>
    </row>
    <row r="3014" spans="9:36" s="25" customFormat="1" ht="18" customHeight="1" x14ac:dyDescent="0.2"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9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9"/>
      <c r="AG3014" s="9"/>
      <c r="AH3014" s="9"/>
      <c r="AI3014" s="9"/>
      <c r="AJ3014" s="9"/>
    </row>
    <row r="3015" spans="9:36" s="25" customFormat="1" ht="18" customHeight="1" x14ac:dyDescent="0.2"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9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9"/>
      <c r="AG3015" s="9"/>
      <c r="AH3015" s="9"/>
      <c r="AI3015" s="9"/>
      <c r="AJ3015" s="9"/>
    </row>
    <row r="3016" spans="9:36" s="25" customFormat="1" ht="18" customHeight="1" x14ac:dyDescent="0.2"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9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9"/>
      <c r="AG3016" s="9"/>
      <c r="AH3016" s="9"/>
      <c r="AI3016" s="9"/>
      <c r="AJ3016" s="9"/>
    </row>
    <row r="3017" spans="9:36" s="25" customFormat="1" ht="18" customHeight="1" x14ac:dyDescent="0.2"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9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9"/>
      <c r="AG3017" s="9"/>
      <c r="AH3017" s="9"/>
      <c r="AI3017" s="9"/>
      <c r="AJ3017" s="9"/>
    </row>
    <row r="3018" spans="9:36" s="25" customFormat="1" ht="18" customHeight="1" x14ac:dyDescent="0.2"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9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9"/>
      <c r="AG3018" s="9"/>
      <c r="AH3018" s="9"/>
      <c r="AI3018" s="9"/>
      <c r="AJ3018" s="9"/>
    </row>
    <row r="3019" spans="9:36" s="25" customFormat="1" ht="18" customHeight="1" x14ac:dyDescent="0.2"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9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9"/>
      <c r="AG3019" s="9"/>
      <c r="AH3019" s="9"/>
      <c r="AI3019" s="9"/>
      <c r="AJ3019" s="9"/>
    </row>
    <row r="3020" spans="9:36" s="25" customFormat="1" ht="18" customHeight="1" x14ac:dyDescent="0.2"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9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9"/>
      <c r="AG3020" s="9"/>
      <c r="AH3020" s="9"/>
      <c r="AI3020" s="9"/>
      <c r="AJ3020" s="9"/>
    </row>
    <row r="3021" spans="9:36" s="25" customFormat="1" ht="18" customHeight="1" x14ac:dyDescent="0.2"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9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9"/>
      <c r="AG3021" s="9"/>
      <c r="AH3021" s="9"/>
      <c r="AI3021" s="9"/>
      <c r="AJ3021" s="9"/>
    </row>
    <row r="3022" spans="9:36" s="25" customFormat="1" ht="18" customHeight="1" x14ac:dyDescent="0.2"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9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9"/>
      <c r="AG3022" s="9"/>
      <c r="AH3022" s="9"/>
      <c r="AI3022" s="9"/>
      <c r="AJ3022" s="9"/>
    </row>
    <row r="3023" spans="9:36" s="25" customFormat="1" ht="18" customHeight="1" x14ac:dyDescent="0.2"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9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9"/>
      <c r="AG3023" s="9"/>
      <c r="AH3023" s="9"/>
      <c r="AI3023" s="9"/>
      <c r="AJ3023" s="9"/>
    </row>
    <row r="3024" spans="9:36" s="25" customFormat="1" ht="18" customHeight="1" x14ac:dyDescent="0.2"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9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9"/>
      <c r="AG3024" s="9"/>
      <c r="AH3024" s="9"/>
      <c r="AI3024" s="9"/>
      <c r="AJ3024" s="9"/>
    </row>
    <row r="3025" spans="9:36" s="25" customFormat="1" ht="18" customHeight="1" x14ac:dyDescent="0.2"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9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9"/>
      <c r="AG3025" s="9"/>
      <c r="AH3025" s="9"/>
      <c r="AI3025" s="9"/>
      <c r="AJ3025" s="9"/>
    </row>
    <row r="3026" spans="9:36" s="25" customFormat="1" ht="18" customHeight="1" x14ac:dyDescent="0.2"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9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9"/>
      <c r="AG3026" s="9"/>
      <c r="AH3026" s="9"/>
      <c r="AI3026" s="9"/>
      <c r="AJ3026" s="9"/>
    </row>
    <row r="3027" spans="9:36" s="25" customFormat="1" ht="18" customHeight="1" x14ac:dyDescent="0.2"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9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9"/>
      <c r="AG3027" s="9"/>
      <c r="AH3027" s="9"/>
      <c r="AI3027" s="9"/>
      <c r="AJ3027" s="9"/>
    </row>
    <row r="3028" spans="9:36" s="25" customFormat="1" ht="18" customHeight="1" x14ac:dyDescent="0.2"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9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9"/>
      <c r="AG3028" s="9"/>
      <c r="AH3028" s="9"/>
      <c r="AI3028" s="9"/>
      <c r="AJ3028" s="9"/>
    </row>
    <row r="3029" spans="9:36" s="25" customFormat="1" ht="18" customHeight="1" x14ac:dyDescent="0.2"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9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9"/>
      <c r="AG3029" s="9"/>
      <c r="AH3029" s="9"/>
      <c r="AI3029" s="9"/>
      <c r="AJ3029" s="9"/>
    </row>
    <row r="3030" spans="9:36" s="25" customFormat="1" ht="18" customHeight="1" x14ac:dyDescent="0.2"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9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9"/>
      <c r="AG3030" s="9"/>
      <c r="AH3030" s="9"/>
      <c r="AI3030" s="9"/>
      <c r="AJ3030" s="9"/>
    </row>
    <row r="3031" spans="9:36" s="25" customFormat="1" ht="18" customHeight="1" x14ac:dyDescent="0.2"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9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9"/>
      <c r="AG3031" s="9"/>
      <c r="AH3031" s="9"/>
      <c r="AI3031" s="9"/>
      <c r="AJ3031" s="9"/>
    </row>
    <row r="3032" spans="9:36" s="25" customFormat="1" ht="18" customHeight="1" x14ac:dyDescent="0.2"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9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9"/>
      <c r="AG3032" s="9"/>
      <c r="AH3032" s="9"/>
      <c r="AI3032" s="9"/>
      <c r="AJ3032" s="9"/>
    </row>
    <row r="3033" spans="9:36" s="25" customFormat="1" ht="18" customHeight="1" x14ac:dyDescent="0.2"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9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9"/>
      <c r="AG3033" s="9"/>
      <c r="AH3033" s="9"/>
      <c r="AI3033" s="9"/>
      <c r="AJ3033" s="9"/>
    </row>
    <row r="3034" spans="9:36" s="25" customFormat="1" ht="18" customHeight="1" x14ac:dyDescent="0.2"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9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9"/>
      <c r="AG3034" s="9"/>
      <c r="AH3034" s="9"/>
      <c r="AI3034" s="9"/>
      <c r="AJ3034" s="9"/>
    </row>
    <row r="3035" spans="9:36" s="25" customFormat="1" ht="18" customHeight="1" x14ac:dyDescent="0.2"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9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9"/>
      <c r="AG3035" s="9"/>
      <c r="AH3035" s="9"/>
      <c r="AI3035" s="9"/>
      <c r="AJ3035" s="9"/>
    </row>
    <row r="3036" spans="9:36" s="25" customFormat="1" ht="18" customHeight="1" x14ac:dyDescent="0.2"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9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9"/>
      <c r="AG3036" s="9"/>
      <c r="AH3036" s="9"/>
      <c r="AI3036" s="9"/>
      <c r="AJ3036" s="9"/>
    </row>
    <row r="3037" spans="9:36" s="25" customFormat="1" ht="18" customHeight="1" x14ac:dyDescent="0.2"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9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9"/>
      <c r="AG3037" s="9"/>
      <c r="AH3037" s="9"/>
      <c r="AI3037" s="9"/>
      <c r="AJ3037" s="9"/>
    </row>
    <row r="3038" spans="9:36" s="25" customFormat="1" ht="18" customHeight="1" x14ac:dyDescent="0.2"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9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9"/>
      <c r="AG3038" s="9"/>
      <c r="AH3038" s="9"/>
      <c r="AI3038" s="9"/>
      <c r="AJ3038" s="9"/>
    </row>
    <row r="3039" spans="9:36" s="25" customFormat="1" ht="18" customHeight="1" x14ac:dyDescent="0.2"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9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9"/>
      <c r="AG3039" s="9"/>
      <c r="AH3039" s="9"/>
      <c r="AI3039" s="9"/>
      <c r="AJ3039" s="9"/>
    </row>
    <row r="3040" spans="9:36" s="25" customFormat="1" ht="18" customHeight="1" x14ac:dyDescent="0.2"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9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9"/>
      <c r="AG3040" s="9"/>
      <c r="AH3040" s="9"/>
      <c r="AI3040" s="9"/>
      <c r="AJ3040" s="9"/>
    </row>
    <row r="3041" spans="9:36" s="25" customFormat="1" ht="18" customHeight="1" x14ac:dyDescent="0.2"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9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9"/>
      <c r="AG3041" s="9"/>
      <c r="AH3041" s="9"/>
      <c r="AI3041" s="9"/>
      <c r="AJ3041" s="9"/>
    </row>
    <row r="3042" spans="9:36" s="25" customFormat="1" ht="18" customHeight="1" x14ac:dyDescent="0.2"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9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9"/>
      <c r="AG3042" s="9"/>
      <c r="AH3042" s="9"/>
      <c r="AI3042" s="9"/>
      <c r="AJ3042" s="9"/>
    </row>
    <row r="3043" spans="9:36" s="25" customFormat="1" ht="18" customHeight="1" x14ac:dyDescent="0.2"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9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9"/>
      <c r="AG3043" s="9"/>
      <c r="AH3043" s="9"/>
      <c r="AI3043" s="9"/>
      <c r="AJ3043" s="9"/>
    </row>
    <row r="3044" spans="9:36" s="25" customFormat="1" ht="18" customHeight="1" x14ac:dyDescent="0.2"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9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9"/>
      <c r="AG3044" s="9"/>
      <c r="AH3044" s="9"/>
      <c r="AI3044" s="9"/>
      <c r="AJ3044" s="9"/>
    </row>
    <row r="3045" spans="9:36" s="25" customFormat="1" ht="18" customHeight="1" x14ac:dyDescent="0.2"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9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9"/>
      <c r="AG3045" s="9"/>
      <c r="AH3045" s="9"/>
      <c r="AI3045" s="9"/>
      <c r="AJ3045" s="9"/>
    </row>
    <row r="3046" spans="9:36" s="25" customFormat="1" ht="18" customHeight="1" x14ac:dyDescent="0.2"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9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9"/>
      <c r="AG3046" s="9"/>
      <c r="AH3046" s="9"/>
      <c r="AI3046" s="9"/>
      <c r="AJ3046" s="9"/>
    </row>
    <row r="3047" spans="9:36" s="25" customFormat="1" ht="18" customHeight="1" x14ac:dyDescent="0.2"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9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9"/>
      <c r="AG3047" s="9"/>
      <c r="AH3047" s="9"/>
      <c r="AI3047" s="9"/>
      <c r="AJ3047" s="9"/>
    </row>
    <row r="3048" spans="9:36" s="25" customFormat="1" ht="18" customHeight="1" x14ac:dyDescent="0.2"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9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9"/>
      <c r="AG3048" s="9"/>
      <c r="AH3048" s="9"/>
      <c r="AI3048" s="9"/>
      <c r="AJ3048" s="9"/>
    </row>
    <row r="3049" spans="9:36" s="25" customFormat="1" ht="18" customHeight="1" x14ac:dyDescent="0.2"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9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9"/>
      <c r="AG3049" s="9"/>
      <c r="AH3049" s="9"/>
      <c r="AI3049" s="9"/>
      <c r="AJ3049" s="9"/>
    </row>
    <row r="3050" spans="9:36" s="25" customFormat="1" ht="18" customHeight="1" x14ac:dyDescent="0.2"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9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9"/>
      <c r="AG3050" s="9"/>
      <c r="AH3050" s="9"/>
      <c r="AI3050" s="9"/>
      <c r="AJ3050" s="9"/>
    </row>
    <row r="3051" spans="9:36" s="25" customFormat="1" ht="18" customHeight="1" x14ac:dyDescent="0.2"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9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9"/>
      <c r="AG3051" s="9"/>
      <c r="AH3051" s="9"/>
      <c r="AI3051" s="9"/>
      <c r="AJ3051" s="9"/>
    </row>
    <row r="3052" spans="9:36" s="25" customFormat="1" ht="18" customHeight="1" x14ac:dyDescent="0.2"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9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9"/>
      <c r="AG3052" s="9"/>
      <c r="AH3052" s="9"/>
      <c r="AI3052" s="9"/>
      <c r="AJ3052" s="9"/>
    </row>
    <row r="3053" spans="9:36" s="25" customFormat="1" ht="18" customHeight="1" x14ac:dyDescent="0.2"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9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9"/>
      <c r="AG3053" s="9"/>
      <c r="AH3053" s="9"/>
      <c r="AI3053" s="9"/>
      <c r="AJ3053" s="9"/>
    </row>
    <row r="3054" spans="9:36" s="25" customFormat="1" ht="18" customHeight="1" x14ac:dyDescent="0.2"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9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9"/>
      <c r="AG3054" s="9"/>
      <c r="AH3054" s="9"/>
      <c r="AI3054" s="9"/>
      <c r="AJ3054" s="9"/>
    </row>
    <row r="3055" spans="9:36" s="25" customFormat="1" ht="18" customHeight="1" x14ac:dyDescent="0.2"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9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9"/>
      <c r="AG3055" s="9"/>
      <c r="AH3055" s="9"/>
      <c r="AI3055" s="9"/>
      <c r="AJ3055" s="9"/>
    </row>
    <row r="3056" spans="9:36" s="25" customFormat="1" ht="18" customHeight="1" x14ac:dyDescent="0.2"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9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9"/>
      <c r="AG3056" s="9"/>
      <c r="AH3056" s="9"/>
      <c r="AI3056" s="9"/>
      <c r="AJ3056" s="9"/>
    </row>
    <row r="3057" spans="9:36" s="25" customFormat="1" ht="18" customHeight="1" x14ac:dyDescent="0.2"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9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9"/>
      <c r="AG3057" s="9"/>
      <c r="AH3057" s="9"/>
      <c r="AI3057" s="9"/>
      <c r="AJ3057" s="9"/>
    </row>
    <row r="3058" spans="9:36" s="25" customFormat="1" ht="18" customHeight="1" x14ac:dyDescent="0.2"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9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9"/>
      <c r="AG3058" s="9"/>
      <c r="AH3058" s="9"/>
      <c r="AI3058" s="9"/>
      <c r="AJ3058" s="9"/>
    </row>
    <row r="3059" spans="9:36" s="25" customFormat="1" ht="18" customHeight="1" x14ac:dyDescent="0.2"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9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9"/>
      <c r="AG3059" s="9"/>
      <c r="AH3059" s="9"/>
      <c r="AI3059" s="9"/>
      <c r="AJ3059" s="9"/>
    </row>
    <row r="3060" spans="9:36" s="25" customFormat="1" ht="18" customHeight="1" x14ac:dyDescent="0.2"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9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9"/>
      <c r="AG3060" s="9"/>
      <c r="AH3060" s="9"/>
      <c r="AI3060" s="9"/>
      <c r="AJ3060" s="9"/>
    </row>
    <row r="3061" spans="9:36" s="25" customFormat="1" ht="18" customHeight="1" x14ac:dyDescent="0.2"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9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9"/>
      <c r="AG3061" s="9"/>
      <c r="AH3061" s="9"/>
      <c r="AI3061" s="9"/>
      <c r="AJ3061" s="9"/>
    </row>
    <row r="3062" spans="9:36" s="25" customFormat="1" ht="18" customHeight="1" x14ac:dyDescent="0.2"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9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9"/>
      <c r="AG3062" s="9"/>
      <c r="AH3062" s="9"/>
      <c r="AI3062" s="9"/>
      <c r="AJ3062" s="9"/>
    </row>
    <row r="3063" spans="9:36" s="25" customFormat="1" ht="18" customHeight="1" x14ac:dyDescent="0.2"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9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9"/>
      <c r="AG3063" s="9"/>
      <c r="AH3063" s="9"/>
      <c r="AI3063" s="9"/>
      <c r="AJ3063" s="9"/>
    </row>
    <row r="3064" spans="9:36" s="25" customFormat="1" ht="18" customHeight="1" x14ac:dyDescent="0.2"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9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9"/>
      <c r="AG3064" s="9"/>
      <c r="AH3064" s="9"/>
      <c r="AI3064" s="9"/>
      <c r="AJ3064" s="9"/>
    </row>
    <row r="3065" spans="9:36" s="25" customFormat="1" ht="18" customHeight="1" x14ac:dyDescent="0.2"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9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9"/>
      <c r="AG3065" s="9"/>
      <c r="AH3065" s="9"/>
      <c r="AI3065" s="9"/>
      <c r="AJ3065" s="9"/>
    </row>
    <row r="3066" spans="9:36" s="25" customFormat="1" ht="18" customHeight="1" x14ac:dyDescent="0.2"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9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9"/>
      <c r="AG3066" s="9"/>
      <c r="AH3066" s="9"/>
      <c r="AI3066" s="9"/>
      <c r="AJ3066" s="9"/>
    </row>
    <row r="3067" spans="9:36" s="25" customFormat="1" ht="18" customHeight="1" x14ac:dyDescent="0.2"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9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9"/>
      <c r="AG3067" s="9"/>
      <c r="AH3067" s="9"/>
      <c r="AI3067" s="9"/>
      <c r="AJ3067" s="9"/>
    </row>
    <row r="3068" spans="9:36" s="25" customFormat="1" ht="18" customHeight="1" x14ac:dyDescent="0.2"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9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9"/>
      <c r="AG3068" s="9"/>
      <c r="AH3068" s="9"/>
      <c r="AI3068" s="9"/>
      <c r="AJ3068" s="9"/>
    </row>
    <row r="3069" spans="9:36" s="25" customFormat="1" ht="18" customHeight="1" x14ac:dyDescent="0.2"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9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9"/>
      <c r="AG3069" s="9"/>
      <c r="AH3069" s="9"/>
      <c r="AI3069" s="9"/>
      <c r="AJ3069" s="9"/>
    </row>
    <row r="3070" spans="9:36" s="25" customFormat="1" ht="18" customHeight="1" x14ac:dyDescent="0.2"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9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9"/>
      <c r="AG3070" s="9"/>
      <c r="AH3070" s="9"/>
      <c r="AI3070" s="9"/>
      <c r="AJ3070" s="9"/>
    </row>
    <row r="3071" spans="9:36" s="25" customFormat="1" ht="18" customHeight="1" x14ac:dyDescent="0.2"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9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9"/>
      <c r="AG3071" s="9"/>
      <c r="AH3071" s="9"/>
      <c r="AI3071" s="9"/>
      <c r="AJ3071" s="9"/>
    </row>
    <row r="3072" spans="9:36" s="25" customFormat="1" ht="18" customHeight="1" x14ac:dyDescent="0.2"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9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9"/>
      <c r="AG3072" s="9"/>
      <c r="AH3072" s="9"/>
      <c r="AI3072" s="9"/>
      <c r="AJ3072" s="9"/>
    </row>
    <row r="3073" spans="9:36" s="25" customFormat="1" ht="18" customHeight="1" x14ac:dyDescent="0.2"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9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9"/>
      <c r="AG3073" s="9"/>
      <c r="AH3073" s="9"/>
      <c r="AI3073" s="9"/>
      <c r="AJ3073" s="9"/>
    </row>
    <row r="3074" spans="9:36" s="25" customFormat="1" ht="18" customHeight="1" x14ac:dyDescent="0.2"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9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9"/>
      <c r="AG3074" s="9"/>
      <c r="AH3074" s="9"/>
      <c r="AI3074" s="9"/>
      <c r="AJ3074" s="9"/>
    </row>
    <row r="3075" spans="9:36" s="25" customFormat="1" ht="18" customHeight="1" x14ac:dyDescent="0.2"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9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9"/>
      <c r="AG3075" s="9"/>
      <c r="AH3075" s="9"/>
      <c r="AI3075" s="9"/>
      <c r="AJ3075" s="9"/>
    </row>
    <row r="3076" spans="9:36" s="25" customFormat="1" ht="18" customHeight="1" x14ac:dyDescent="0.2"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9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9"/>
      <c r="AG3076" s="9"/>
      <c r="AH3076" s="9"/>
      <c r="AI3076" s="9"/>
      <c r="AJ3076" s="9"/>
    </row>
    <row r="3077" spans="9:36" s="25" customFormat="1" ht="18" customHeight="1" x14ac:dyDescent="0.2"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9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9"/>
      <c r="AG3077" s="9"/>
      <c r="AH3077" s="9"/>
      <c r="AI3077" s="9"/>
      <c r="AJ3077" s="9"/>
    </row>
    <row r="3078" spans="9:36" s="25" customFormat="1" ht="18" customHeight="1" x14ac:dyDescent="0.2"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9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9"/>
      <c r="AG3078" s="9"/>
      <c r="AH3078" s="9"/>
      <c r="AI3078" s="9"/>
      <c r="AJ3078" s="9"/>
    </row>
    <row r="3079" spans="9:36" s="25" customFormat="1" ht="18" customHeight="1" x14ac:dyDescent="0.2"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9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9"/>
      <c r="AG3079" s="9"/>
      <c r="AH3079" s="9"/>
      <c r="AI3079" s="9"/>
      <c r="AJ3079" s="9"/>
    </row>
    <row r="3080" spans="9:36" s="25" customFormat="1" ht="18" customHeight="1" x14ac:dyDescent="0.2"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9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9"/>
      <c r="AG3080" s="9"/>
      <c r="AH3080" s="9"/>
      <c r="AI3080" s="9"/>
      <c r="AJ3080" s="9"/>
    </row>
    <row r="3081" spans="9:36" s="25" customFormat="1" ht="18" customHeight="1" x14ac:dyDescent="0.2"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9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9"/>
      <c r="AG3081" s="9"/>
      <c r="AH3081" s="9"/>
      <c r="AI3081" s="9"/>
      <c r="AJ3081" s="9"/>
    </row>
    <row r="3082" spans="9:36" s="25" customFormat="1" ht="18" customHeight="1" x14ac:dyDescent="0.2"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9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9"/>
      <c r="AG3082" s="9"/>
      <c r="AH3082" s="9"/>
      <c r="AI3082" s="9"/>
      <c r="AJ3082" s="9"/>
    </row>
    <row r="3083" spans="9:36" s="25" customFormat="1" ht="18" customHeight="1" x14ac:dyDescent="0.2"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9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9"/>
      <c r="AG3083" s="9"/>
      <c r="AH3083" s="9"/>
      <c r="AI3083" s="9"/>
      <c r="AJ3083" s="9"/>
    </row>
    <row r="3084" spans="9:36" s="25" customFormat="1" ht="18" customHeight="1" x14ac:dyDescent="0.2"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9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9"/>
      <c r="AG3084" s="9"/>
      <c r="AH3084" s="9"/>
      <c r="AI3084" s="9"/>
      <c r="AJ3084" s="9"/>
    </row>
    <row r="3085" spans="9:36" s="25" customFormat="1" ht="18" customHeight="1" x14ac:dyDescent="0.2"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9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9"/>
      <c r="AG3085" s="9"/>
      <c r="AH3085" s="9"/>
      <c r="AI3085" s="9"/>
      <c r="AJ3085" s="9"/>
    </row>
    <row r="3086" spans="9:36" s="25" customFormat="1" ht="18" customHeight="1" x14ac:dyDescent="0.2"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9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9"/>
      <c r="AG3086" s="9"/>
      <c r="AH3086" s="9"/>
      <c r="AI3086" s="9"/>
      <c r="AJ3086" s="9"/>
    </row>
    <row r="3087" spans="9:36" s="25" customFormat="1" ht="18" customHeight="1" x14ac:dyDescent="0.2"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9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9"/>
      <c r="AG3087" s="9"/>
      <c r="AH3087" s="9"/>
      <c r="AI3087" s="9"/>
      <c r="AJ3087" s="9"/>
    </row>
    <row r="3088" spans="9:36" s="25" customFormat="1" ht="18" customHeight="1" x14ac:dyDescent="0.2"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9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9"/>
      <c r="AG3088" s="9"/>
      <c r="AH3088" s="9"/>
      <c r="AI3088" s="9"/>
      <c r="AJ3088" s="9"/>
    </row>
    <row r="3089" spans="9:36" s="25" customFormat="1" ht="18" customHeight="1" x14ac:dyDescent="0.2"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9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9"/>
      <c r="AG3089" s="9"/>
      <c r="AH3089" s="9"/>
      <c r="AI3089" s="9"/>
      <c r="AJ3089" s="9"/>
    </row>
    <row r="3090" spans="9:36" s="25" customFormat="1" ht="18" customHeight="1" x14ac:dyDescent="0.2"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9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9"/>
      <c r="AG3090" s="9"/>
      <c r="AH3090" s="9"/>
      <c r="AI3090" s="9"/>
      <c r="AJ3090" s="9"/>
    </row>
    <row r="3091" spans="9:36" s="25" customFormat="1" ht="18" customHeight="1" x14ac:dyDescent="0.2"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9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9"/>
      <c r="AG3091" s="9"/>
      <c r="AH3091" s="9"/>
      <c r="AI3091" s="9"/>
      <c r="AJ3091" s="9"/>
    </row>
    <row r="3092" spans="9:36" s="25" customFormat="1" ht="18" customHeight="1" x14ac:dyDescent="0.2"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9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9"/>
      <c r="AG3092" s="9"/>
      <c r="AH3092" s="9"/>
      <c r="AI3092" s="9"/>
      <c r="AJ3092" s="9"/>
    </row>
    <row r="3093" spans="9:36" s="25" customFormat="1" ht="18" customHeight="1" x14ac:dyDescent="0.2"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9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9"/>
      <c r="AG3093" s="9"/>
      <c r="AH3093" s="9"/>
      <c r="AI3093" s="9"/>
      <c r="AJ3093" s="9"/>
    </row>
    <row r="3094" spans="9:36" s="25" customFormat="1" ht="18" customHeight="1" x14ac:dyDescent="0.2"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9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9"/>
      <c r="AG3094" s="9"/>
      <c r="AH3094" s="9"/>
      <c r="AI3094" s="9"/>
      <c r="AJ3094" s="9"/>
    </row>
    <row r="3095" spans="9:36" s="25" customFormat="1" ht="18" customHeight="1" x14ac:dyDescent="0.2"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9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9"/>
      <c r="AG3095" s="9"/>
      <c r="AH3095" s="9"/>
      <c r="AI3095" s="9"/>
      <c r="AJ3095" s="9"/>
    </row>
    <row r="3096" spans="9:36" s="25" customFormat="1" ht="18" customHeight="1" x14ac:dyDescent="0.2"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9"/>
      <c r="AG3096" s="9"/>
      <c r="AH3096" s="9"/>
      <c r="AI3096" s="9"/>
      <c r="AJ3096" s="9"/>
    </row>
    <row r="3097" spans="9:36" s="25" customFormat="1" ht="18" customHeight="1" x14ac:dyDescent="0.2"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9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9"/>
      <c r="AF3097" s="9"/>
      <c r="AG3097" s="9"/>
      <c r="AH3097" s="9"/>
      <c r="AI3097" s="9"/>
      <c r="AJ3097" s="9"/>
    </row>
    <row r="3098" spans="9:36" s="25" customFormat="1" ht="18" customHeight="1" x14ac:dyDescent="0.2"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9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9"/>
      <c r="AF3098" s="9"/>
      <c r="AG3098" s="9"/>
      <c r="AH3098" s="9"/>
      <c r="AI3098" s="9"/>
      <c r="AJ3098" s="9"/>
    </row>
    <row r="3099" spans="9:36" s="25" customFormat="1" ht="18" customHeight="1" x14ac:dyDescent="0.2"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9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9"/>
      <c r="AF3099" s="9"/>
      <c r="AG3099" s="9"/>
      <c r="AH3099" s="9"/>
      <c r="AI3099" s="9"/>
      <c r="AJ3099" s="9"/>
    </row>
    <row r="3100" spans="9:36" s="25" customFormat="1" ht="18" customHeight="1" x14ac:dyDescent="0.2"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9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9"/>
      <c r="AF3100" s="9"/>
      <c r="AG3100" s="9"/>
      <c r="AH3100" s="9"/>
      <c r="AI3100" s="9"/>
      <c r="AJ3100" s="9"/>
    </row>
  </sheetData>
  <autoFilter ref="A11:H19" xr:uid="{65D8C5BF-3550-4BFF-9A45-16D06CC6111C}"/>
  <mergeCells count="150">
    <mergeCell ref="D7:F7"/>
    <mergeCell ref="D8:F9"/>
    <mergeCell ref="A11:A12"/>
    <mergeCell ref="B11:B12"/>
    <mergeCell ref="C11:C12"/>
    <mergeCell ref="C2:F2"/>
    <mergeCell ref="C3:F3"/>
    <mergeCell ref="C4:F4"/>
    <mergeCell ref="C5:F5"/>
    <mergeCell ref="A13:H13"/>
    <mergeCell ref="A14:H14"/>
    <mergeCell ref="A32:H32"/>
    <mergeCell ref="A51:H51"/>
    <mergeCell ref="A57:H57"/>
    <mergeCell ref="D11:D12"/>
    <mergeCell ref="E11:E12"/>
    <mergeCell ref="F11:F12"/>
    <mergeCell ref="G11:G12"/>
    <mergeCell ref="H11:H12"/>
    <mergeCell ref="A131:H131"/>
    <mergeCell ref="A151:H151"/>
    <mergeCell ref="A169:H169"/>
    <mergeCell ref="A196:H196"/>
    <mergeCell ref="A197:H197"/>
    <mergeCell ref="A224:H224"/>
    <mergeCell ref="A64:H64"/>
    <mergeCell ref="A69:H69"/>
    <mergeCell ref="A78:H78"/>
    <mergeCell ref="A84:H84"/>
    <mergeCell ref="A95:H95"/>
    <mergeCell ref="A125:H125"/>
    <mergeCell ref="A321:H321"/>
    <mergeCell ref="A334:H334"/>
    <mergeCell ref="A350:H350"/>
    <mergeCell ref="A370:H370"/>
    <mergeCell ref="A580:H580"/>
    <mergeCell ref="A589:H589"/>
    <mergeCell ref="A235:H235"/>
    <mergeCell ref="A258:H258"/>
    <mergeCell ref="A272:H272"/>
    <mergeCell ref="A290:H290"/>
    <mergeCell ref="A291:H291"/>
    <mergeCell ref="A298:H298"/>
    <mergeCell ref="A783:H783"/>
    <mergeCell ref="A807:H807"/>
    <mergeCell ref="A821:H821"/>
    <mergeCell ref="A830:H830"/>
    <mergeCell ref="A838:H838"/>
    <mergeCell ref="A862:H862"/>
    <mergeCell ref="A604:H604"/>
    <mergeCell ref="A605:H605"/>
    <mergeCell ref="A613:H613"/>
    <mergeCell ref="A665:H665"/>
    <mergeCell ref="A750:H750"/>
    <mergeCell ref="A751:H751"/>
    <mergeCell ref="A990:H990"/>
    <mergeCell ref="A1003:H1003"/>
    <mergeCell ref="A1023:H1023"/>
    <mergeCell ref="A1037:H1037"/>
    <mergeCell ref="A1053:H1053"/>
    <mergeCell ref="A1069:H1069"/>
    <mergeCell ref="A863:H863"/>
    <mergeCell ref="A917:H917"/>
    <mergeCell ref="A935:H935"/>
    <mergeCell ref="A944:H944"/>
    <mergeCell ref="A955:H955"/>
    <mergeCell ref="A981:H981"/>
    <mergeCell ref="A1159:H1159"/>
    <mergeCell ref="A1166:H1166"/>
    <mergeCell ref="A1175:H1175"/>
    <mergeCell ref="A1179:H1179"/>
    <mergeCell ref="A1185:H1185"/>
    <mergeCell ref="A1205:H1205"/>
    <mergeCell ref="A1078:H1078"/>
    <mergeCell ref="A1097:H1097"/>
    <mergeCell ref="A1102:H1102"/>
    <mergeCell ref="A1103:H1103"/>
    <mergeCell ref="A1132:H1132"/>
    <mergeCell ref="A1153:H1153"/>
    <mergeCell ref="A1293:H1293"/>
    <mergeCell ref="A1323:H1323"/>
    <mergeCell ref="A1335:H1335"/>
    <mergeCell ref="A1351:H1351"/>
    <mergeCell ref="A1438:H1438"/>
    <mergeCell ref="A1454:H1454"/>
    <mergeCell ref="A1211:H1211"/>
    <mergeCell ref="A1218:H1218"/>
    <mergeCell ref="A1219:H1219"/>
    <mergeCell ref="A1234:H1234"/>
    <mergeCell ref="A1250:H1250"/>
    <mergeCell ref="A1263:H1263"/>
    <mergeCell ref="A1623:H1623"/>
    <mergeCell ref="A1628:H1628"/>
    <mergeCell ref="A1636:H1636"/>
    <mergeCell ref="A1670:H1670"/>
    <mergeCell ref="A1696:H1696"/>
    <mergeCell ref="A1702:H1702"/>
    <mergeCell ref="A1504:H1504"/>
    <mergeCell ref="A1505:H1505"/>
    <mergeCell ref="A1523:H1523"/>
    <mergeCell ref="A1553:H1553"/>
    <mergeCell ref="A1559:H1559"/>
    <mergeCell ref="A1615:H1615"/>
    <mergeCell ref="A1745:H1745"/>
    <mergeCell ref="A1750:H1750"/>
    <mergeCell ref="A1759:H1759"/>
    <mergeCell ref="A1773:H1773"/>
    <mergeCell ref="A1774:H1774"/>
    <mergeCell ref="A1784:H1784"/>
    <mergeCell ref="A1708:H1708"/>
    <mergeCell ref="A1711:H1711"/>
    <mergeCell ref="A1712:H1712"/>
    <mergeCell ref="A1719:H1719"/>
    <mergeCell ref="A1729:H1729"/>
    <mergeCell ref="A1739:H1739"/>
    <mergeCell ref="A1956:H1956"/>
    <mergeCell ref="A1957:H1957"/>
    <mergeCell ref="A1968:H1968"/>
    <mergeCell ref="A1983:H1983"/>
    <mergeCell ref="A2014:H2014"/>
    <mergeCell ref="A2035:H2035"/>
    <mergeCell ref="A1803:H1803"/>
    <mergeCell ref="A1822:H1822"/>
    <mergeCell ref="A1832:H1832"/>
    <mergeCell ref="A1851:H1851"/>
    <mergeCell ref="A1894:H1894"/>
    <mergeCell ref="A1912:H1912"/>
    <mergeCell ref="A2451:H2451"/>
    <mergeCell ref="A2452:H2452"/>
    <mergeCell ref="A2463:H2463"/>
    <mergeCell ref="A2474:H2474"/>
    <mergeCell ref="A2485:H2485"/>
    <mergeCell ref="A2496:H2496"/>
    <mergeCell ref="A2198:H2198"/>
    <mergeCell ref="A2207:H2207"/>
    <mergeCell ref="A2068:H2068"/>
    <mergeCell ref="A2096:H2096"/>
    <mergeCell ref="A2115:H2115"/>
    <mergeCell ref="A2125:H2125"/>
    <mergeCell ref="A2140:H2140"/>
    <mergeCell ref="A2187:H2187"/>
    <mergeCell ref="A2235:H2235"/>
    <mergeCell ref="A2236:H2236"/>
    <mergeCell ref="A2256:H2256"/>
    <mergeCell ref="A2266:H2266"/>
    <mergeCell ref="A2276:H2276"/>
    <mergeCell ref="A2286:H2286"/>
    <mergeCell ref="A2305:H2305"/>
    <mergeCell ref="A2348:H2348"/>
    <mergeCell ref="A2366:H2366"/>
  </mergeCells>
  <pageMargins left="0.25" right="0.25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1EE3-DC12-4495-98DD-AAAC0FF7EDE2}">
  <sheetPr codeName="Feuil5"/>
  <dimension ref="H17"/>
  <sheetViews>
    <sheetView topLeftCell="A4" workbookViewId="0">
      <selection activeCell="M18" sqref="M18"/>
    </sheetView>
  </sheetViews>
  <sheetFormatPr baseColWidth="10" defaultRowHeight="15" x14ac:dyDescent="0.25"/>
  <sheetData>
    <row r="17" spans="8:8" x14ac:dyDescent="0.25">
      <c r="H17">
        <v>525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tests</vt:lpstr>
      <vt:lpstr>plan</vt:lpstr>
      <vt:lpstr>essai-1</vt:lpstr>
      <vt:lpstr>cuivre_isolant</vt:lpstr>
      <vt:lpstr>HEX_appro</vt:lpstr>
      <vt:lpstr>à masquer</vt:lpstr>
      <vt:lpstr>'essai-1'!Impression_des_titres</vt:lpstr>
      <vt:lpstr>HEX_appro!Impression_des_titres</vt:lpstr>
      <vt:lpstr>Valeur</vt:lpstr>
      <vt:lpstr>Valeur_pression</vt:lpstr>
      <vt:lpstr>'essai-1'!Zone_d_impression</vt:lpstr>
      <vt:lpstr>HEX_appro!Zone_d_impression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Maxime</dc:creator>
  <cp:lastModifiedBy>maxime michel</cp:lastModifiedBy>
  <cp:lastPrinted>2021-12-23T14:35:30Z</cp:lastPrinted>
  <dcterms:created xsi:type="dcterms:W3CDTF">2021-11-15T10:45:26Z</dcterms:created>
  <dcterms:modified xsi:type="dcterms:W3CDTF">2026-02-12T21:43:44Z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135c4ba-2280-41f8-be7d-6f21d368baa3_Enabled">
    <vt:lpwstr>true</vt:lpwstr>
  </property>
  <property fmtid="{D5CDD505-2E9C-101B-9397-08002B2CF9AE}" pid="3" name="MSIP_Label_c135c4ba-2280-41f8-be7d-6f21d368baa3_SetDate">
    <vt:lpwstr>2021-11-15T10:45:26Z</vt:lpwstr>
  </property>
  <property fmtid="{D5CDD505-2E9C-101B-9397-08002B2CF9AE}" pid="4" name="MSIP_Label_c135c4ba-2280-41f8-be7d-6f21d368baa3_Method">
    <vt:lpwstr>Standard</vt:lpwstr>
  </property>
  <property fmtid="{D5CDD505-2E9C-101B-9397-08002B2CF9AE}" pid="5" name="MSIP_Label_c135c4ba-2280-41f8-be7d-6f21d368baa3_Name">
    <vt:lpwstr>c135c4ba-2280-41f8-be7d-6f21d368baa3</vt:lpwstr>
  </property>
  <property fmtid="{D5CDD505-2E9C-101B-9397-08002B2CF9AE}" pid="6" name="MSIP_Label_c135c4ba-2280-41f8-be7d-6f21d368baa3_SiteId">
    <vt:lpwstr>24139d14-c62c-4c47-8bdd-ce71ea1d50cf</vt:lpwstr>
  </property>
  <property fmtid="{D5CDD505-2E9C-101B-9397-08002B2CF9AE}" pid="7" name="MSIP_Label_c135c4ba-2280-41f8-be7d-6f21d368baa3_ActionId">
    <vt:lpwstr>bd1b4a67-9b16-4a62-867c-3910b82a4058</vt:lpwstr>
  </property>
  <property fmtid="{D5CDD505-2E9C-101B-9397-08002B2CF9AE}" pid="8" name="MSIP_Label_c135c4ba-2280-41f8-be7d-6f21d368baa3_ContentBits">
    <vt:lpwstr>0</vt:lpwstr>
  </property>
  <property fmtid="{D5CDD505-2E9C-101B-9397-08002B2CF9AE}" pid="9" name="MSIP_Label_64a238cc-6af3-4341-9d32-201b7e04331f_Enabled">
    <vt:lpwstr>true</vt:lpwstr>
  </property>
  <property fmtid="{D5CDD505-2E9C-101B-9397-08002B2CF9AE}" pid="10" name="MSIP_Label_64a238cc-6af3-4341-9d32-201b7e04331f_SetDate">
    <vt:lpwstr>2022-02-23T08:48:27Z</vt:lpwstr>
  </property>
  <property fmtid="{D5CDD505-2E9C-101B-9397-08002B2CF9AE}" pid="11" name="MSIP_Label_64a238cc-6af3-4341-9d32-201b7e04331f_Method">
    <vt:lpwstr>Standard</vt:lpwstr>
  </property>
  <property fmtid="{D5CDD505-2E9C-101B-9397-08002B2CF9AE}" pid="12" name="MSIP_Label_64a238cc-6af3-4341-9d32-201b7e04331f_Name">
    <vt:lpwstr>Internal</vt:lpwstr>
  </property>
  <property fmtid="{D5CDD505-2E9C-101B-9397-08002B2CF9AE}" pid="13" name="MSIP_Label_64a238cc-6af3-4341-9d32-201b7e04331f_SiteId">
    <vt:lpwstr>09ebfde1-6505-4c31-942f-18875ff0189d</vt:lpwstr>
  </property>
  <property fmtid="{D5CDD505-2E9C-101B-9397-08002B2CF9AE}" pid="14" name="MSIP_Label_64a238cc-6af3-4341-9d32-201b7e04331f_ActionId">
    <vt:lpwstr>dba553bd-6333-4efd-9145-d35003c31b5e</vt:lpwstr>
  </property>
  <property fmtid="{D5CDD505-2E9C-101B-9397-08002B2CF9AE}" pid="15" name="MSIP_Label_64a238cc-6af3-4341-9d32-201b7e04331f_ContentBits">
    <vt:lpwstr>0</vt:lpwstr>
  </property>
</Properties>
</file>