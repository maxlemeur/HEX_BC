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bdc7a7d5b4994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LOMBERIE" sheetId="1" r:id="Rf88c0901e5e94323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0.000"/>
  </numFmts>
  <fonts count="4">
    <font>
      <sz val="11"/>
      <name val="Carlito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200" fontId="1" fillId="0" borderId="0" xfId="0" applyNumberFormat="1" applyFont="1" applyFill="1" applyBorder="1"/>
    <xf numFmtId="0" fontId="3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74a41a4ae54555" /><Relationship Type="http://schemas.openxmlformats.org/officeDocument/2006/relationships/theme" Target="/xl/theme/theme1.xml" Id="Re4659da316fc4710" /><Relationship Type="http://schemas.openxmlformats.org/officeDocument/2006/relationships/sharedStrings" Target="/xl/sharedStrings.xml" Id="R1c160e2a66624ffe" /><Relationship Type="http://schemas.openxmlformats.org/officeDocument/2006/relationships/worksheet" Target="/xl/worksheets/sheet1.xml" Id="Rf88c0901e5e943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5" hidden="0" customWidth="1"/>
    <col min="2" max="2" width="32" hidden="0" customWidth="1"/>
    <col min="3" max="3" width="8" hidden="0" customWidth="1"/>
    <col min="4" max="4" width="17" hidden="0" customWidth="1"/>
    <col min="5" max="5" width="17" hidden="0" customWidth="1"/>
    <col min="6" max="6" width="17" hidden="0" customWidth="1"/>
    <col min="7" max="7" width="17" hidden="0" customWidth="1"/>
    <col min="8" max="8" width="17" hidden="0" customWidth="1"/>
    <col min="9" max="9" width="17" hidden="0" customWidth="1"/>
    <col min="10" max="10" width="17" hidden="0" customWidth="1"/>
    <col min="11" max="11" width="17" hidden="0" customWidth="1"/>
    <col min="12" max="12" width="17" hidden="0" customWidth="1"/>
    <col min="13" max="13" width="17" hidden="0" customWidth="1"/>
    <col min="14" max="14" width="17" hidden="0" customWidth="1"/>
    <col min="15" max="15" width="17" hidden="0" customWidth="1"/>
  </cols>
  <sheetData>
    <row r="1" ht="44" customHeight="1">
      <c r="A1" s="4" t="str">
        <v>N°</v>
      </c>
      <c r="B1" s="4" t="str">
        <v>Désignation</v>
      </c>
      <c r="C1" s="4" t="str">
        <v>Uté</v>
      </c>
      <c r="D1" s="4" t="str">
        <v>Qté</v>
      </c>
      <c r="E1" s="4" t="str">
        <v>Prix
Unitaire</v>
      </c>
      <c r="F1" s="4" t="str">
        <v>Prix
Total</v>
      </c>
      <c r="G1" s="4" t="str">
        <v>PR Fourniture unitaire</v>
      </c>
      <c r="H1" s="4" t="str">
        <v>PR Total
fourniture</v>
      </c>
      <c r="I1" s="4" t="str">
        <v>Tps pose unitaire</v>
      </c>
      <c r="J1" s="4" t="str">
        <v>Tps pose unitaire majoré</v>
      </c>
      <c r="K1" s="4" t="str">
        <v>Tps pose total</v>
      </c>
      <c r="L1" s="4" t="str">
        <v>Coeff FO</v>
      </c>
      <c r="M1" s="4" t="str">
        <v>Coeff MO</v>
      </c>
      <c r="N1" s="4" t="str">
        <v>Majoration MO</v>
      </c>
      <c r="O1" s="4" t="str">
        <v>Taux horaire</v>
      </c>
    </row>
    <row r="2">
      <c r="A2" s="1"/>
      <c r="B2" s="1"/>
      <c r="C2" s="1"/>
      <c r="D2" s="5" t="n">
        <v>0</v>
      </c>
      <c r="E2" s="5"/>
      <c r="F2" s="5"/>
      <c r="G2" s="5"/>
      <c r="H2" s="5"/>
      <c r="I2" s="5"/>
      <c r="J2" s="5"/>
      <c r="K2" s="5"/>
      <c r="L2" s="5" t="n">
        <v>1.3</v>
      </c>
      <c r="M2" s="5" t="n">
        <v>1.3</v>
      </c>
      <c r="N2" s="5" t="n">
        <v>0</v>
      </c>
      <c r="O2" s="5" t="n">
        <v>40</v>
      </c>
    </row>
    <row r="3">
      <c r="A3" s="1"/>
      <c r="B3" s="6" t="str">
        <v>Section fictive 001</v>
      </c>
      <c r="C3" s="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1"/>
      <c r="B4" s="1" t="str">
        <v>Ligne fictive 0001</v>
      </c>
      <c r="C4" s="1" t="str">
        <v>u</v>
      </c>
      <c r="D4" s="5" t="n">
        <v>1</v>
      </c>
      <c r="E4" s="5" t="n">
        <f>G4*$L$2+J4*$M$2*$O$2</f>
        <v>9.243</v>
      </c>
      <c r="F4" s="5" t="n">
        <f>ROUND(D4*E4,2)</f>
        <v>9.24</v>
      </c>
      <c r="G4" s="5" t="n">
        <v>2.11</v>
      </c>
      <c r="H4" s="5" t="n">
        <f>D4*G4</f>
        <v>2.11</v>
      </c>
      <c r="I4" s="5" t="n">
        <v>0.125</v>
      </c>
      <c r="J4" s="5" t="n">
        <f>I4*(1+$N$2)</f>
        <v>0.125</v>
      </c>
      <c r="K4" s="5" t="n">
        <f>D4*J4</f>
        <v>0.125</v>
      </c>
      <c r="L4" s="5"/>
      <c r="M4" s="5"/>
      <c r="N4" s="5"/>
      <c r="O4" s="5"/>
    </row>
    <row r="5">
      <c r="A5" s="1"/>
      <c r="B5" s="1" t="str">
        <v>Ligne fictive 0002</v>
      </c>
      <c r="C5" s="1" t="str">
        <v>ml</v>
      </c>
      <c r="D5" s="5" t="n">
        <v>2</v>
      </c>
      <c r="E5" s="5" t="n">
        <f>G5*$L$2+J5*$M$2*$O$2</f>
        <v>16.224</v>
      </c>
      <c r="F5" s="5" t="n">
        <f>ROUND(D5*E5,2)</f>
        <v>32.45</v>
      </c>
      <c r="G5" s="5" t="n">
        <v>2.48</v>
      </c>
      <c r="H5" s="5" t="n">
        <f>D5*G5</f>
        <v>4.96</v>
      </c>
      <c r="I5" s="5" t="n">
        <v>0.25</v>
      </c>
      <c r="J5" s="5" t="n">
        <f>I5*(1+$N$2)</f>
        <v>0.25</v>
      </c>
      <c r="K5" s="5" t="n">
        <f>D5*J5</f>
        <v>0.5</v>
      </c>
      <c r="L5" s="5"/>
      <c r="M5" s="5"/>
      <c r="N5" s="5"/>
      <c r="O5" s="5"/>
    </row>
    <row r="6">
      <c r="A6" s="1"/>
      <c r="B6" s="1" t="str">
        <v>Sous-total fictif 1</v>
      </c>
      <c r="C6" s="1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>
      <c r="A7" s="1"/>
      <c r="B7" s="6" t="str">
        <v>Section fictive 002</v>
      </c>
      <c r="C7" s="1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>
      <c r="A8" s="1"/>
      <c r="B8" s="1" t="str">
        <v>Ligne fictive 0003</v>
      </c>
      <c r="C8" s="1" t="str">
        <v>m2</v>
      </c>
      <c r="D8" s="5" t="n">
        <v>3</v>
      </c>
      <c r="E8" s="5" t="n">
        <f>G8*$L$2+J8*$M$2*$O$2</f>
        <v>23.205</v>
      </c>
      <c r="F8" s="5" t="n">
        <f>ROUND(D8*E8,2)</f>
        <v>69.61</v>
      </c>
      <c r="G8" s="5" t="n">
        <v>2.85</v>
      </c>
      <c r="H8" s="5" t="n">
        <f>D8*G8</f>
        <v>8.55</v>
      </c>
      <c r="I8" s="5" t="n">
        <v>0.375</v>
      </c>
      <c r="J8" s="5" t="n">
        <f>I8*(1+$N$2)</f>
        <v>0.375</v>
      </c>
      <c r="K8" s="5" t="n">
        <f>D8*J8</f>
        <v>1.125</v>
      </c>
      <c r="L8" s="5"/>
      <c r="M8" s="5"/>
      <c r="N8" s="5"/>
      <c r="O8" s="5"/>
    </row>
    <row r="9">
      <c r="A9" s="1"/>
      <c r="B9" s="1" t="str">
        <v>Ligne fictive 0004</v>
      </c>
      <c r="C9" s="1" t="str">
        <v>u</v>
      </c>
      <c r="D9" s="5" t="n">
        <v>4</v>
      </c>
      <c r="E9" s="5" t="n">
        <f>G9*$L$2+J9*$M$2*$O$2</f>
        <v>30.186</v>
      </c>
      <c r="F9" s="5" t="n">
        <f>ROUND(D9*E9,2)</f>
        <v>120.74</v>
      </c>
      <c r="G9" s="5" t="n">
        <v>3.22</v>
      </c>
      <c r="H9" s="5" t="n">
        <f>D9*G9</f>
        <v>12.88</v>
      </c>
      <c r="I9" s="5" t="n">
        <v>0.5</v>
      </c>
      <c r="J9" s="5" t="n">
        <f>I9*(1+$N$2)</f>
        <v>0.5</v>
      </c>
      <c r="K9" s="5" t="n">
        <f>D9*J9</f>
        <v>2</v>
      </c>
      <c r="L9" s="5"/>
      <c r="M9" s="5"/>
      <c r="N9" s="5"/>
      <c r="O9" s="5"/>
    </row>
    <row r="10">
      <c r="A10" s="1"/>
      <c r="B10" s="1" t="str">
        <v>Ligne fictive 0005</v>
      </c>
      <c r="C10" s="1" t="str">
        <v>ml</v>
      </c>
      <c r="D10" s="5" t="n">
        <v>5</v>
      </c>
      <c r="E10" s="5" t="n">
        <f>G10*$L$2+J10*$M$2*$O$2</f>
        <v>37.167</v>
      </c>
      <c r="F10" s="5" t="n">
        <f>ROUND(D10*E10,2)</f>
        <v>185.84</v>
      </c>
      <c r="G10" s="5" t="n">
        <v>3.59</v>
      </c>
      <c r="H10" s="5" t="n">
        <f>D10*G10</f>
        <v>17.95</v>
      </c>
      <c r="I10" s="5" t="n">
        <v>0.625</v>
      </c>
      <c r="J10" s="5" t="n">
        <f>I10*(1+$N$2)</f>
        <v>0.625</v>
      </c>
      <c r="K10" s="5" t="n">
        <f>D10*J10</f>
        <v>3.125</v>
      </c>
      <c r="L10" s="5"/>
      <c r="M10" s="5"/>
      <c r="N10" s="5"/>
      <c r="O10" s="5"/>
    </row>
    <row r="11">
      <c r="A11" s="1"/>
      <c r="B11" s="1" t="str">
        <v>Sous-total fictif 2</v>
      </c>
      <c r="C11" s="1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>
      <c r="A12" s="1"/>
      <c r="B12" s="6" t="str">
        <v>Section fictive 003</v>
      </c>
      <c r="C12" s="1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>
      <c r="A13" s="1"/>
      <c r="B13" s="1" t="str">
        <v>Ligne fictive 0006</v>
      </c>
      <c r="C13" s="1" t="str">
        <v>m2</v>
      </c>
      <c r="D13" s="5" t="n">
        <v>1</v>
      </c>
      <c r="E13" s="5" t="n">
        <f>G13*$L$2+J13*$M$2*$O$2</f>
        <v>11.648</v>
      </c>
      <c r="F13" s="5" t="n">
        <f>ROUND(D13*E13,2)</f>
        <v>11.65</v>
      </c>
      <c r="G13" s="5" t="n">
        <v>3.96</v>
      </c>
      <c r="H13" s="5" t="n">
        <f>D13*G13</f>
        <v>3.96</v>
      </c>
      <c r="I13" s="5" t="n">
        <v>0.125</v>
      </c>
      <c r="J13" s="5" t="n">
        <f>I13*(1+$N$2)</f>
        <v>0.125</v>
      </c>
      <c r="K13" s="5" t="n">
        <f>D13*J13</f>
        <v>0.125</v>
      </c>
      <c r="L13" s="5"/>
      <c r="M13" s="5"/>
      <c r="N13" s="5"/>
      <c r="O13" s="5"/>
    </row>
    <row r="14">
      <c r="A14" s="1"/>
      <c r="B14" s="1" t="str">
        <v>Ligne fictive 0007</v>
      </c>
      <c r="C14" s="1" t="str">
        <v>u</v>
      </c>
      <c r="D14" s="5" t="n">
        <v>2</v>
      </c>
      <c r="E14" s="5" t="n">
        <f>G14*$L$2+J14*$M$2*$O$2</f>
        <v>18.629</v>
      </c>
      <c r="F14" s="5" t="n">
        <f>ROUND(D14*E14,2)</f>
        <v>37.26</v>
      </c>
      <c r="G14" s="5" t="n">
        <v>4.33</v>
      </c>
      <c r="H14" s="5" t="n">
        <f>D14*G14</f>
        <v>8.66</v>
      </c>
      <c r="I14" s="5" t="n">
        <v>0.25</v>
      </c>
      <c r="J14" s="5" t="n">
        <f>I14*(1+$N$2)</f>
        <v>0.25</v>
      </c>
      <c r="K14" s="5" t="n">
        <f>D14*J14</f>
        <v>0.5</v>
      </c>
      <c r="L14" s="5"/>
      <c r="M14" s="5"/>
      <c r="N14" s="5"/>
      <c r="O14" s="5"/>
    </row>
    <row r="15">
      <c r="A15" s="1"/>
      <c r="B15" s="1" t="str">
        <v>Ligne fictive 0008</v>
      </c>
      <c r="C15" s="1" t="str">
        <v>ml</v>
      </c>
      <c r="D15" s="5" t="n">
        <v>3</v>
      </c>
      <c r="E15" s="5" t="n">
        <f>G15*$L$2+J15*$M$2*$O$2</f>
        <v>25.61</v>
      </c>
      <c r="F15" s="5" t="n">
        <f>ROUND(D15*E15,2)</f>
        <v>76.83</v>
      </c>
      <c r="G15" s="5" t="n">
        <v>4.7</v>
      </c>
      <c r="H15" s="5" t="n">
        <f>D15*G15</f>
        <v>14.100000000000001</v>
      </c>
      <c r="I15" s="5" t="n">
        <v>0.375</v>
      </c>
      <c r="J15" s="5" t="n">
        <f>I15*(1+$N$2)</f>
        <v>0.375</v>
      </c>
      <c r="K15" s="5" t="n">
        <f>D15*J15</f>
        <v>1.125</v>
      </c>
      <c r="L15" s="5"/>
      <c r="M15" s="5"/>
      <c r="N15" s="5"/>
      <c r="O15" s="5"/>
    </row>
    <row r="16">
      <c r="A16" s="1"/>
      <c r="B16" s="1" t="str">
        <v>Statut fictif 001</v>
      </c>
      <c r="C16" s="1" t="str">
        <v>HL</v>
      </c>
      <c r="D16" s="5"/>
      <c r="E16" s="5" t="n">
        <v>0</v>
      </c>
      <c r="F16" s="5" t="n">
        <v>0</v>
      </c>
      <c r="G16" s="5" t="n">
        <v>7.25</v>
      </c>
      <c r="H16" s="5" t="n">
        <v>0</v>
      </c>
      <c r="I16" s="5" t="n">
        <v>0.375</v>
      </c>
      <c r="J16" s="5" t="n">
        <v>0</v>
      </c>
      <c r="K16" s="5" t="n">
        <v>0</v>
      </c>
      <c r="L16" s="5"/>
      <c r="M16" s="5"/>
      <c r="N16" s="5"/>
      <c r="O16" s="5"/>
    </row>
    <row r="17">
      <c r="A17" s="1"/>
      <c r="B17" s="1" t="str">
        <v>Réserve fictive 0001</v>
      </c>
      <c r="C17" s="1" t="str">
        <v>u</v>
      </c>
      <c r="D17" s="5"/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/>
      <c r="M17" s="5"/>
      <c r="N17" s="5"/>
      <c r="O17" s="5"/>
    </row>
    <row r="18">
      <c r="A18" s="1"/>
      <c r="B18" s="1" t="str">
        <v>Sous-total fictif 3</v>
      </c>
      <c r="C18" s="1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>
      <c r="A19" s="1"/>
      <c r="B19" s="6" t="str">
        <v>Section fictive 004</v>
      </c>
      <c r="C19" s="1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>
      <c r="A20" s="1"/>
      <c r="B20" s="1" t="str">
        <v>Ligne fictive 0009</v>
      </c>
      <c r="C20" s="1" t="str">
        <v>m2</v>
      </c>
      <c r="D20" s="5" t="n">
        <v>4</v>
      </c>
      <c r="E20" s="5" t="n">
        <f>G20*$L$2+J20*$M$2*$O$2</f>
        <v>32.591</v>
      </c>
      <c r="F20" s="5" t="n">
        <f>ROUND(D20*E20,2)</f>
        <v>130.36</v>
      </c>
      <c r="G20" s="5" t="n">
        <v>5.07</v>
      </c>
      <c r="H20" s="5" t="n">
        <f>D20*G20</f>
        <v>20.28</v>
      </c>
      <c r="I20" s="5" t="n">
        <v>0.5</v>
      </c>
      <c r="J20" s="5" t="n">
        <f>I20*(1+$N$2)</f>
        <v>0.5</v>
      </c>
      <c r="K20" s="5" t="n">
        <f>D20*J20</f>
        <v>2</v>
      </c>
      <c r="L20" s="5"/>
      <c r="M20" s="5"/>
      <c r="N20" s="5"/>
      <c r="O20" s="5"/>
    </row>
    <row r="21">
      <c r="A21" s="1"/>
      <c r="B21" s="1" t="str">
        <v>Ligne fictive 0010</v>
      </c>
      <c r="C21" s="1" t="str">
        <v>u</v>
      </c>
      <c r="D21" s="5" t="n">
        <v>5</v>
      </c>
      <c r="E21" s="5" t="n">
        <f>G21*$L$2+J21*$M$2*$O$2</f>
        <v>39.572</v>
      </c>
      <c r="F21" s="5" t="n">
        <f>ROUND(D21*E21,2)</f>
        <v>197.86</v>
      </c>
      <c r="G21" s="5" t="n">
        <v>5.44</v>
      </c>
      <c r="H21" s="5" t="n">
        <f>D21*G21</f>
        <v>27.200000000000003</v>
      </c>
      <c r="I21" s="5" t="n">
        <v>0.625</v>
      </c>
      <c r="J21" s="5" t="n">
        <f>I21*(1+$N$2)</f>
        <v>0.625</v>
      </c>
      <c r="K21" s="5" t="n">
        <f>D21*J21</f>
        <v>3.125</v>
      </c>
      <c r="L21" s="5"/>
      <c r="M21" s="5"/>
      <c r="N21" s="5"/>
      <c r="O21" s="5"/>
    </row>
    <row r="22">
      <c r="A22" s="1"/>
      <c r="B22" s="1" t="str">
        <v>Ligne fictive 0011</v>
      </c>
      <c r="C22" s="1" t="str">
        <v>ml</v>
      </c>
      <c r="D22" s="5" t="n">
        <v>1</v>
      </c>
      <c r="E22" s="5" t="n">
        <f>G22*$L$2+J22*$M$2*$O$2</f>
        <v>14.053</v>
      </c>
      <c r="F22" s="5" t="n">
        <f>ROUND(D22*E22,2)</f>
        <v>14.05</v>
      </c>
      <c r="G22" s="5" t="n">
        <v>5.81</v>
      </c>
      <c r="H22" s="5" t="n">
        <f>D22*G22</f>
        <v>5.81</v>
      </c>
      <c r="I22" s="5" t="n">
        <v>0.125</v>
      </c>
      <c r="J22" s="5" t="n">
        <f>I22*(1+$N$2)</f>
        <v>0.125</v>
      </c>
      <c r="K22" s="5" t="n">
        <f>D22*J22</f>
        <v>0.125</v>
      </c>
      <c r="L22" s="5"/>
      <c r="M22" s="5"/>
      <c r="N22" s="5"/>
      <c r="O22" s="5"/>
    </row>
    <row r="23">
      <c r="A23" s="1"/>
      <c r="B23" s="1" t="str">
        <v>Sous-total fictif 4</v>
      </c>
      <c r="C23" s="1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>
      <c r="A24" s="1"/>
      <c r="B24" s="6" t="str">
        <v>Section fictive 005</v>
      </c>
      <c r="C24" s="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>
      <c r="A25" s="1"/>
      <c r="B25" s="1" t="str">
        <v>Ligne fictive 0012</v>
      </c>
      <c r="C25" s="1" t="str">
        <v>m2</v>
      </c>
      <c r="D25" s="5" t="n">
        <v>2</v>
      </c>
      <c r="E25" s="5" t="n">
        <f>G25*$L$2+J25*$M$2*$O$2</f>
        <v>21.034</v>
      </c>
      <c r="F25" s="5" t="n">
        <f>ROUND(D25*E25,2)</f>
        <v>42.07</v>
      </c>
      <c r="G25" s="5" t="n">
        <v>6.18</v>
      </c>
      <c r="H25" s="5" t="n">
        <f>D25*G25</f>
        <v>12.36</v>
      </c>
      <c r="I25" s="5" t="n">
        <v>0.25</v>
      </c>
      <c r="J25" s="5" t="n">
        <f>I25*(1+$N$2)</f>
        <v>0.25</v>
      </c>
      <c r="K25" s="5" t="n">
        <f>D25*J25</f>
        <v>0.5</v>
      </c>
      <c r="L25" s="5"/>
      <c r="M25" s="5"/>
      <c r="N25" s="5"/>
      <c r="O25" s="5"/>
    </row>
    <row r="26">
      <c r="A26" s="1"/>
      <c r="B26" s="1" t="str">
        <v>Ligne fictive 0013</v>
      </c>
      <c r="C26" s="1" t="str">
        <v>u</v>
      </c>
      <c r="D26" s="5" t="n">
        <v>3</v>
      </c>
      <c r="E26" s="5" t="n">
        <f>G26*$L$2+J26*$M$2*$O$2</f>
        <v>28.015</v>
      </c>
      <c r="F26" s="5" t="n">
        <f>ROUND(D26*E26,2)</f>
        <v>84.05</v>
      </c>
      <c r="G26" s="5" t="n">
        <v>6.55</v>
      </c>
      <c r="H26" s="5" t="n">
        <f>D26*G26</f>
        <v>19.65</v>
      </c>
      <c r="I26" s="5" t="n">
        <v>0.375</v>
      </c>
      <c r="J26" s="5" t="n">
        <f>I26*(1+$N$2)</f>
        <v>0.375</v>
      </c>
      <c r="K26" s="5" t="n">
        <f>D26*J26</f>
        <v>1.125</v>
      </c>
      <c r="L26" s="5"/>
      <c r="M26" s="5"/>
      <c r="N26" s="5"/>
      <c r="O26" s="5"/>
    </row>
    <row r="27">
      <c r="A27" s="1"/>
      <c r="B27" s="1" t="str">
        <v>Ligne fictive 0014</v>
      </c>
      <c r="C27" s="1" t="str">
        <v>ml</v>
      </c>
      <c r="D27" s="5" t="n">
        <v>4</v>
      </c>
      <c r="E27" s="5" t="n">
        <f>G27*$L$2+J27*$M$2*$O$2</f>
        <v>34.996</v>
      </c>
      <c r="F27" s="5" t="n">
        <f>ROUND(D27*E27,2)</f>
        <v>139.98</v>
      </c>
      <c r="G27" s="5" t="n">
        <v>6.92</v>
      </c>
      <c r="H27" s="5" t="n">
        <f>D27*G27</f>
        <v>27.68</v>
      </c>
      <c r="I27" s="5" t="n">
        <v>0.5</v>
      </c>
      <c r="J27" s="5" t="n">
        <f>I27*(1+$N$2)</f>
        <v>0.5</v>
      </c>
      <c r="K27" s="5" t="n">
        <f>D27*J27</f>
        <v>2</v>
      </c>
      <c r="L27" s="5"/>
      <c r="M27" s="5"/>
      <c r="N27" s="5"/>
      <c r="O27" s="5"/>
    </row>
    <row r="28">
      <c r="A28" s="1"/>
      <c r="B28" s="1" t="str">
        <v>Sous-total fictif 5</v>
      </c>
      <c r="C28" s="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>
      <c r="A29" s="1"/>
      <c r="B29" s="6" t="str">
        <v>Section fictive 006</v>
      </c>
      <c r="C29" s="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>
      <c r="A30" s="1"/>
      <c r="B30" s="1" t="str">
        <v>Ligne fictive 0015</v>
      </c>
      <c r="C30" s="1" t="str">
        <v>m2</v>
      </c>
      <c r="D30" s="5" t="n">
        <v>5</v>
      </c>
      <c r="E30" s="5" t="n">
        <f>G30*$L$2+J30*$M$2*$O$2</f>
        <v>41.977000000000004</v>
      </c>
      <c r="F30" s="5" t="n">
        <f>ROUND(D30*E30,2)</f>
        <v>209.89</v>
      </c>
      <c r="G30" s="5" t="n">
        <v>7.29</v>
      </c>
      <c r="H30" s="5" t="n">
        <f>D30*G30</f>
        <v>36.45</v>
      </c>
      <c r="I30" s="5" t="n">
        <v>0.625</v>
      </c>
      <c r="J30" s="5" t="n">
        <f>I30*(1+$N$2)</f>
        <v>0.625</v>
      </c>
      <c r="K30" s="5" t="n">
        <f>D30*J30</f>
        <v>3.125</v>
      </c>
      <c r="L30" s="5"/>
      <c r="M30" s="5"/>
      <c r="N30" s="5"/>
      <c r="O30" s="5"/>
    </row>
    <row r="31">
      <c r="A31" s="1"/>
      <c r="B31" s="1" t="str">
        <v>Ligne fictive 0016</v>
      </c>
      <c r="C31" s="1" t="str">
        <v>u</v>
      </c>
      <c r="D31" s="5" t="n">
        <v>1</v>
      </c>
      <c r="E31" s="5" t="n">
        <f>G31*$L$2+J31*$M$2*$O$2</f>
        <v>16.458</v>
      </c>
      <c r="F31" s="5" t="n">
        <f>ROUND(D31*E31,2)</f>
        <v>16.46</v>
      </c>
      <c r="G31" s="5" t="n">
        <v>7.66</v>
      </c>
      <c r="H31" s="5" t="n">
        <f>D31*G31</f>
        <v>7.66</v>
      </c>
      <c r="I31" s="5" t="n">
        <v>0.125</v>
      </c>
      <c r="J31" s="5" t="n">
        <f>I31*(1+$N$2)</f>
        <v>0.125</v>
      </c>
      <c r="K31" s="5" t="n">
        <f>D31*J31</f>
        <v>0.125</v>
      </c>
      <c r="L31" s="5"/>
      <c r="M31" s="5"/>
      <c r="N31" s="5"/>
      <c r="O31" s="5"/>
    </row>
    <row r="32">
      <c r="A32" s="1"/>
      <c r="B32" s="1" t="str">
        <v>Ligne fictive 0017</v>
      </c>
      <c r="C32" s="1" t="str">
        <v>ml</v>
      </c>
      <c r="D32" s="5" t="n">
        <v>2</v>
      </c>
      <c r="E32" s="5" t="n">
        <f>G32*$L$2+J32*$M$2*$O$2</f>
        <v>23.439</v>
      </c>
      <c r="F32" s="5" t="n">
        <f>ROUND(D32*E32,2)</f>
        <v>46.88</v>
      </c>
      <c r="G32" s="5" t="n">
        <v>8.03</v>
      </c>
      <c r="H32" s="5" t="n">
        <f>D32*G32</f>
        <v>16.06</v>
      </c>
      <c r="I32" s="5" t="n">
        <v>0.25</v>
      </c>
      <c r="J32" s="5" t="n">
        <f>I32*(1+$N$2)</f>
        <v>0.25</v>
      </c>
      <c r="K32" s="5" t="n">
        <f>D32*J32</f>
        <v>0.5</v>
      </c>
      <c r="L32" s="5"/>
      <c r="M32" s="5"/>
      <c r="N32" s="5"/>
      <c r="O32" s="5"/>
    </row>
    <row r="33">
      <c r="A33" s="1"/>
      <c r="B33" s="1" t="str">
        <v>Statut fictif 002</v>
      </c>
      <c r="C33" s="1" t="str">
        <v>HL</v>
      </c>
      <c r="D33" s="5"/>
      <c r="E33" s="5" t="n">
        <v>0</v>
      </c>
      <c r="F33" s="5" t="n">
        <v>0</v>
      </c>
      <c r="G33" s="5" t="n">
        <v>7.25</v>
      </c>
      <c r="H33" s="5" t="n">
        <v>0</v>
      </c>
      <c r="I33" s="5" t="n">
        <v>0.375</v>
      </c>
      <c r="J33" s="5" t="n">
        <v>0</v>
      </c>
      <c r="K33" s="5" t="n">
        <v>0</v>
      </c>
      <c r="L33" s="5"/>
      <c r="M33" s="5"/>
      <c r="N33" s="5"/>
      <c r="O33" s="5"/>
    </row>
    <row r="34">
      <c r="A34" s="1"/>
      <c r="B34" s="1" t="str">
        <v>Réserve fictive 0002</v>
      </c>
      <c r="C34" s="1" t="str">
        <v>u</v>
      </c>
      <c r="D34" s="5"/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/>
      <c r="M34" s="5"/>
      <c r="N34" s="5"/>
      <c r="O34" s="5"/>
    </row>
    <row r="35">
      <c r="A35" s="1"/>
      <c r="B35" s="1" t="str">
        <v>Sous-total fictif 6</v>
      </c>
      <c r="C35" s="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>
      <c r="A36" s="1"/>
      <c r="B36" s="6" t="str">
        <v>Section fictive 007</v>
      </c>
      <c r="C36" s="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>
      <c r="A37" s="1"/>
      <c r="B37" s="1" t="str">
        <v>Ligne fictive 0018</v>
      </c>
      <c r="C37" s="1" t="str">
        <v>m2</v>
      </c>
      <c r="D37" s="5" t="n">
        <v>3</v>
      </c>
      <c r="E37" s="5" t="n">
        <f>G37*$L$2+J37*$M$2*$O$2</f>
        <v>22.243</v>
      </c>
      <c r="F37" s="5" t="n">
        <f>ROUND(D37*E37,2)</f>
        <v>66.73</v>
      </c>
      <c r="G37" s="5" t="n">
        <v>2.11</v>
      </c>
      <c r="H37" s="5" t="n">
        <f>D37*G37</f>
        <v>6.33</v>
      </c>
      <c r="I37" s="5" t="n">
        <v>0.375</v>
      </c>
      <c r="J37" s="5" t="n">
        <f>I37*(1+$N$2)</f>
        <v>0.375</v>
      </c>
      <c r="K37" s="5" t="n">
        <f>D37*J37</f>
        <v>1.125</v>
      </c>
      <c r="L37" s="5"/>
      <c r="M37" s="5"/>
      <c r="N37" s="5"/>
      <c r="O37" s="5"/>
    </row>
    <row r="38">
      <c r="A38" s="1"/>
      <c r="B38" s="1" t="str">
        <v>Ligne fictive 0019</v>
      </c>
      <c r="C38" s="1" t="str">
        <v>u</v>
      </c>
      <c r="D38" s="5" t="n">
        <v>4</v>
      </c>
      <c r="E38" s="5" t="n">
        <f>G38*$L$2+J38*$M$2*$O$2</f>
        <v>29.224</v>
      </c>
      <c r="F38" s="5" t="n">
        <f>ROUND(D38*E38,2)</f>
        <v>116.9</v>
      </c>
      <c r="G38" s="5" t="n">
        <v>2.48</v>
      </c>
      <c r="H38" s="5" t="n">
        <f>D38*G38</f>
        <v>9.92</v>
      </c>
      <c r="I38" s="5" t="n">
        <v>0.5</v>
      </c>
      <c r="J38" s="5" t="n">
        <f>I38*(1+$N$2)</f>
        <v>0.5</v>
      </c>
      <c r="K38" s="5" t="n">
        <f>D38*J38</f>
        <v>2</v>
      </c>
      <c r="L38" s="5"/>
      <c r="M38" s="5"/>
      <c r="N38" s="5"/>
      <c r="O38" s="5"/>
    </row>
    <row r="39">
      <c r="A39" s="1"/>
      <c r="B39" s="1" t="str">
        <v>Sous-total fictif 7</v>
      </c>
      <c r="C39" s="1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>
      <c r="A40" s="1"/>
      <c r="B40" s="6" t="str">
        <v>Section fictive 008</v>
      </c>
      <c r="C40" s="1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>
      <c r="A41" s="1"/>
      <c r="B41" s="1" t="str">
        <v>Ligne fictive 0020</v>
      </c>
      <c r="C41" s="1" t="str">
        <v>ml</v>
      </c>
      <c r="D41" s="5" t="n">
        <v>5</v>
      </c>
      <c r="E41" s="5" t="n">
        <f>G41*$L$2+J41*$M$2*$O$2</f>
        <v>36.205</v>
      </c>
      <c r="F41" s="5" t="n">
        <f>ROUND(D41*E41,2)</f>
        <v>181.02</v>
      </c>
      <c r="G41" s="5" t="n">
        <v>2.85</v>
      </c>
      <c r="H41" s="5" t="n">
        <f>D41*G41</f>
        <v>14.25</v>
      </c>
      <c r="I41" s="5" t="n">
        <v>0.625</v>
      </c>
      <c r="J41" s="5" t="n">
        <f>I41*(1+$N$2)</f>
        <v>0.625</v>
      </c>
      <c r="K41" s="5" t="n">
        <f>D41*J41</f>
        <v>3.125</v>
      </c>
      <c r="L41" s="5"/>
      <c r="M41" s="5"/>
      <c r="N41" s="5"/>
      <c r="O41" s="5"/>
    </row>
    <row r="42">
      <c r="A42" s="1"/>
      <c r="B42" s="1" t="str">
        <v>Ligne fictive 0021</v>
      </c>
      <c r="C42" s="1" t="str">
        <v>m2</v>
      </c>
      <c r="D42" s="5" t="n">
        <v>1</v>
      </c>
      <c r="E42" s="5" t="n">
        <f>G42*$L$2+J42*$M$2*$O$2</f>
        <v>10.686</v>
      </c>
      <c r="F42" s="5" t="n">
        <f>ROUND(D42*E42,2)</f>
        <v>10.69</v>
      </c>
      <c r="G42" s="5" t="n">
        <v>3.22</v>
      </c>
      <c r="H42" s="5" t="n">
        <f>D42*G42</f>
        <v>3.22</v>
      </c>
      <c r="I42" s="5" t="n">
        <v>0.125</v>
      </c>
      <c r="J42" s="5" t="n">
        <f>I42*(1+$N$2)</f>
        <v>0.125</v>
      </c>
      <c r="K42" s="5" t="n">
        <f>D42*J42</f>
        <v>0.125</v>
      </c>
      <c r="L42" s="5"/>
      <c r="M42" s="5"/>
      <c r="N42" s="5"/>
      <c r="O42" s="5"/>
    </row>
    <row r="43">
      <c r="A43" s="1"/>
      <c r="B43" s="1" t="str">
        <v>Ligne fictive 0022</v>
      </c>
      <c r="C43" s="1" t="str">
        <v>u</v>
      </c>
      <c r="D43" s="5" t="n">
        <v>2</v>
      </c>
      <c r="E43" s="5" t="n">
        <f>G43*$L$2+J43*$M$2*$O$2</f>
        <v>17.667</v>
      </c>
      <c r="F43" s="5" t="n">
        <f>ROUND(D43*E43,2)</f>
        <v>35.33</v>
      </c>
      <c r="G43" s="5" t="n">
        <v>3.59</v>
      </c>
      <c r="H43" s="5" t="n">
        <f>D43*G43</f>
        <v>7.18</v>
      </c>
      <c r="I43" s="5" t="n">
        <v>0.25</v>
      </c>
      <c r="J43" s="5" t="n">
        <f>I43*(1+$N$2)</f>
        <v>0.25</v>
      </c>
      <c r="K43" s="5" t="n">
        <f>D43*J43</f>
        <v>0.5</v>
      </c>
      <c r="L43" s="5"/>
      <c r="M43" s="5"/>
      <c r="N43" s="5"/>
      <c r="O43" s="5"/>
    </row>
    <row r="44">
      <c r="A44" s="1"/>
      <c r="B44" s="1" t="str">
        <v>Sous-total fictif 8</v>
      </c>
      <c r="C44" s="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>
      <c r="A45" s="1"/>
      <c r="B45" s="6" t="str">
        <v>Section fictive 009</v>
      </c>
      <c r="C45" s="1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>
      <c r="A46" s="1"/>
      <c r="B46" s="1" t="str">
        <v>Ligne fictive 0023</v>
      </c>
      <c r="C46" s="1" t="str">
        <v>ml</v>
      </c>
      <c r="D46" s="5" t="n">
        <v>3</v>
      </c>
      <c r="E46" s="5" t="n">
        <f>G46*$L$2+J46*$M$2*$O$2</f>
        <v>24.648</v>
      </c>
      <c r="F46" s="5" t="n">
        <f>ROUND(D46*E46,2)</f>
        <v>73.94</v>
      </c>
      <c r="G46" s="5" t="n">
        <v>3.96</v>
      </c>
      <c r="H46" s="5" t="n">
        <f>D46*G46</f>
        <v>11.879999999999999</v>
      </c>
      <c r="I46" s="5" t="n">
        <v>0.375</v>
      </c>
      <c r="J46" s="5" t="n">
        <f>I46*(1+$N$2)</f>
        <v>0.375</v>
      </c>
      <c r="K46" s="5" t="n">
        <f>D46*J46</f>
        <v>1.125</v>
      </c>
      <c r="L46" s="5"/>
      <c r="M46" s="5"/>
      <c r="N46" s="5"/>
      <c r="O46" s="5"/>
    </row>
    <row r="47">
      <c r="A47" s="1"/>
      <c r="B47" s="1" t="str">
        <v>Ligne fictive 0024</v>
      </c>
      <c r="C47" s="1" t="str">
        <v>m2</v>
      </c>
      <c r="D47" s="5" t="n">
        <v>4</v>
      </c>
      <c r="E47" s="5" t="n">
        <f>G47*$L$2+J47*$M$2*$O$2</f>
        <v>31.629</v>
      </c>
      <c r="F47" s="5" t="n">
        <f>ROUND(D47*E47,2)</f>
        <v>126.52</v>
      </c>
      <c r="G47" s="5" t="n">
        <v>4.33</v>
      </c>
      <c r="H47" s="5" t="n">
        <f>D47*G47</f>
        <v>17.32</v>
      </c>
      <c r="I47" s="5" t="n">
        <v>0.5</v>
      </c>
      <c r="J47" s="5" t="n">
        <f>I47*(1+$N$2)</f>
        <v>0.5</v>
      </c>
      <c r="K47" s="5" t="n">
        <f>D47*J47</f>
        <v>2</v>
      </c>
      <c r="L47" s="5"/>
      <c r="M47" s="5"/>
      <c r="N47" s="5"/>
      <c r="O47" s="5"/>
    </row>
    <row r="48">
      <c r="A48" s="1"/>
      <c r="B48" s="1" t="str">
        <v>Ligne fictive 0025</v>
      </c>
      <c r="C48" s="1" t="str">
        <v>u</v>
      </c>
      <c r="D48" s="5" t="n">
        <v>5</v>
      </c>
      <c r="E48" s="5" t="n">
        <f>G48*$L$2+J48*$M$2*$O$2</f>
        <v>38.61</v>
      </c>
      <c r="F48" s="5" t="n">
        <f>ROUND(D48*E48,2)</f>
        <v>193.05</v>
      </c>
      <c r="G48" s="5" t="n">
        <v>4.7</v>
      </c>
      <c r="H48" s="5" t="n">
        <f>D48*G48</f>
        <v>23.5</v>
      </c>
      <c r="I48" s="5" t="n">
        <v>0.625</v>
      </c>
      <c r="J48" s="5" t="n">
        <f>I48*(1+$N$2)</f>
        <v>0.625</v>
      </c>
      <c r="K48" s="5" t="n">
        <f>D48*J48</f>
        <v>3.125</v>
      </c>
      <c r="L48" s="5"/>
      <c r="M48" s="5"/>
      <c r="N48" s="5"/>
      <c r="O48" s="5"/>
    </row>
    <row r="49">
      <c r="A49" s="1"/>
      <c r="B49" s="1" t="str">
        <v>Statut fictif 003</v>
      </c>
      <c r="C49" s="1" t="str">
        <v>HL</v>
      </c>
      <c r="D49" s="5"/>
      <c r="E49" s="5" t="n">
        <v>0</v>
      </c>
      <c r="F49" s="5" t="n">
        <v>0</v>
      </c>
      <c r="G49" s="5" t="n">
        <v>7.25</v>
      </c>
      <c r="H49" s="5" t="n">
        <v>0</v>
      </c>
      <c r="I49" s="5" t="n">
        <v>0.375</v>
      </c>
      <c r="J49" s="5" t="n">
        <v>0</v>
      </c>
      <c r="K49" s="5" t="n">
        <v>0</v>
      </c>
      <c r="L49" s="5"/>
      <c r="M49" s="5"/>
      <c r="N49" s="5"/>
      <c r="O49" s="5"/>
    </row>
    <row r="50">
      <c r="A50" s="1"/>
      <c r="B50" s="1" t="str">
        <v>Réserve fictive 0003</v>
      </c>
      <c r="C50" s="1" t="str">
        <v>u</v>
      </c>
      <c r="D50" s="5"/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/>
      <c r="M50" s="5"/>
      <c r="N50" s="5"/>
      <c r="O50" s="5"/>
    </row>
    <row r="51">
      <c r="A51" s="1"/>
      <c r="B51" s="1" t="str">
        <v>Sous-total fictif 9</v>
      </c>
      <c r="C51" s="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>
      <c r="A52" s="1"/>
      <c r="B52" s="6" t="str">
        <v>Section fictive 010</v>
      </c>
      <c r="C52" s="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>
      <c r="A53" s="1"/>
      <c r="B53" s="1" t="str">
        <v>Ligne fictive 0026</v>
      </c>
      <c r="C53" s="1" t="str">
        <v>ml</v>
      </c>
      <c r="D53" s="5" t="n">
        <v>1</v>
      </c>
      <c r="E53" s="5" t="n">
        <f>G53*$L$2+J53*$M$2*$O$2</f>
        <v>13.091000000000001</v>
      </c>
      <c r="F53" s="5" t="n">
        <f>ROUND(D53*E53,2)</f>
        <v>13.09</v>
      </c>
      <c r="G53" s="5" t="n">
        <v>5.07</v>
      </c>
      <c r="H53" s="5" t="n">
        <f>D53*G53</f>
        <v>5.07</v>
      </c>
      <c r="I53" s="5" t="n">
        <v>0.125</v>
      </c>
      <c r="J53" s="5" t="n">
        <f>I53*(1+$N$2)</f>
        <v>0.125</v>
      </c>
      <c r="K53" s="5" t="n">
        <f>D53*J53</f>
        <v>0.125</v>
      </c>
      <c r="L53" s="5"/>
      <c r="M53" s="5"/>
      <c r="N53" s="5"/>
      <c r="O53" s="5"/>
    </row>
    <row r="54">
      <c r="A54" s="1"/>
      <c r="B54" s="1" t="str">
        <v>Ligne fictive 0027</v>
      </c>
      <c r="C54" s="1" t="str">
        <v>m2</v>
      </c>
      <c r="D54" s="5" t="n">
        <v>2</v>
      </c>
      <c r="E54" s="5" t="n">
        <f>G54*$L$2+J54*$M$2*$O$2</f>
        <v>20.072000000000003</v>
      </c>
      <c r="F54" s="5" t="n">
        <f>ROUND(D54*E54,2)</f>
        <v>40.14</v>
      </c>
      <c r="G54" s="5" t="n">
        <v>5.44</v>
      </c>
      <c r="H54" s="5" t="n">
        <f>D54*G54</f>
        <v>10.88</v>
      </c>
      <c r="I54" s="5" t="n">
        <v>0.25</v>
      </c>
      <c r="J54" s="5" t="n">
        <f>I54*(1+$N$2)</f>
        <v>0.25</v>
      </c>
      <c r="K54" s="5" t="n">
        <f>D54*J54</f>
        <v>0.5</v>
      </c>
      <c r="L54" s="5"/>
      <c r="M54" s="5"/>
      <c r="N54" s="5"/>
      <c r="O54" s="5"/>
    </row>
    <row r="55">
      <c r="A55" s="1"/>
      <c r="B55" s="1" t="str">
        <v>Ligne fictive 0028</v>
      </c>
      <c r="C55" s="1" t="str">
        <v>u</v>
      </c>
      <c r="D55" s="5" t="n">
        <v>3</v>
      </c>
      <c r="E55" s="5" t="n">
        <f>G55*$L$2+J55*$M$2*$O$2</f>
        <v>27.053</v>
      </c>
      <c r="F55" s="5" t="n">
        <f>ROUND(D55*E55,2)</f>
        <v>81.16</v>
      </c>
      <c r="G55" s="5" t="n">
        <v>5.81</v>
      </c>
      <c r="H55" s="5" t="n">
        <f>D55*G55</f>
        <v>17.43</v>
      </c>
      <c r="I55" s="5" t="n">
        <v>0.375</v>
      </c>
      <c r="J55" s="5" t="n">
        <f>I55*(1+$N$2)</f>
        <v>0.375</v>
      </c>
      <c r="K55" s="5" t="n">
        <f>D55*J55</f>
        <v>1.125</v>
      </c>
      <c r="L55" s="5"/>
      <c r="M55" s="5"/>
      <c r="N55" s="5"/>
      <c r="O55" s="5"/>
    </row>
    <row r="56">
      <c r="A56" s="1"/>
      <c r="B56" s="1" t="str">
        <v>Sous-total fictif 10</v>
      </c>
      <c r="C56" s="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>
      <c r="A57" s="1"/>
      <c r="B57" s="6" t="str">
        <v>Section fictive 011</v>
      </c>
      <c r="C57" s="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>
      <c r="A58" s="1"/>
      <c r="B58" s="1" t="str">
        <v>Ligne fictive 0029</v>
      </c>
      <c r="C58" s="1" t="str">
        <v>ml</v>
      </c>
      <c r="D58" s="5" t="n">
        <v>4</v>
      </c>
      <c r="E58" s="5" t="n">
        <f>G58*$L$2+J58*$M$2*$O$2</f>
        <v>34.034</v>
      </c>
      <c r="F58" s="5" t="n">
        <f>ROUND(D58*E58,2)</f>
        <v>136.14</v>
      </c>
      <c r="G58" s="5" t="n">
        <v>6.18</v>
      </c>
      <c r="H58" s="5" t="n">
        <f>D58*G58</f>
        <v>24.72</v>
      </c>
      <c r="I58" s="5" t="n">
        <v>0.5</v>
      </c>
      <c r="J58" s="5" t="n">
        <f>I58*(1+$N$2)</f>
        <v>0.5</v>
      </c>
      <c r="K58" s="5" t="n">
        <f>D58*J58</f>
        <v>2</v>
      </c>
      <c r="L58" s="5"/>
      <c r="M58" s="5"/>
      <c r="N58" s="5"/>
      <c r="O58" s="5"/>
    </row>
    <row r="59">
      <c r="A59" s="1"/>
      <c r="B59" s="1" t="str">
        <v>Ligne fictive 0030</v>
      </c>
      <c r="C59" s="1" t="str">
        <v>m2</v>
      </c>
      <c r="D59" s="5" t="n">
        <v>5</v>
      </c>
      <c r="E59" s="5" t="n">
        <f>G59*$L$2+J59*$M$2*$O$2</f>
        <v>41.015</v>
      </c>
      <c r="F59" s="5" t="n">
        <f>ROUND(D59*E59,2)</f>
        <v>205.08</v>
      </c>
      <c r="G59" s="5" t="n">
        <v>6.55</v>
      </c>
      <c r="H59" s="5" t="n">
        <f>D59*G59</f>
        <v>32.75</v>
      </c>
      <c r="I59" s="5" t="n">
        <v>0.625</v>
      </c>
      <c r="J59" s="5" t="n">
        <f>I59*(1+$N$2)</f>
        <v>0.625</v>
      </c>
      <c r="K59" s="5" t="n">
        <f>D59*J59</f>
        <v>3.125</v>
      </c>
      <c r="L59" s="5"/>
      <c r="M59" s="5"/>
      <c r="N59" s="5"/>
      <c r="O59" s="5"/>
    </row>
    <row r="60">
      <c r="A60" s="1"/>
      <c r="B60" s="1" t="str">
        <v>Ligne fictive 0031</v>
      </c>
      <c r="C60" s="1" t="str">
        <v>u</v>
      </c>
      <c r="D60" s="5" t="n">
        <v>1</v>
      </c>
      <c r="E60" s="5" t="n">
        <f>G60*$L$2+J60*$M$2*$O$2</f>
        <v>15.496</v>
      </c>
      <c r="F60" s="5" t="n">
        <f>ROUND(D60*E60,2)</f>
        <v>15.5</v>
      </c>
      <c r="G60" s="5" t="n">
        <v>6.92</v>
      </c>
      <c r="H60" s="5" t="n">
        <f>D60*G60</f>
        <v>6.92</v>
      </c>
      <c r="I60" s="5" t="n">
        <v>0.125</v>
      </c>
      <c r="J60" s="5" t="n">
        <f>I60*(1+$N$2)</f>
        <v>0.125</v>
      </c>
      <c r="K60" s="5" t="n">
        <f>D60*J60</f>
        <v>0.125</v>
      </c>
      <c r="L60" s="5"/>
      <c r="M60" s="5"/>
      <c r="N60" s="5"/>
      <c r="O60" s="5"/>
    </row>
    <row r="61">
      <c r="A61" s="1"/>
      <c r="B61" s="1" t="str">
        <v>Sous-total fictif 11</v>
      </c>
      <c r="C61" s="1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>
      <c r="A62" s="1"/>
      <c r="B62" s="6" t="str">
        <v>Section fictive 012</v>
      </c>
      <c r="C62" s="1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>
      <c r="A63" s="1"/>
      <c r="B63" s="1" t="str">
        <v>Ligne fictive 0032</v>
      </c>
      <c r="C63" s="1" t="str">
        <v>ml</v>
      </c>
      <c r="D63" s="5" t="n">
        <v>2</v>
      </c>
      <c r="E63" s="5" t="n">
        <f>G63*$L$2+J63*$M$2*$O$2</f>
        <v>22.477</v>
      </c>
      <c r="F63" s="5" t="n">
        <f>ROUND(D63*E63,2)</f>
        <v>44.95</v>
      </c>
      <c r="G63" s="5" t="n">
        <v>7.29</v>
      </c>
      <c r="H63" s="5" t="n">
        <f>D63*G63</f>
        <v>14.58</v>
      </c>
      <c r="I63" s="5" t="n">
        <v>0.25</v>
      </c>
      <c r="J63" s="5" t="n">
        <f>I63*(1+$N$2)</f>
        <v>0.25</v>
      </c>
      <c r="K63" s="5" t="n">
        <f>D63*J63</f>
        <v>0.5</v>
      </c>
      <c r="L63" s="5"/>
      <c r="M63" s="5"/>
      <c r="N63" s="5"/>
      <c r="O63" s="5"/>
    </row>
    <row r="64">
      <c r="A64" s="1"/>
      <c r="B64" s="1" t="str">
        <v>Ligne fictive 0033</v>
      </c>
      <c r="C64" s="1" t="str">
        <v>m2</v>
      </c>
      <c r="D64" s="5" t="n">
        <v>3</v>
      </c>
      <c r="E64" s="5" t="n">
        <f>G64*$L$2+J64*$M$2*$O$2</f>
        <v>29.458</v>
      </c>
      <c r="F64" s="5" t="n">
        <f>ROUND(D64*E64,2)</f>
        <v>88.37</v>
      </c>
      <c r="G64" s="5" t="n">
        <v>7.66</v>
      </c>
      <c r="H64" s="5" t="n">
        <f>D64*G64</f>
        <v>22.98</v>
      </c>
      <c r="I64" s="5" t="n">
        <v>0.375</v>
      </c>
      <c r="J64" s="5" t="n">
        <f>I64*(1+$N$2)</f>
        <v>0.375</v>
      </c>
      <c r="K64" s="5" t="n">
        <f>D64*J64</f>
        <v>1.125</v>
      </c>
      <c r="L64" s="5"/>
      <c r="M64" s="5"/>
      <c r="N64" s="5"/>
      <c r="O64" s="5"/>
    </row>
    <row r="65">
      <c r="A65" s="1"/>
      <c r="B65" s="1" t="str">
        <v>Ligne fictive 0034</v>
      </c>
      <c r="C65" s="1" t="str">
        <v>u</v>
      </c>
      <c r="D65" s="5" t="n">
        <v>4</v>
      </c>
      <c r="E65" s="5" t="n">
        <f>G65*$L$2+J65*$M$2*$O$2</f>
        <v>36.439</v>
      </c>
      <c r="F65" s="5" t="n">
        <f>ROUND(D65*E65,2)</f>
        <v>145.76</v>
      </c>
      <c r="G65" s="5" t="n">
        <v>8.03</v>
      </c>
      <c r="H65" s="5" t="n">
        <f>D65*G65</f>
        <v>32.12</v>
      </c>
      <c r="I65" s="5" t="n">
        <v>0.5</v>
      </c>
      <c r="J65" s="5" t="n">
        <f>I65*(1+$N$2)</f>
        <v>0.5</v>
      </c>
      <c r="K65" s="5" t="n">
        <f>D65*J65</f>
        <v>2</v>
      </c>
      <c r="L65" s="5"/>
      <c r="M65" s="5"/>
      <c r="N65" s="5"/>
      <c r="O65" s="5"/>
    </row>
    <row r="66">
      <c r="A66" s="1"/>
      <c r="B66" s="1" t="str">
        <v>Statut fictif 004</v>
      </c>
      <c r="C66" s="1" t="str">
        <v>HL</v>
      </c>
      <c r="D66" s="5"/>
      <c r="E66" s="5" t="n">
        <v>0</v>
      </c>
      <c r="F66" s="5" t="n">
        <v>0</v>
      </c>
      <c r="G66" s="5" t="n">
        <v>7.25</v>
      </c>
      <c r="H66" s="5" t="n">
        <v>0</v>
      </c>
      <c r="I66" s="5" t="n">
        <v>0.375</v>
      </c>
      <c r="J66" s="5" t="n">
        <v>0</v>
      </c>
      <c r="K66" s="5" t="n">
        <v>0</v>
      </c>
      <c r="L66" s="5"/>
      <c r="M66" s="5"/>
      <c r="N66" s="5"/>
      <c r="O66" s="5"/>
    </row>
    <row r="67">
      <c r="A67" s="1"/>
      <c r="B67" s="1" t="str">
        <v>Réserve fictive 0004</v>
      </c>
      <c r="C67" s="1" t="str">
        <v>u</v>
      </c>
      <c r="D67" s="5"/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/>
      <c r="M67" s="5"/>
      <c r="N67" s="5"/>
      <c r="O67" s="5"/>
    </row>
    <row r="68">
      <c r="A68" s="1"/>
      <c r="B68" s="1" t="str">
        <v>Sous-total fictif 12</v>
      </c>
      <c r="C68" s="1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>
      <c r="A69" s="1"/>
      <c r="B69" s="6" t="str">
        <v>Section fictive 013</v>
      </c>
      <c r="C69" s="1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>
      <c r="A70" s="1"/>
      <c r="B70" s="1" t="str">
        <v>Ligne fictive 0035</v>
      </c>
      <c r="C70" s="1" t="str">
        <v>ml</v>
      </c>
      <c r="D70" s="5" t="n">
        <v>5</v>
      </c>
      <c r="E70" s="5" t="n">
        <f>G70*$L$2+J70*$M$2*$O$2</f>
        <v>35.243</v>
      </c>
      <c r="F70" s="5" t="n">
        <f>ROUND(D70*E70,2)</f>
        <v>176.22</v>
      </c>
      <c r="G70" s="5" t="n">
        <v>2.11</v>
      </c>
      <c r="H70" s="5" t="n">
        <f>D70*G70</f>
        <v>10.549999999999999</v>
      </c>
      <c r="I70" s="5" t="n">
        <v>0.625</v>
      </c>
      <c r="J70" s="5" t="n">
        <f>I70*(1+$N$2)</f>
        <v>0.625</v>
      </c>
      <c r="K70" s="5" t="n">
        <f>D70*J70</f>
        <v>3.125</v>
      </c>
      <c r="L70" s="5"/>
      <c r="M70" s="5"/>
      <c r="N70" s="5"/>
      <c r="O70" s="5"/>
    </row>
    <row r="71">
      <c r="A71" s="1"/>
      <c r="B71" s="1" t="str">
        <v>Ligne fictive 0036</v>
      </c>
      <c r="C71" s="1" t="str">
        <v>m2</v>
      </c>
      <c r="D71" s="5" t="n">
        <v>1</v>
      </c>
      <c r="E71" s="5" t="n">
        <f>G71*$L$2+J71*$M$2*$O$2</f>
        <v>9.724</v>
      </c>
      <c r="F71" s="5" t="n">
        <f>ROUND(D71*E71,2)</f>
        <v>9.72</v>
      </c>
      <c r="G71" s="5" t="n">
        <v>2.48</v>
      </c>
      <c r="H71" s="5" t="n">
        <f>D71*G71</f>
        <v>2.48</v>
      </c>
      <c r="I71" s="5" t="n">
        <v>0.125</v>
      </c>
      <c r="J71" s="5" t="n">
        <f>I71*(1+$N$2)</f>
        <v>0.125</v>
      </c>
      <c r="K71" s="5" t="n">
        <f>D71*J71</f>
        <v>0.125</v>
      </c>
      <c r="L71" s="5"/>
      <c r="M71" s="5"/>
      <c r="N71" s="5"/>
      <c r="O71" s="5"/>
    </row>
    <row r="72">
      <c r="A72" s="1"/>
      <c r="B72" s="1" t="str">
        <v>Sous-total fictif 13</v>
      </c>
      <c r="C72" s="1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>
      <c r="A73" s="1"/>
      <c r="B73" s="6" t="str">
        <v>Section fictive 014</v>
      </c>
      <c r="C73" s="1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>
      <c r="A74" s="1"/>
      <c r="B74" s="1" t="str">
        <v>Ligne fictive 0037</v>
      </c>
      <c r="C74" s="1" t="str">
        <v>u</v>
      </c>
      <c r="D74" s="5" t="n">
        <v>2</v>
      </c>
      <c r="E74" s="5" t="n">
        <f>G74*$L$2+J74*$M$2*$O$2</f>
        <v>16.705</v>
      </c>
      <c r="F74" s="5" t="n">
        <f>ROUND(D74*E74,2)</f>
        <v>33.41</v>
      </c>
      <c r="G74" s="5" t="n">
        <v>2.85</v>
      </c>
      <c r="H74" s="5" t="n">
        <f>D74*G74</f>
        <v>5.7</v>
      </c>
      <c r="I74" s="5" t="n">
        <v>0.25</v>
      </c>
      <c r="J74" s="5" t="n">
        <f>I74*(1+$N$2)</f>
        <v>0.25</v>
      </c>
      <c r="K74" s="5" t="n">
        <f>D74*J74</f>
        <v>0.5</v>
      </c>
      <c r="L74" s="5"/>
      <c r="M74" s="5"/>
      <c r="N74" s="5"/>
      <c r="O74" s="5"/>
    </row>
    <row r="75">
      <c r="A75" s="1"/>
      <c r="B75" s="1" t="str">
        <v>Ligne fictive 0038</v>
      </c>
      <c r="C75" s="1" t="str">
        <v>ml</v>
      </c>
      <c r="D75" s="5" t="n">
        <v>3</v>
      </c>
      <c r="E75" s="5" t="n">
        <f>G75*$L$2+J75*$M$2*$O$2</f>
        <v>23.686</v>
      </c>
      <c r="F75" s="5" t="n">
        <f>ROUND(D75*E75,2)</f>
        <v>71.06</v>
      </c>
      <c r="G75" s="5" t="n">
        <v>3.22</v>
      </c>
      <c r="H75" s="5" t="n">
        <f>D75*G75</f>
        <v>9.66</v>
      </c>
      <c r="I75" s="5" t="n">
        <v>0.375</v>
      </c>
      <c r="J75" s="5" t="n">
        <f>I75*(1+$N$2)</f>
        <v>0.375</v>
      </c>
      <c r="K75" s="5" t="n">
        <f>D75*J75</f>
        <v>1.125</v>
      </c>
      <c r="L75" s="5"/>
      <c r="M75" s="5"/>
      <c r="N75" s="5"/>
      <c r="O75" s="5"/>
    </row>
    <row r="76">
      <c r="A76" s="1"/>
      <c r="B76" s="1" t="str">
        <v>Ligne fictive 0039</v>
      </c>
      <c r="C76" s="1" t="str">
        <v>m2</v>
      </c>
      <c r="D76" s="5" t="n">
        <v>4</v>
      </c>
      <c r="E76" s="5" t="n">
        <f>G76*$L$2+J76*$M$2*$O$2</f>
        <v>30.667</v>
      </c>
      <c r="F76" s="5" t="n">
        <f>ROUND(D76*E76,2)</f>
        <v>122.67</v>
      </c>
      <c r="G76" s="5" t="n">
        <v>3.59</v>
      </c>
      <c r="H76" s="5" t="n">
        <f>D76*G76</f>
        <v>14.36</v>
      </c>
      <c r="I76" s="5" t="n">
        <v>0.5</v>
      </c>
      <c r="J76" s="5" t="n">
        <f>I76*(1+$N$2)</f>
        <v>0.5</v>
      </c>
      <c r="K76" s="5" t="n">
        <f>D76*J76</f>
        <v>2</v>
      </c>
      <c r="L76" s="5"/>
      <c r="M76" s="5"/>
      <c r="N76" s="5"/>
      <c r="O76" s="5"/>
    </row>
    <row r="77">
      <c r="A77" s="1"/>
      <c r="B77" s="1" t="str">
        <v>Sous-total fictif 14</v>
      </c>
      <c r="C77" s="1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>
      <c r="A78" s="1"/>
      <c r="B78" s="6" t="str">
        <v>Section fictive 015</v>
      </c>
      <c r="C78" s="1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>
      <c r="A79" s="1"/>
      <c r="B79" s="1" t="str">
        <v>Ligne fictive 0040</v>
      </c>
      <c r="C79" s="1" t="str">
        <v>u</v>
      </c>
      <c r="D79" s="5" t="n">
        <v>5</v>
      </c>
      <c r="E79" s="5" t="n">
        <f>G79*$L$2+J79*$M$2*$O$2</f>
        <v>37.647999999999996</v>
      </c>
      <c r="F79" s="5" t="n">
        <f>ROUND(D79*E79,2)</f>
        <v>188.24</v>
      </c>
      <c r="G79" s="5" t="n">
        <v>3.96</v>
      </c>
      <c r="H79" s="5" t="n">
        <f>D79*G79</f>
        <v>19.8</v>
      </c>
      <c r="I79" s="5" t="n">
        <v>0.625</v>
      </c>
      <c r="J79" s="5" t="n">
        <f>I79*(1+$N$2)</f>
        <v>0.625</v>
      </c>
      <c r="K79" s="5" t="n">
        <f>D79*J79</f>
        <v>3.125</v>
      </c>
      <c r="L79" s="5"/>
      <c r="M79" s="5"/>
      <c r="N79" s="5"/>
      <c r="O79" s="5"/>
    </row>
    <row r="80">
      <c r="A80" s="1"/>
      <c r="B80" s="1" t="str">
        <v>Ligne fictive 0041</v>
      </c>
      <c r="C80" s="1" t="str">
        <v>ml</v>
      </c>
      <c r="D80" s="5" t="n">
        <v>1</v>
      </c>
      <c r="E80" s="5" t="n">
        <f>G80*$L$2+J80*$M$2*$O$2</f>
        <v>12.129000000000001</v>
      </c>
      <c r="F80" s="5" t="n">
        <f>ROUND(D80*E80,2)</f>
        <v>12.13</v>
      </c>
      <c r="G80" s="5" t="n">
        <v>4.33</v>
      </c>
      <c r="H80" s="5" t="n">
        <f>D80*G80</f>
        <v>4.33</v>
      </c>
      <c r="I80" s="5" t="n">
        <v>0.125</v>
      </c>
      <c r="J80" s="5" t="n">
        <f>I80*(1+$N$2)</f>
        <v>0.125</v>
      </c>
      <c r="K80" s="5" t="n">
        <f>D80*J80</f>
        <v>0.125</v>
      </c>
      <c r="L80" s="5"/>
      <c r="M80" s="5"/>
      <c r="N80" s="5"/>
      <c r="O80" s="5"/>
    </row>
    <row r="81">
      <c r="A81" s="1"/>
      <c r="B81" s="1" t="str">
        <v>Ligne fictive 0042</v>
      </c>
      <c r="C81" s="1" t="str">
        <v>m2</v>
      </c>
      <c r="D81" s="5" t="n">
        <v>2</v>
      </c>
      <c r="E81" s="5" t="n">
        <f>G81*$L$2+J81*$M$2*$O$2</f>
        <v>19.11</v>
      </c>
      <c r="F81" s="5" t="n">
        <f>ROUND(D81*E81,2)</f>
        <v>38.22</v>
      </c>
      <c r="G81" s="5" t="n">
        <v>4.7</v>
      </c>
      <c r="H81" s="5" t="n">
        <f>D81*G81</f>
        <v>9.4</v>
      </c>
      <c r="I81" s="5" t="n">
        <v>0.25</v>
      </c>
      <c r="J81" s="5" t="n">
        <f>I81*(1+$N$2)</f>
        <v>0.25</v>
      </c>
      <c r="K81" s="5" t="n">
        <f>D81*J81</f>
        <v>0.5</v>
      </c>
      <c r="L81" s="5"/>
      <c r="M81" s="5"/>
      <c r="N81" s="5"/>
      <c r="O81" s="5"/>
    </row>
    <row r="82">
      <c r="A82" s="1"/>
      <c r="B82" s="1" t="str">
        <v>Statut fictif 005</v>
      </c>
      <c r="C82" s="1" t="str">
        <v>HL</v>
      </c>
      <c r="D82" s="5"/>
      <c r="E82" s="5" t="n">
        <v>0</v>
      </c>
      <c r="F82" s="5" t="n">
        <v>0</v>
      </c>
      <c r="G82" s="5" t="n">
        <v>7.25</v>
      </c>
      <c r="H82" s="5" t="n">
        <v>0</v>
      </c>
      <c r="I82" s="5" t="n">
        <v>0.375</v>
      </c>
      <c r="J82" s="5" t="n">
        <v>0</v>
      </c>
      <c r="K82" s="5" t="n">
        <v>0</v>
      </c>
      <c r="L82" s="5"/>
      <c r="M82" s="5"/>
      <c r="N82" s="5"/>
      <c r="O82" s="5"/>
    </row>
    <row r="83">
      <c r="A83" s="1"/>
      <c r="B83" s="1" t="str">
        <v>Réserve fictive 0005</v>
      </c>
      <c r="C83" s="1" t="str">
        <v>u</v>
      </c>
      <c r="D83" s="5"/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/>
      <c r="M83" s="5"/>
      <c r="N83" s="5"/>
      <c r="O83" s="5"/>
    </row>
    <row r="84">
      <c r="A84" s="1"/>
      <c r="B84" s="1" t="str">
        <v>Sous-total fictif 15</v>
      </c>
      <c r="C84" s="1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>
      <c r="A85" s="1"/>
      <c r="B85" s="6" t="str">
        <v>Section fictive 016</v>
      </c>
      <c r="C85" s="1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>
      <c r="A86" s="1"/>
      <c r="B86" s="1" t="str">
        <v>Ligne fictive 0043</v>
      </c>
      <c r="C86" s="1" t="str">
        <v>u</v>
      </c>
      <c r="D86" s="5" t="n">
        <v>3</v>
      </c>
      <c r="E86" s="5" t="n">
        <f>G86*$L$2+J86*$M$2*$O$2</f>
        <v>26.091</v>
      </c>
      <c r="F86" s="5" t="n">
        <f>ROUND(D86*E86,2)</f>
        <v>78.27</v>
      </c>
      <c r="G86" s="5" t="n">
        <v>5.07</v>
      </c>
      <c r="H86" s="5" t="n">
        <f>D86*G86</f>
        <v>15.21</v>
      </c>
      <c r="I86" s="5" t="n">
        <v>0.375</v>
      </c>
      <c r="J86" s="5" t="n">
        <f>I86*(1+$N$2)</f>
        <v>0.375</v>
      </c>
      <c r="K86" s="5" t="n">
        <f>D86*J86</f>
        <v>1.125</v>
      </c>
      <c r="L86" s="5"/>
      <c r="M86" s="5"/>
      <c r="N86" s="5"/>
      <c r="O86" s="5"/>
    </row>
    <row r="87">
      <c r="A87" s="1"/>
      <c r="B87" s="1" t="str">
        <v>Ligne fictive 0044</v>
      </c>
      <c r="C87" s="1" t="str">
        <v>ml</v>
      </c>
      <c r="D87" s="5" t="n">
        <v>4</v>
      </c>
      <c r="E87" s="5" t="n">
        <f>G87*$L$2+J87*$M$2*$O$2</f>
        <v>33.072</v>
      </c>
      <c r="F87" s="5" t="n">
        <f>ROUND(D87*E87,2)</f>
        <v>132.29</v>
      </c>
      <c r="G87" s="5" t="n">
        <v>5.44</v>
      </c>
      <c r="H87" s="5" t="n">
        <f>D87*G87</f>
        <v>21.76</v>
      </c>
      <c r="I87" s="5" t="n">
        <v>0.5</v>
      </c>
      <c r="J87" s="5" t="n">
        <f>I87*(1+$N$2)</f>
        <v>0.5</v>
      </c>
      <c r="K87" s="5" t="n">
        <f>D87*J87</f>
        <v>2</v>
      </c>
      <c r="L87" s="5"/>
      <c r="M87" s="5"/>
      <c r="N87" s="5"/>
      <c r="O87" s="5"/>
    </row>
    <row r="88">
      <c r="A88" s="1"/>
      <c r="B88" s="1" t="str">
        <v>Ligne fictive 0045</v>
      </c>
      <c r="C88" s="1" t="str">
        <v>m2</v>
      </c>
      <c r="D88" s="5" t="n">
        <v>5</v>
      </c>
      <c r="E88" s="5" t="n">
        <f>G88*$L$2+J88*$M$2*$O$2</f>
        <v>40.053</v>
      </c>
      <c r="F88" s="5" t="n">
        <f>ROUND(D88*E88,2)</f>
        <v>200.27</v>
      </c>
      <c r="G88" s="5" t="n">
        <v>5.81</v>
      </c>
      <c r="H88" s="5" t="n">
        <f>D88*G88</f>
        <v>29.049999999999997</v>
      </c>
      <c r="I88" s="5" t="n">
        <v>0.625</v>
      </c>
      <c r="J88" s="5" t="n">
        <f>I88*(1+$N$2)</f>
        <v>0.625</v>
      </c>
      <c r="K88" s="5" t="n">
        <f>D88*J88</f>
        <v>3.125</v>
      </c>
      <c r="L88" s="5"/>
      <c r="M88" s="5"/>
      <c r="N88" s="5"/>
      <c r="O88" s="5"/>
    </row>
    <row r="89">
      <c r="A89" s="1"/>
      <c r="B89" s="1" t="str">
        <v>Sous-total fictif 16</v>
      </c>
      <c r="C89" s="1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>
      <c r="A90" s="1"/>
      <c r="B90" s="6" t="str">
        <v>Section fictive 017</v>
      </c>
      <c r="C90" s="1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>
      <c r="A91" s="1"/>
      <c r="B91" s="1" t="str">
        <v>Ligne fictive 0046</v>
      </c>
      <c r="C91" s="1" t="str">
        <v>u</v>
      </c>
      <c r="D91" s="5" t="n">
        <v>1</v>
      </c>
      <c r="E91" s="5" t="n">
        <f>G91*$L$2+J91*$M$2*$O$2</f>
        <v>14.534</v>
      </c>
      <c r="F91" s="5" t="n">
        <f>ROUND(D91*E91,2)</f>
        <v>14.53</v>
      </c>
      <c r="G91" s="5" t="n">
        <v>6.18</v>
      </c>
      <c r="H91" s="5" t="n">
        <f>D91*G91</f>
        <v>6.18</v>
      </c>
      <c r="I91" s="5" t="n">
        <v>0.125</v>
      </c>
      <c r="J91" s="5" t="n">
        <f>I91*(1+$N$2)</f>
        <v>0.125</v>
      </c>
      <c r="K91" s="5" t="n">
        <f>D91*J91</f>
        <v>0.125</v>
      </c>
      <c r="L91" s="5"/>
      <c r="M91" s="5"/>
      <c r="N91" s="5"/>
      <c r="O91" s="5"/>
    </row>
    <row r="92">
      <c r="A92" s="1"/>
      <c r="B92" s="1" t="str">
        <v>Ligne fictive 0047</v>
      </c>
      <c r="C92" s="1" t="str">
        <v>ml</v>
      </c>
      <c r="D92" s="5" t="n">
        <v>2</v>
      </c>
      <c r="E92" s="5" t="n">
        <f>G92*$L$2+J92*$M$2*$O$2</f>
        <v>21.515</v>
      </c>
      <c r="F92" s="5" t="n">
        <f>ROUND(D92*E92,2)</f>
        <v>43.03</v>
      </c>
      <c r="G92" s="5" t="n">
        <v>6.55</v>
      </c>
      <c r="H92" s="5" t="n">
        <f>D92*G92</f>
        <v>13.1</v>
      </c>
      <c r="I92" s="5" t="n">
        <v>0.25</v>
      </c>
      <c r="J92" s="5" t="n">
        <f>I92*(1+$N$2)</f>
        <v>0.25</v>
      </c>
      <c r="K92" s="5" t="n">
        <f>D92*J92</f>
        <v>0.5</v>
      </c>
      <c r="L92" s="5"/>
      <c r="M92" s="5"/>
      <c r="N92" s="5"/>
      <c r="O92" s="5"/>
    </row>
    <row r="93">
      <c r="A93" s="1"/>
      <c r="B93" s="1" t="str">
        <v>Ligne fictive 0048</v>
      </c>
      <c r="C93" s="1" t="str">
        <v>m2</v>
      </c>
      <c r="D93" s="5" t="n">
        <v>3</v>
      </c>
      <c r="E93" s="5" t="n">
        <f>G93*$L$2+J93*$M$2*$O$2</f>
        <v>28.496000000000002</v>
      </c>
      <c r="F93" s="5" t="n">
        <f>ROUND(D93*E93,2)</f>
        <v>85.49</v>
      </c>
      <c r="G93" s="5" t="n">
        <v>6.92</v>
      </c>
      <c r="H93" s="5" t="n">
        <f>D93*G93</f>
        <v>20.759999999999998</v>
      </c>
      <c r="I93" s="5" t="n">
        <v>0.375</v>
      </c>
      <c r="J93" s="5" t="n">
        <f>I93*(1+$N$2)</f>
        <v>0.375</v>
      </c>
      <c r="K93" s="5" t="n">
        <f>D93*J93</f>
        <v>1.125</v>
      </c>
      <c r="L93" s="5"/>
      <c r="M93" s="5"/>
      <c r="N93" s="5"/>
      <c r="O93" s="5"/>
    </row>
    <row r="94">
      <c r="A94" s="1"/>
      <c r="B94" s="1" t="str">
        <v>Statut fictif 006</v>
      </c>
      <c r="C94" s="1" t="str">
        <v>HL</v>
      </c>
      <c r="D94" s="5"/>
      <c r="E94" s="5" t="n">
        <v>0</v>
      </c>
      <c r="F94" s="5" t="n">
        <v>0</v>
      </c>
      <c r="G94" s="5" t="n">
        <v>7.25</v>
      </c>
      <c r="H94" s="5" t="n">
        <v>0</v>
      </c>
      <c r="I94" s="5" t="n">
        <v>0.375</v>
      </c>
      <c r="J94" s="5" t="n">
        <v>0</v>
      </c>
      <c r="K94" s="5" t="n">
        <v>0</v>
      </c>
      <c r="L94" s="5"/>
      <c r="M94" s="5"/>
      <c r="N94" s="5"/>
      <c r="O94" s="5"/>
    </row>
    <row r="95">
      <c r="A95" s="1"/>
      <c r="B95" s="1" t="str">
        <v>Sous-total fictif 17</v>
      </c>
      <c r="C95" s="1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>
      <c r="A96" s="1"/>
      <c r="B96" s="6" t="str">
        <v>Section fictive 018</v>
      </c>
      <c r="C96" s="1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>
      <c r="A97" s="1"/>
      <c r="B97" s="1" t="str">
        <v>Ligne fictive 0049</v>
      </c>
      <c r="C97" s="1" t="str">
        <v>u</v>
      </c>
      <c r="D97" s="5" t="n">
        <v>4</v>
      </c>
      <c r="E97" s="5" t="n">
        <f>G97*$L$2+J97*$M$2*$O$2</f>
        <v>35.477000000000004</v>
      </c>
      <c r="F97" s="5" t="n">
        <f>ROUND(D97*E97,2)</f>
        <v>141.91</v>
      </c>
      <c r="G97" s="5" t="n">
        <v>7.29</v>
      </c>
      <c r="H97" s="5" t="n">
        <f>D97*G97</f>
        <v>29.16</v>
      </c>
      <c r="I97" s="5" t="n">
        <v>0.5</v>
      </c>
      <c r="J97" s="5" t="n">
        <f>I97*(1+$N$2)</f>
        <v>0.5</v>
      </c>
      <c r="K97" s="5" t="n">
        <f>D97*J97</f>
        <v>2</v>
      </c>
      <c r="L97" s="5"/>
      <c r="M97" s="5"/>
      <c r="N97" s="5"/>
      <c r="O97" s="5"/>
    </row>
    <row r="98">
      <c r="A98" s="1"/>
      <c r="B98" s="1" t="str">
        <v>Ligne fictive 0050</v>
      </c>
      <c r="C98" s="1" t="str">
        <v>ml</v>
      </c>
      <c r="D98" s="5" t="n">
        <v>5</v>
      </c>
      <c r="E98" s="5" t="n">
        <f>G98*$L$2+J98*$M$2*$O$2</f>
        <v>42.458</v>
      </c>
      <c r="F98" s="5" t="n">
        <f>ROUND(D98*E98,2)</f>
        <v>212.29</v>
      </c>
      <c r="G98" s="5" t="n">
        <v>7.66</v>
      </c>
      <c r="H98" s="5" t="n">
        <f>D98*G98</f>
        <v>38.3</v>
      </c>
      <c r="I98" s="5" t="n">
        <v>0.625</v>
      </c>
      <c r="J98" s="5" t="n">
        <f>I98*(1+$N$2)</f>
        <v>0.625</v>
      </c>
      <c r="K98" s="5" t="n">
        <f>D98*J98</f>
        <v>3.125</v>
      </c>
      <c r="L98" s="5"/>
      <c r="M98" s="5"/>
      <c r="N98" s="5"/>
      <c r="O98" s="5"/>
    </row>
    <row r="99">
      <c r="A99" s="1"/>
      <c r="B99" s="1" t="str">
        <v>Ligne fictive 0051</v>
      </c>
      <c r="C99" s="1" t="str">
        <v>m2</v>
      </c>
      <c r="D99" s="5" t="n">
        <v>1</v>
      </c>
      <c r="E99" s="5" t="n">
        <f>G99*$L$2+J99*$M$2*$O$2</f>
        <v>16.939</v>
      </c>
      <c r="F99" s="5" t="n">
        <f>ROUND(D99*E99,2)</f>
        <v>16.94</v>
      </c>
      <c r="G99" s="5" t="n">
        <v>8.03</v>
      </c>
      <c r="H99" s="5" t="n">
        <f>D99*G99</f>
        <v>8.03</v>
      </c>
      <c r="I99" s="5" t="n">
        <v>0.125</v>
      </c>
      <c r="J99" s="5" t="n">
        <f>I99*(1+$N$2)</f>
        <v>0.125</v>
      </c>
      <c r="K99" s="5" t="n">
        <f>D99*J99</f>
        <v>0.125</v>
      </c>
      <c r="L99" s="5"/>
      <c r="M99" s="5"/>
      <c r="N99" s="5"/>
      <c r="O99" s="5"/>
    </row>
    <row r="100">
      <c r="A100" s="1"/>
      <c r="B100" s="1" t="str">
        <v>Réserve fictive 0006</v>
      </c>
      <c r="C100" s="1" t="str">
        <v>u</v>
      </c>
      <c r="D100" s="5"/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/>
      <c r="M100" s="5"/>
      <c r="N100" s="5"/>
      <c r="O100" s="5"/>
    </row>
    <row r="101">
      <c r="A101" s="1"/>
      <c r="B101" s="1" t="str">
        <v>Sous-total fictif 18</v>
      </c>
      <c r="C101" s="1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>
      <c r="A102" s="1"/>
      <c r="B102" s="6" t="str">
        <v>Section fictive 019</v>
      </c>
      <c r="C102" s="1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>
      <c r="A103" s="1"/>
      <c r="B103" s="1" t="str">
        <v>Ligne fictive 0052</v>
      </c>
      <c r="C103" s="1" t="str">
        <v>u</v>
      </c>
      <c r="D103" s="5" t="n">
        <v>2</v>
      </c>
      <c r="E103" s="5" t="n">
        <f>G103*$L$2+J103*$M$2*$O$2</f>
        <v>15.743</v>
      </c>
      <c r="F103" s="5" t="n">
        <f>ROUND(D103*E103,2)</f>
        <v>31.49</v>
      </c>
      <c r="G103" s="5" t="n">
        <v>2.11</v>
      </c>
      <c r="H103" s="5" t="n">
        <f>D103*G103</f>
        <v>4.22</v>
      </c>
      <c r="I103" s="5" t="n">
        <v>0.25</v>
      </c>
      <c r="J103" s="5" t="n">
        <f>I103*(1+$N$2)</f>
        <v>0.25</v>
      </c>
      <c r="K103" s="5" t="n">
        <f>D103*J103</f>
        <v>0.5</v>
      </c>
      <c r="L103" s="5"/>
      <c r="M103" s="5"/>
      <c r="N103" s="5"/>
      <c r="O103" s="5"/>
    </row>
    <row r="104">
      <c r="A104" s="1"/>
      <c r="B104" s="1" t="str">
        <v>Ligne fictive 0053</v>
      </c>
      <c r="C104" s="1" t="str">
        <v>ml</v>
      </c>
      <c r="D104" s="5" t="n">
        <v>3</v>
      </c>
      <c r="E104" s="5" t="n">
        <f>G104*$L$2+J104*$M$2*$O$2</f>
        <v>22.724</v>
      </c>
      <c r="F104" s="5" t="n">
        <f>ROUND(D104*E104,2)</f>
        <v>68.17</v>
      </c>
      <c r="G104" s="5" t="n">
        <v>2.48</v>
      </c>
      <c r="H104" s="5" t="n">
        <f>D104*G104</f>
        <v>7.4399999999999995</v>
      </c>
      <c r="I104" s="5" t="n">
        <v>0.375</v>
      </c>
      <c r="J104" s="5" t="n">
        <f>I104*(1+$N$2)</f>
        <v>0.375</v>
      </c>
      <c r="K104" s="5" t="n">
        <f>D104*J104</f>
        <v>1.125</v>
      </c>
      <c r="L104" s="5"/>
      <c r="M104" s="5"/>
      <c r="N104" s="5"/>
      <c r="O104" s="5"/>
    </row>
    <row r="105">
      <c r="A105" s="1"/>
      <c r="B105" s="1" t="str">
        <v>Sous-total fictif 19</v>
      </c>
      <c r="C105" s="1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>
      <c r="A106" s="1"/>
      <c r="B106" s="6" t="str">
        <v>Section fictive 020</v>
      </c>
      <c r="C106" s="1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>
      <c r="A107" s="1"/>
      <c r="B107" s="1" t="str">
        <v>Ligne fictive 0054</v>
      </c>
      <c r="C107" s="1" t="str">
        <v>m2</v>
      </c>
      <c r="D107" s="5" t="n">
        <v>4</v>
      </c>
      <c r="E107" s="5" t="n">
        <f>G107*$L$2+J107*$M$2*$O$2</f>
        <v>29.705</v>
      </c>
      <c r="F107" s="5" t="n">
        <f>ROUND(D107*E107,2)</f>
        <v>118.82</v>
      </c>
      <c r="G107" s="5" t="n">
        <v>2.85</v>
      </c>
      <c r="H107" s="5" t="n">
        <f>D107*G107</f>
        <v>11.4</v>
      </c>
      <c r="I107" s="5" t="n">
        <v>0.5</v>
      </c>
      <c r="J107" s="5" t="n">
        <f>I107*(1+$N$2)</f>
        <v>0.5</v>
      </c>
      <c r="K107" s="5" t="n">
        <f>D107*J107</f>
        <v>2</v>
      </c>
      <c r="L107" s="5"/>
      <c r="M107" s="5"/>
      <c r="N107" s="5"/>
      <c r="O107" s="5"/>
    </row>
    <row r="108">
      <c r="A108" s="1"/>
      <c r="B108" s="1" t="str">
        <v>Ligne fictive 0055</v>
      </c>
      <c r="C108" s="1" t="str">
        <v>u</v>
      </c>
      <c r="D108" s="5" t="n">
        <v>5</v>
      </c>
      <c r="E108" s="5" t="n">
        <f>G108*$L$2+J108*$M$2*$O$2</f>
        <v>36.686</v>
      </c>
      <c r="F108" s="5" t="n">
        <f>ROUND(D108*E108,2)</f>
        <v>183.43</v>
      </c>
      <c r="G108" s="5" t="n">
        <v>3.22</v>
      </c>
      <c r="H108" s="5" t="n">
        <f>D108*G108</f>
        <v>16.1</v>
      </c>
      <c r="I108" s="5" t="n">
        <v>0.625</v>
      </c>
      <c r="J108" s="5" t="n">
        <f>I108*(1+$N$2)</f>
        <v>0.625</v>
      </c>
      <c r="K108" s="5" t="n">
        <f>D108*J108</f>
        <v>3.125</v>
      </c>
      <c r="L108" s="5"/>
      <c r="M108" s="5"/>
      <c r="N108" s="5"/>
      <c r="O108" s="5"/>
    </row>
    <row r="109">
      <c r="A109" s="1"/>
      <c r="B109" s="1" t="str">
        <v>Ligne fictive 0056</v>
      </c>
      <c r="C109" s="1" t="str">
        <v>ml</v>
      </c>
      <c r="D109" s="5" t="n">
        <v>1</v>
      </c>
      <c r="E109" s="5" t="n">
        <f>G109*$L$2+J109*$M$2*$O$2</f>
        <v>11.167</v>
      </c>
      <c r="F109" s="5" t="n">
        <f>ROUND(D109*E109,2)</f>
        <v>11.17</v>
      </c>
      <c r="G109" s="5" t="n">
        <v>3.59</v>
      </c>
      <c r="H109" s="5" t="n">
        <f>D109*G109</f>
        <v>3.59</v>
      </c>
      <c r="I109" s="5" t="n">
        <v>0.125</v>
      </c>
      <c r="J109" s="5" t="n">
        <f>I109*(1+$N$2)</f>
        <v>0.125</v>
      </c>
      <c r="K109" s="5" t="n">
        <f>D109*J109</f>
        <v>0.125</v>
      </c>
      <c r="L109" s="5"/>
      <c r="M109" s="5"/>
      <c r="N109" s="5"/>
      <c r="O109" s="5"/>
    </row>
    <row r="110">
      <c r="A110" s="1"/>
      <c r="B110" s="1" t="str">
        <v>Statut fictif 007</v>
      </c>
      <c r="C110" s="1" t="str">
        <v>HL</v>
      </c>
      <c r="D110" s="5"/>
      <c r="E110" s="5" t="n">
        <v>0</v>
      </c>
      <c r="F110" s="5" t="n">
        <v>0</v>
      </c>
      <c r="G110" s="5" t="n">
        <v>7.25</v>
      </c>
      <c r="H110" s="5" t="n">
        <v>0</v>
      </c>
      <c r="I110" s="5" t="n">
        <v>0.375</v>
      </c>
      <c r="J110" s="5" t="n">
        <v>0</v>
      </c>
      <c r="K110" s="5" t="n">
        <v>0</v>
      </c>
      <c r="L110" s="5"/>
      <c r="M110" s="5"/>
      <c r="N110" s="5"/>
      <c r="O110" s="5"/>
    </row>
    <row r="111">
      <c r="A111" s="1"/>
      <c r="B111" s="1" t="str">
        <v>Réserve fictive 0007</v>
      </c>
      <c r="C111" s="1" t="str">
        <v>u</v>
      </c>
      <c r="D111" s="5"/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/>
      <c r="M111" s="5"/>
      <c r="N111" s="5"/>
      <c r="O111" s="5"/>
    </row>
    <row r="112">
      <c r="A112" s="1"/>
      <c r="B112" s="1" t="str">
        <v>Sous-total fictif 20</v>
      </c>
      <c r="C112" s="1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>
      <c r="A113" s="1"/>
      <c r="B113" s="6" t="str">
        <v>Section fictive 021</v>
      </c>
      <c r="C113" s="1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>
      <c r="A114" s="1"/>
      <c r="B114" s="1" t="str">
        <v>Ligne fictive 0057</v>
      </c>
      <c r="C114" s="1" t="str">
        <v>m2</v>
      </c>
      <c r="D114" s="5" t="n">
        <v>2</v>
      </c>
      <c r="E114" s="5" t="n">
        <f>G114*$L$2+J114*$M$2*$O$2</f>
        <v>18.148</v>
      </c>
      <c r="F114" s="5" t="n">
        <f>ROUND(D114*E114,2)</f>
        <v>36.3</v>
      </c>
      <c r="G114" s="5" t="n">
        <v>3.96</v>
      </c>
      <c r="H114" s="5" t="n">
        <f>D114*G114</f>
        <v>7.92</v>
      </c>
      <c r="I114" s="5" t="n">
        <v>0.25</v>
      </c>
      <c r="J114" s="5" t="n">
        <f>I114*(1+$N$2)</f>
        <v>0.25</v>
      </c>
      <c r="K114" s="5" t="n">
        <f>D114*J114</f>
        <v>0.5</v>
      </c>
      <c r="L114" s="5"/>
      <c r="M114" s="5"/>
      <c r="N114" s="5"/>
      <c r="O114" s="5"/>
    </row>
    <row r="115">
      <c r="A115" s="1"/>
      <c r="B115" s="1" t="str">
        <v>Ligne fictive 0058</v>
      </c>
      <c r="C115" s="1" t="str">
        <v>u</v>
      </c>
      <c r="D115" s="5" t="n">
        <v>3</v>
      </c>
      <c r="E115" s="5" t="n">
        <f>G115*$L$2+J115*$M$2*$O$2</f>
        <v>25.129</v>
      </c>
      <c r="F115" s="5" t="n">
        <f>ROUND(D115*E115,2)</f>
        <v>75.39</v>
      </c>
      <c r="G115" s="5" t="n">
        <v>4.33</v>
      </c>
      <c r="H115" s="5" t="n">
        <f>D115*G115</f>
        <v>12.99</v>
      </c>
      <c r="I115" s="5" t="n">
        <v>0.375</v>
      </c>
      <c r="J115" s="5" t="n">
        <f>I115*(1+$N$2)</f>
        <v>0.375</v>
      </c>
      <c r="K115" s="5" t="n">
        <f>D115*J115</f>
        <v>1.125</v>
      </c>
      <c r="L115" s="5"/>
      <c r="M115" s="5"/>
      <c r="N115" s="5"/>
      <c r="O115" s="5"/>
    </row>
    <row r="116">
      <c r="A116" s="1"/>
      <c r="B116" s="1" t="str">
        <v>Ligne fictive 0059</v>
      </c>
      <c r="C116" s="1" t="str">
        <v>ml</v>
      </c>
      <c r="D116" s="5" t="n">
        <v>4</v>
      </c>
      <c r="E116" s="5" t="n">
        <f>G116*$L$2+J116*$M$2*$O$2</f>
        <v>32.11</v>
      </c>
      <c r="F116" s="5" t="n">
        <f>ROUND(D116*E116,2)</f>
        <v>128.44</v>
      </c>
      <c r="G116" s="5" t="n">
        <v>4.7</v>
      </c>
      <c r="H116" s="5" t="n">
        <f>D116*G116</f>
        <v>18.8</v>
      </c>
      <c r="I116" s="5" t="n">
        <v>0.5</v>
      </c>
      <c r="J116" s="5" t="n">
        <f>I116*(1+$N$2)</f>
        <v>0.5</v>
      </c>
      <c r="K116" s="5" t="n">
        <f>D116*J116</f>
        <v>2</v>
      </c>
      <c r="L116" s="5"/>
      <c r="M116" s="5"/>
      <c r="N116" s="5"/>
      <c r="O116" s="5"/>
    </row>
    <row r="117">
      <c r="A117" s="1"/>
      <c r="B117" s="1" t="str">
        <v>Sous-total fictif 21</v>
      </c>
      <c r="C117" s="1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>
      <c r="A118" s="1"/>
      <c r="B118" s="6" t="str">
        <v>Section fictive 022</v>
      </c>
      <c r="C118" s="1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>
      <c r="A119" s="1"/>
      <c r="B119" s="1" t="str">
        <v>Ligne fictive 0060</v>
      </c>
      <c r="C119" s="1" t="str">
        <v>m2</v>
      </c>
      <c r="D119" s="5" t="n">
        <v>5</v>
      </c>
      <c r="E119" s="5" t="n">
        <f>G119*$L$2+J119*$M$2*$O$2</f>
        <v>39.091</v>
      </c>
      <c r="F119" s="5" t="n">
        <f>ROUND(D119*E119,2)</f>
        <v>195.46</v>
      </c>
      <c r="G119" s="5" t="n">
        <v>5.07</v>
      </c>
      <c r="H119" s="5" t="n">
        <f>D119*G119</f>
        <v>25.35</v>
      </c>
      <c r="I119" s="5" t="n">
        <v>0.625</v>
      </c>
      <c r="J119" s="5" t="n">
        <f>I119*(1+$N$2)</f>
        <v>0.625</v>
      </c>
      <c r="K119" s="5" t="n">
        <f>D119*J119</f>
        <v>3.125</v>
      </c>
      <c r="L119" s="5"/>
      <c r="M119" s="5"/>
      <c r="N119" s="5"/>
      <c r="O119" s="5"/>
    </row>
    <row r="120">
      <c r="A120" s="1"/>
      <c r="B120" s="1" t="str">
        <v>Ligne fictive 0061</v>
      </c>
      <c r="C120" s="1" t="str">
        <v>u</v>
      </c>
      <c r="D120" s="5" t="n">
        <v>1</v>
      </c>
      <c r="E120" s="5" t="n">
        <f>G120*$L$2+J120*$M$2*$O$2</f>
        <v>13.572000000000001</v>
      </c>
      <c r="F120" s="5" t="n">
        <f>ROUND(D120*E120,2)</f>
        <v>13.57</v>
      </c>
      <c r="G120" s="5" t="n">
        <v>5.44</v>
      </c>
      <c r="H120" s="5" t="n">
        <f>D120*G120</f>
        <v>5.44</v>
      </c>
      <c r="I120" s="5" t="n">
        <v>0.125</v>
      </c>
      <c r="J120" s="5" t="n">
        <f>I120*(1+$N$2)</f>
        <v>0.125</v>
      </c>
      <c r="K120" s="5" t="n">
        <f>D120*J120</f>
        <v>0.125</v>
      </c>
      <c r="L120" s="5"/>
      <c r="M120" s="5"/>
      <c r="N120" s="5"/>
      <c r="O120" s="5"/>
    </row>
    <row r="121">
      <c r="A121" s="1"/>
      <c r="B121" s="1" t="str">
        <v>Ligne fictive 0062</v>
      </c>
      <c r="C121" s="1" t="str">
        <v>ml</v>
      </c>
      <c r="D121" s="5" t="n">
        <v>2</v>
      </c>
      <c r="E121" s="5" t="n">
        <f>G121*$L$2+J121*$M$2*$O$2</f>
        <v>20.553</v>
      </c>
      <c r="F121" s="5" t="n">
        <f>ROUND(D121*E121,2)</f>
        <v>41.11</v>
      </c>
      <c r="G121" s="5" t="n">
        <v>5.81</v>
      </c>
      <c r="H121" s="5" t="n">
        <f>D121*G121</f>
        <v>11.62</v>
      </c>
      <c r="I121" s="5" t="n">
        <v>0.25</v>
      </c>
      <c r="J121" s="5" t="n">
        <f>I121*(1+$N$2)</f>
        <v>0.25</v>
      </c>
      <c r="K121" s="5" t="n">
        <f>D121*J121</f>
        <v>0.5</v>
      </c>
      <c r="L121" s="5"/>
      <c r="M121" s="5"/>
      <c r="N121" s="5"/>
      <c r="O121" s="5"/>
    </row>
    <row r="122">
      <c r="A122" s="1"/>
      <c r="B122" s="1" t="str">
        <v>Sous-total fictif 22</v>
      </c>
      <c r="C122" s="1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>
      <c r="A123" s="1"/>
      <c r="B123" s="6" t="str">
        <v>Section fictive 023</v>
      </c>
      <c r="C123" s="1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>
      <c r="A124" s="1"/>
      <c r="B124" s="1" t="str">
        <v>Ligne fictive 0063</v>
      </c>
      <c r="C124" s="1" t="str">
        <v>m2</v>
      </c>
      <c r="D124" s="5" t="n">
        <v>3</v>
      </c>
      <c r="E124" s="5" t="n">
        <f>G124*$L$2+J124*$M$2*$O$2</f>
        <v>27.534</v>
      </c>
      <c r="F124" s="5" t="n">
        <f>ROUND(D124*E124,2)</f>
        <v>82.6</v>
      </c>
      <c r="G124" s="5" t="n">
        <v>6.18</v>
      </c>
      <c r="H124" s="5" t="n">
        <f>D124*G124</f>
        <v>18.54</v>
      </c>
      <c r="I124" s="5" t="n">
        <v>0.375</v>
      </c>
      <c r="J124" s="5" t="n">
        <f>I124*(1+$N$2)</f>
        <v>0.375</v>
      </c>
      <c r="K124" s="5" t="n">
        <f>D124*J124</f>
        <v>1.125</v>
      </c>
      <c r="L124" s="5"/>
      <c r="M124" s="5"/>
      <c r="N124" s="5"/>
      <c r="O124" s="5"/>
    </row>
    <row r="125">
      <c r="A125" s="1"/>
      <c r="B125" s="1" t="str">
        <v>Ligne fictive 0064</v>
      </c>
      <c r="C125" s="1" t="str">
        <v>u</v>
      </c>
      <c r="D125" s="5" t="n">
        <v>4</v>
      </c>
      <c r="E125" s="5" t="n">
        <f>G125*$L$2+J125*$M$2*$O$2</f>
        <v>34.515</v>
      </c>
      <c r="F125" s="5" t="n">
        <f>ROUND(D125*E125,2)</f>
        <v>138.06</v>
      </c>
      <c r="G125" s="5" t="n">
        <v>6.55</v>
      </c>
      <c r="H125" s="5" t="n">
        <f>D125*G125</f>
        <v>26.2</v>
      </c>
      <c r="I125" s="5" t="n">
        <v>0.5</v>
      </c>
      <c r="J125" s="5" t="n">
        <f>I125*(1+$N$2)</f>
        <v>0.5</v>
      </c>
      <c r="K125" s="5" t="n">
        <f>D125*J125</f>
        <v>2</v>
      </c>
      <c r="L125" s="5"/>
      <c r="M125" s="5"/>
      <c r="N125" s="5"/>
      <c r="O125" s="5"/>
    </row>
    <row r="126">
      <c r="A126" s="1"/>
      <c r="B126" s="1" t="str">
        <v>Ligne fictive 0065</v>
      </c>
      <c r="C126" s="1" t="str">
        <v>ml</v>
      </c>
      <c r="D126" s="5" t="n">
        <v>5</v>
      </c>
      <c r="E126" s="5" t="n">
        <f>G126*$L$2+J126*$M$2*$O$2</f>
        <v>41.496</v>
      </c>
      <c r="F126" s="5" t="n">
        <f>ROUND(D126*E126,2)</f>
        <v>207.48</v>
      </c>
      <c r="G126" s="5" t="n">
        <v>6.92</v>
      </c>
      <c r="H126" s="5" t="n">
        <f>D126*G126</f>
        <v>34.6</v>
      </c>
      <c r="I126" s="5" t="n">
        <v>0.625</v>
      </c>
      <c r="J126" s="5" t="n">
        <f>I126*(1+$N$2)</f>
        <v>0.625</v>
      </c>
      <c r="K126" s="5" t="n">
        <f>D126*J126</f>
        <v>3.125</v>
      </c>
      <c r="L126" s="5"/>
      <c r="M126" s="5"/>
      <c r="N126" s="5"/>
      <c r="O126" s="5"/>
    </row>
    <row r="127">
      <c r="A127" s="1"/>
      <c r="B127" s="1" t="str">
        <v>Statut fictif 008</v>
      </c>
      <c r="C127" s="1" t="str">
        <v>HL</v>
      </c>
      <c r="D127" s="5"/>
      <c r="E127" s="5" t="n">
        <v>0</v>
      </c>
      <c r="F127" s="5" t="n">
        <v>0</v>
      </c>
      <c r="G127" s="5" t="n">
        <v>7.25</v>
      </c>
      <c r="H127" s="5" t="n">
        <v>0</v>
      </c>
      <c r="I127" s="5" t="n">
        <v>0.375</v>
      </c>
      <c r="J127" s="5" t="n">
        <v>0</v>
      </c>
      <c r="K127" s="5" t="n">
        <v>0</v>
      </c>
      <c r="L127" s="5"/>
      <c r="M127" s="5"/>
      <c r="N127" s="5"/>
      <c r="O127" s="5"/>
    </row>
    <row r="128">
      <c r="A128" s="1"/>
      <c r="B128" s="1" t="str">
        <v>Réserve fictive 0008</v>
      </c>
      <c r="C128" s="1" t="str">
        <v>u</v>
      </c>
      <c r="D128" s="5"/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/>
      <c r="M128" s="5"/>
      <c r="N128" s="5"/>
      <c r="O128" s="5"/>
    </row>
    <row r="129">
      <c r="A129" s="1"/>
      <c r="B129" s="1" t="str">
        <v>Sous-total fictif 23</v>
      </c>
      <c r="C129" s="1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>
      <c r="A130" s="1"/>
      <c r="B130" s="6" t="str">
        <v>Section fictive 024</v>
      </c>
      <c r="C130" s="1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>
      <c r="A131" s="1"/>
      <c r="B131" s="1" t="str">
        <v>Ligne fictive 0066</v>
      </c>
      <c r="C131" s="1" t="str">
        <v>m2</v>
      </c>
      <c r="D131" s="5" t="n">
        <v>1</v>
      </c>
      <c r="E131" s="5" t="n">
        <f>G131*$L$2+J131*$M$2*$O$2</f>
        <v>15.977</v>
      </c>
      <c r="F131" s="5" t="n">
        <f>ROUND(D131*E131,2)</f>
        <v>15.98</v>
      </c>
      <c r="G131" s="5" t="n">
        <v>7.29</v>
      </c>
      <c r="H131" s="5" t="n">
        <f>D131*G131</f>
        <v>7.29</v>
      </c>
      <c r="I131" s="5" t="n">
        <v>0.125</v>
      </c>
      <c r="J131" s="5" t="n">
        <f>I131*(1+$N$2)</f>
        <v>0.125</v>
      </c>
      <c r="K131" s="5" t="n">
        <f>D131*J131</f>
        <v>0.125</v>
      </c>
      <c r="L131" s="5"/>
      <c r="M131" s="5"/>
      <c r="N131" s="5"/>
      <c r="O131" s="5"/>
    </row>
    <row r="132">
      <c r="A132" s="1"/>
      <c r="B132" s="1" t="str">
        <v>Ligne fictive 0067</v>
      </c>
      <c r="C132" s="1" t="str">
        <v>u</v>
      </c>
      <c r="D132" s="5" t="n">
        <v>2</v>
      </c>
      <c r="E132" s="5" t="n">
        <f>G132*$L$2+J132*$M$2*$O$2</f>
        <v>22.958</v>
      </c>
      <c r="F132" s="5" t="n">
        <f>ROUND(D132*E132,2)</f>
        <v>45.92</v>
      </c>
      <c r="G132" s="5" t="n">
        <v>7.66</v>
      </c>
      <c r="H132" s="5" t="n">
        <f>D132*G132</f>
        <v>15.32</v>
      </c>
      <c r="I132" s="5" t="n">
        <v>0.25</v>
      </c>
      <c r="J132" s="5" t="n">
        <f>I132*(1+$N$2)</f>
        <v>0.25</v>
      </c>
      <c r="K132" s="5" t="n">
        <f>D132*J132</f>
        <v>0.5</v>
      </c>
      <c r="L132" s="5"/>
      <c r="M132" s="5"/>
      <c r="N132" s="5"/>
      <c r="O132" s="5"/>
    </row>
    <row r="133">
      <c r="A133" s="1"/>
      <c r="B133" s="1" t="str">
        <v>Ligne fictive 0068</v>
      </c>
      <c r="C133" s="1" t="str">
        <v>ml</v>
      </c>
      <c r="D133" s="5" t="n">
        <v>3</v>
      </c>
      <c r="E133" s="5" t="n">
        <f>G133*$L$2+J133*$M$2*$O$2</f>
        <v>29.939</v>
      </c>
      <c r="F133" s="5" t="n">
        <f>ROUND(D133*E133,2)</f>
        <v>89.82</v>
      </c>
      <c r="G133" s="5" t="n">
        <v>8.03</v>
      </c>
      <c r="H133" s="5" t="n">
        <f>D133*G133</f>
        <v>24.089999999999996</v>
      </c>
      <c r="I133" s="5" t="n">
        <v>0.375</v>
      </c>
      <c r="J133" s="5" t="n">
        <f>I133*(1+$N$2)</f>
        <v>0.375</v>
      </c>
      <c r="K133" s="5" t="n">
        <f>D133*J133</f>
        <v>1.125</v>
      </c>
      <c r="L133" s="5"/>
      <c r="M133" s="5"/>
      <c r="N133" s="5"/>
      <c r="O133" s="5"/>
    </row>
    <row r="134">
      <c r="A134" s="1"/>
      <c r="B134" s="1" t="str">
        <v>Sous-total fictif 24</v>
      </c>
      <c r="C134" s="1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>
      <c r="A135" s="1"/>
      <c r="B135" s="6" t="str">
        <v>Section fictive 025</v>
      </c>
      <c r="C135" s="1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>
      <c r="A136" s="1"/>
      <c r="B136" s="1" t="str">
        <v>Ligne fictive 0069</v>
      </c>
      <c r="C136" s="1" t="str">
        <v>m2</v>
      </c>
      <c r="D136" s="5" t="n">
        <v>4</v>
      </c>
      <c r="E136" s="5" t="n">
        <f>G136*$L$2+J136*$M$2*$O$2</f>
        <v>28.743</v>
      </c>
      <c r="F136" s="5" t="n">
        <f>ROUND(D136*E136,2)</f>
        <v>114.97</v>
      </c>
      <c r="G136" s="5" t="n">
        <v>2.11</v>
      </c>
      <c r="H136" s="5" t="n">
        <f>D136*G136</f>
        <v>8.44</v>
      </c>
      <c r="I136" s="5" t="n">
        <v>0.5</v>
      </c>
      <c r="J136" s="5" t="n">
        <f>I136*(1+$N$2)</f>
        <v>0.5</v>
      </c>
      <c r="K136" s="5" t="n">
        <f>D136*J136</f>
        <v>2</v>
      </c>
      <c r="L136" s="5"/>
      <c r="M136" s="5"/>
      <c r="N136" s="5"/>
      <c r="O136" s="5"/>
    </row>
    <row r="137">
      <c r="A137" s="1"/>
      <c r="B137" s="1" t="str">
        <v>Ligne fictive 0070</v>
      </c>
      <c r="C137" s="1" t="str">
        <v>u</v>
      </c>
      <c r="D137" s="5" t="n">
        <v>5</v>
      </c>
      <c r="E137" s="5" t="n">
        <f>G137*$L$2+J137*$M$2*$O$2</f>
        <v>35.724000000000004</v>
      </c>
      <c r="F137" s="5" t="n">
        <f>ROUND(D137*E137,2)</f>
        <v>178.62</v>
      </c>
      <c r="G137" s="5" t="n">
        <v>2.48</v>
      </c>
      <c r="H137" s="5" t="n">
        <f>D137*G137</f>
        <v>12.4</v>
      </c>
      <c r="I137" s="5" t="n">
        <v>0.625</v>
      </c>
      <c r="J137" s="5" t="n">
        <f>I137*(1+$N$2)</f>
        <v>0.625</v>
      </c>
      <c r="K137" s="5" t="n">
        <f>D137*J137</f>
        <v>3.125</v>
      </c>
      <c r="L137" s="5"/>
      <c r="M137" s="5"/>
      <c r="N137" s="5"/>
      <c r="O137" s="5"/>
    </row>
    <row r="138">
      <c r="A138" s="1"/>
      <c r="B138" s="1" t="str">
        <v>Sous-total fictif 25</v>
      </c>
      <c r="C138" s="1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>
      <c r="A139" s="1"/>
      <c r="B139" s="6" t="str">
        <v>Section fictive 026</v>
      </c>
      <c r="C139" s="1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>
      <c r="A140" s="1"/>
      <c r="B140" s="1" t="str">
        <v>Ligne fictive 0071</v>
      </c>
      <c r="C140" s="1" t="str">
        <v>ml</v>
      </c>
      <c r="D140" s="5" t="n">
        <v>1</v>
      </c>
      <c r="E140" s="5" t="n">
        <f>G140*$L$2+J140*$M$2*$O$2</f>
        <v>10.205</v>
      </c>
      <c r="F140" s="5" t="n">
        <f>ROUND(D140*E140,2)</f>
        <v>10.21</v>
      </c>
      <c r="G140" s="5" t="n">
        <v>2.85</v>
      </c>
      <c r="H140" s="5" t="n">
        <f>D140*G140</f>
        <v>2.85</v>
      </c>
      <c r="I140" s="5" t="n">
        <v>0.125</v>
      </c>
      <c r="J140" s="5" t="n">
        <f>I140*(1+$N$2)</f>
        <v>0.125</v>
      </c>
      <c r="K140" s="5" t="n">
        <f>D140*J140</f>
        <v>0.125</v>
      </c>
      <c r="L140" s="5"/>
      <c r="M140" s="5"/>
      <c r="N140" s="5"/>
      <c r="O140" s="5"/>
    </row>
    <row r="141">
      <c r="A141" s="1"/>
      <c r="B141" s="1" t="str">
        <v>Ligne fictive 0072</v>
      </c>
      <c r="C141" s="1" t="str">
        <v>m2</v>
      </c>
      <c r="D141" s="5" t="n">
        <v>2</v>
      </c>
      <c r="E141" s="5" t="n">
        <f>G141*$L$2+J141*$M$2*$O$2</f>
        <v>17.186</v>
      </c>
      <c r="F141" s="5" t="n">
        <f>ROUND(D141*E141,2)</f>
        <v>34.37</v>
      </c>
      <c r="G141" s="5" t="n">
        <v>3.22</v>
      </c>
      <c r="H141" s="5" t="n">
        <f>D141*G141</f>
        <v>6.44</v>
      </c>
      <c r="I141" s="5" t="n">
        <v>0.25</v>
      </c>
      <c r="J141" s="5" t="n">
        <f>I141*(1+$N$2)</f>
        <v>0.25</v>
      </c>
      <c r="K141" s="5" t="n">
        <f>D141*J141</f>
        <v>0.5</v>
      </c>
      <c r="L141" s="5"/>
      <c r="M141" s="5"/>
      <c r="N141" s="5"/>
      <c r="O141" s="5"/>
    </row>
    <row r="142">
      <c r="A142" s="1"/>
      <c r="B142" s="1" t="str">
        <v>Ligne fictive 0073</v>
      </c>
      <c r="C142" s="1" t="str">
        <v>u</v>
      </c>
      <c r="D142" s="5" t="n">
        <v>3</v>
      </c>
      <c r="E142" s="5" t="n">
        <f>G142*$L$2+J142*$M$2*$O$2</f>
        <v>24.167</v>
      </c>
      <c r="F142" s="5" t="n">
        <f>ROUND(D142*E142,2)</f>
        <v>72.5</v>
      </c>
      <c r="G142" s="5" t="n">
        <v>3.59</v>
      </c>
      <c r="H142" s="5" t="n">
        <f>D142*G142</f>
        <v>10.77</v>
      </c>
      <c r="I142" s="5" t="n">
        <v>0.375</v>
      </c>
      <c r="J142" s="5" t="n">
        <f>I142*(1+$N$2)</f>
        <v>0.375</v>
      </c>
      <c r="K142" s="5" t="n">
        <f>D142*J142</f>
        <v>1.125</v>
      </c>
      <c r="L142" s="5"/>
      <c r="M142" s="5"/>
      <c r="N142" s="5"/>
      <c r="O142" s="5"/>
    </row>
    <row r="143">
      <c r="A143" s="1"/>
      <c r="B143" s="1" t="str">
        <v>Statut fictif 009</v>
      </c>
      <c r="C143" s="1" t="str">
        <v>HL</v>
      </c>
      <c r="D143" s="5"/>
      <c r="E143" s="5" t="n">
        <v>0</v>
      </c>
      <c r="F143" s="5" t="n">
        <v>0</v>
      </c>
      <c r="G143" s="5" t="n">
        <v>7.25</v>
      </c>
      <c r="H143" s="5" t="n">
        <v>0</v>
      </c>
      <c r="I143" s="5" t="n">
        <v>0.375</v>
      </c>
      <c r="J143" s="5" t="n">
        <v>0</v>
      </c>
      <c r="K143" s="5" t="n">
        <v>0</v>
      </c>
      <c r="L143" s="5"/>
      <c r="M143" s="5"/>
      <c r="N143" s="5"/>
      <c r="O143" s="5"/>
    </row>
    <row r="144">
      <c r="A144" s="1"/>
      <c r="B144" s="1" t="str">
        <v>Réserve fictive 0009</v>
      </c>
      <c r="C144" s="1" t="str">
        <v>u</v>
      </c>
      <c r="D144" s="5"/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/>
      <c r="M144" s="5"/>
      <c r="N144" s="5"/>
      <c r="O144" s="5"/>
    </row>
    <row r="145">
      <c r="A145" s="1"/>
      <c r="B145" s="1" t="str">
        <v>Sous-total fictif 26</v>
      </c>
      <c r="C145" s="1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>
      <c r="A146" s="1"/>
      <c r="B146" s="6" t="str">
        <v>Section fictive 027</v>
      </c>
      <c r="C146" s="1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>
      <c r="A147" s="1"/>
      <c r="B147" s="1" t="str">
        <v>Ligne fictive 0074</v>
      </c>
      <c r="C147" s="1" t="str">
        <v>ml</v>
      </c>
      <c r="D147" s="5" t="n">
        <v>4</v>
      </c>
      <c r="E147" s="5" t="n">
        <f>G147*$L$2+J147*$M$2*$O$2</f>
        <v>31.148</v>
      </c>
      <c r="F147" s="5" t="n">
        <f>ROUND(D147*E147,2)</f>
        <v>124.59</v>
      </c>
      <c r="G147" s="5" t="n">
        <v>3.96</v>
      </c>
      <c r="H147" s="5" t="n">
        <f>D147*G147</f>
        <v>15.84</v>
      </c>
      <c r="I147" s="5" t="n">
        <v>0.5</v>
      </c>
      <c r="J147" s="5" t="n">
        <f>I147*(1+$N$2)</f>
        <v>0.5</v>
      </c>
      <c r="K147" s="5" t="n">
        <f>D147*J147</f>
        <v>2</v>
      </c>
      <c r="L147" s="5"/>
      <c r="M147" s="5"/>
      <c r="N147" s="5"/>
      <c r="O147" s="5"/>
    </row>
    <row r="148">
      <c r="A148" s="1"/>
      <c r="B148" s="1" t="str">
        <v>Ligne fictive 0075</v>
      </c>
      <c r="C148" s="1" t="str">
        <v>m2</v>
      </c>
      <c r="D148" s="5" t="n">
        <v>5</v>
      </c>
      <c r="E148" s="5" t="n">
        <f>G148*$L$2+J148*$M$2*$O$2</f>
        <v>38.129</v>
      </c>
      <c r="F148" s="5" t="n">
        <f>ROUND(D148*E148,2)</f>
        <v>190.65</v>
      </c>
      <c r="G148" s="5" t="n">
        <v>4.33</v>
      </c>
      <c r="H148" s="5" t="n">
        <f>D148*G148</f>
        <v>21.65</v>
      </c>
      <c r="I148" s="5" t="n">
        <v>0.625</v>
      </c>
      <c r="J148" s="5" t="n">
        <f>I148*(1+$N$2)</f>
        <v>0.625</v>
      </c>
      <c r="K148" s="5" t="n">
        <f>D148*J148</f>
        <v>3.125</v>
      </c>
      <c r="L148" s="5"/>
      <c r="M148" s="5"/>
      <c r="N148" s="5"/>
      <c r="O148" s="5"/>
    </row>
    <row r="149">
      <c r="A149" s="1"/>
      <c r="B149" s="1" t="str">
        <v>Ligne fictive 0076</v>
      </c>
      <c r="C149" s="1" t="str">
        <v>u</v>
      </c>
      <c r="D149" s="5" t="n">
        <v>1</v>
      </c>
      <c r="E149" s="5" t="n">
        <f>G149*$L$2+J149*$M$2*$O$2</f>
        <v>12.61</v>
      </c>
      <c r="F149" s="5" t="n">
        <f>ROUND(D149*E149,2)</f>
        <v>12.61</v>
      </c>
      <c r="G149" s="5" t="n">
        <v>4.7</v>
      </c>
      <c r="H149" s="5" t="n">
        <f>D149*G149</f>
        <v>4.7</v>
      </c>
      <c r="I149" s="5" t="n">
        <v>0.125</v>
      </c>
      <c r="J149" s="5" t="n">
        <f>I149*(1+$N$2)</f>
        <v>0.125</v>
      </c>
      <c r="K149" s="5" t="n">
        <f>D149*J149</f>
        <v>0.125</v>
      </c>
      <c r="L149" s="5"/>
      <c r="M149" s="5"/>
      <c r="N149" s="5"/>
      <c r="O149" s="5"/>
    </row>
    <row r="150">
      <c r="A150" s="1"/>
      <c r="B150" s="1" t="str">
        <v>Sous-total fictif 27</v>
      </c>
      <c r="C150" s="1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>
      <c r="A151" s="1"/>
      <c r="B151" s="6" t="str">
        <v>Section fictive 028</v>
      </c>
      <c r="C151" s="1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>
      <c r="A152" s="1"/>
      <c r="B152" s="1" t="str">
        <v>Ligne fictive 0077</v>
      </c>
      <c r="C152" s="1" t="str">
        <v>ml</v>
      </c>
      <c r="D152" s="5" t="n">
        <v>2</v>
      </c>
      <c r="E152" s="5" t="n">
        <f>G152*$L$2+J152*$M$2*$O$2</f>
        <v>19.591</v>
      </c>
      <c r="F152" s="5" t="n">
        <f>ROUND(D152*E152,2)</f>
        <v>39.18</v>
      </c>
      <c r="G152" s="5" t="n">
        <v>5.07</v>
      </c>
      <c r="H152" s="5" t="n">
        <f>D152*G152</f>
        <v>10.14</v>
      </c>
      <c r="I152" s="5" t="n">
        <v>0.25</v>
      </c>
      <c r="J152" s="5" t="n">
        <f>I152*(1+$N$2)</f>
        <v>0.25</v>
      </c>
      <c r="K152" s="5" t="n">
        <f>D152*J152</f>
        <v>0.5</v>
      </c>
      <c r="L152" s="5"/>
      <c r="M152" s="5"/>
      <c r="N152" s="5"/>
      <c r="O152" s="5"/>
    </row>
    <row r="153">
      <c r="A153" s="1"/>
      <c r="B153" s="1" t="str">
        <v>Ligne fictive 0078</v>
      </c>
      <c r="C153" s="1" t="str">
        <v>m2</v>
      </c>
      <c r="D153" s="5" t="n">
        <v>3</v>
      </c>
      <c r="E153" s="5" t="n">
        <f>G153*$L$2+J153*$M$2*$O$2</f>
        <v>26.572000000000003</v>
      </c>
      <c r="F153" s="5" t="n">
        <f>ROUND(D153*E153,2)</f>
        <v>79.72</v>
      </c>
      <c r="G153" s="5" t="n">
        <v>5.44</v>
      </c>
      <c r="H153" s="5" t="n">
        <f>D153*G153</f>
        <v>16.32</v>
      </c>
      <c r="I153" s="5" t="n">
        <v>0.375</v>
      </c>
      <c r="J153" s="5" t="n">
        <f>I153*(1+$N$2)</f>
        <v>0.375</v>
      </c>
      <c r="K153" s="5" t="n">
        <f>D153*J153</f>
        <v>1.125</v>
      </c>
      <c r="L153" s="5"/>
      <c r="M153" s="5"/>
      <c r="N153" s="5"/>
      <c r="O153" s="5"/>
    </row>
    <row r="154">
      <c r="A154" s="1"/>
      <c r="B154" s="1" t="str">
        <v>Ligne fictive 0079</v>
      </c>
      <c r="C154" s="1" t="str">
        <v>u</v>
      </c>
      <c r="D154" s="5" t="n">
        <v>4</v>
      </c>
      <c r="E154" s="5" t="n">
        <f>G154*$L$2+J154*$M$2*$O$2</f>
        <v>33.553</v>
      </c>
      <c r="F154" s="5" t="n">
        <f>ROUND(D154*E154,2)</f>
        <v>134.21</v>
      </c>
      <c r="G154" s="5" t="n">
        <v>5.81</v>
      </c>
      <c r="H154" s="5" t="n">
        <f>D154*G154</f>
        <v>23.24</v>
      </c>
      <c r="I154" s="5" t="n">
        <v>0.5</v>
      </c>
      <c r="J154" s="5" t="n">
        <f>I154*(1+$N$2)</f>
        <v>0.5</v>
      </c>
      <c r="K154" s="5" t="n">
        <f>D154*J154</f>
        <v>2</v>
      </c>
      <c r="L154" s="5"/>
      <c r="M154" s="5"/>
      <c r="N154" s="5"/>
      <c r="O154" s="5"/>
    </row>
    <row r="155">
      <c r="A155" s="1"/>
      <c r="B155" s="1" t="str">
        <v>Sous-total fictif 28</v>
      </c>
      <c r="C155" s="1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>
      <c r="A156" s="1"/>
      <c r="B156" s="6" t="str">
        <v>Section fictive 029</v>
      </c>
      <c r="C156" s="1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>
      <c r="A157" s="1"/>
      <c r="B157" s="1" t="str">
        <v>Ligne fictive 0080</v>
      </c>
      <c r="C157" s="1" t="str">
        <v>ml</v>
      </c>
      <c r="D157" s="5" t="n">
        <v>5</v>
      </c>
      <c r="E157" s="5" t="n">
        <f>G157*$L$2+J157*$M$2*$O$2</f>
        <v>40.534</v>
      </c>
      <c r="F157" s="5" t="n">
        <f>ROUND(D157*E157,2)</f>
        <v>202.67</v>
      </c>
      <c r="G157" s="5" t="n">
        <v>6.18</v>
      </c>
      <c r="H157" s="5" t="n">
        <f>D157*G157</f>
        <v>30.9</v>
      </c>
      <c r="I157" s="5" t="n">
        <v>0.625</v>
      </c>
      <c r="J157" s="5" t="n">
        <f>I157*(1+$N$2)</f>
        <v>0.625</v>
      </c>
      <c r="K157" s="5" t="n">
        <f>D157*J157</f>
        <v>3.125</v>
      </c>
      <c r="L157" s="5"/>
      <c r="M157" s="5"/>
      <c r="N157" s="5"/>
      <c r="O157" s="5"/>
    </row>
    <row r="158">
      <c r="A158" s="1"/>
      <c r="B158" s="1" t="str">
        <v>Ligne fictive 0081</v>
      </c>
      <c r="C158" s="1" t="str">
        <v>m2</v>
      </c>
      <c r="D158" s="5" t="n">
        <v>1</v>
      </c>
      <c r="E158" s="5" t="n">
        <f>G158*$L$2+J158*$M$2*$O$2</f>
        <v>15.015</v>
      </c>
      <c r="F158" s="5" t="n">
        <f>ROUND(D158*E158,2)</f>
        <v>15.02</v>
      </c>
      <c r="G158" s="5" t="n">
        <v>6.55</v>
      </c>
      <c r="H158" s="5" t="n">
        <f>D158*G158</f>
        <v>6.55</v>
      </c>
      <c r="I158" s="5" t="n">
        <v>0.125</v>
      </c>
      <c r="J158" s="5" t="n">
        <f>I158*(1+$N$2)</f>
        <v>0.125</v>
      </c>
      <c r="K158" s="5" t="n">
        <f>D158*J158</f>
        <v>0.125</v>
      </c>
      <c r="L158" s="5"/>
      <c r="M158" s="5"/>
      <c r="N158" s="5"/>
      <c r="O158" s="5"/>
    </row>
    <row r="159">
      <c r="A159" s="1"/>
      <c r="B159" s="1" t="str">
        <v>Ligne fictive 0082</v>
      </c>
      <c r="C159" s="1" t="str">
        <v>u</v>
      </c>
      <c r="D159" s="5" t="n">
        <v>2</v>
      </c>
      <c r="E159" s="5" t="n">
        <f>G159*$L$2+J159*$M$2*$O$2</f>
        <v>21.996000000000002</v>
      </c>
      <c r="F159" s="5" t="n">
        <f>ROUND(D159*E159,2)</f>
        <v>43.99</v>
      </c>
      <c r="G159" s="5" t="n">
        <v>6.92</v>
      </c>
      <c r="H159" s="5" t="n">
        <f>D159*G159</f>
        <v>13.84</v>
      </c>
      <c r="I159" s="5" t="n">
        <v>0.25</v>
      </c>
      <c r="J159" s="5" t="n">
        <f>I159*(1+$N$2)</f>
        <v>0.25</v>
      </c>
      <c r="K159" s="5" t="n">
        <f>D159*J159</f>
        <v>0.5</v>
      </c>
      <c r="L159" s="5"/>
      <c r="M159" s="5"/>
      <c r="N159" s="5"/>
      <c r="O159" s="5"/>
    </row>
    <row r="160">
      <c r="A160" s="1"/>
      <c r="B160" s="1" t="str">
        <v>Statut fictif 010</v>
      </c>
      <c r="C160" s="1" t="str">
        <v>HL</v>
      </c>
      <c r="D160" s="5"/>
      <c r="E160" s="5" t="n">
        <v>0</v>
      </c>
      <c r="F160" s="5" t="n">
        <v>0</v>
      </c>
      <c r="G160" s="5" t="n">
        <v>7.25</v>
      </c>
      <c r="H160" s="5" t="n">
        <v>0</v>
      </c>
      <c r="I160" s="5" t="n">
        <v>0.375</v>
      </c>
      <c r="J160" s="5" t="n">
        <v>0</v>
      </c>
      <c r="K160" s="5" t="n">
        <v>0</v>
      </c>
      <c r="L160" s="5"/>
      <c r="M160" s="5"/>
      <c r="N160" s="5"/>
      <c r="O160" s="5"/>
    </row>
    <row r="161">
      <c r="A161" s="1"/>
      <c r="B161" s="1" t="str">
        <v>Réserve fictive 0010</v>
      </c>
      <c r="C161" s="1" t="str">
        <v>u</v>
      </c>
      <c r="D161" s="5"/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/>
      <c r="M161" s="5"/>
      <c r="N161" s="5"/>
      <c r="O161" s="5"/>
    </row>
    <row r="162">
      <c r="A162" s="1"/>
      <c r="B162" s="1" t="str">
        <v>Sous-total fictif 29</v>
      </c>
      <c r="C162" s="1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>
      <c r="A163" s="1"/>
      <c r="B163" s="6" t="str">
        <v>Section fictive 030</v>
      </c>
      <c r="C163" s="1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>
      <c r="A164" s="1"/>
      <c r="B164" s="1" t="str">
        <v>Ligne fictive 0083</v>
      </c>
      <c r="C164" s="1" t="str">
        <v>ml</v>
      </c>
      <c r="D164" s="5" t="n">
        <v>3</v>
      </c>
      <c r="E164" s="5" t="n">
        <f>G164*$L$2+J164*$M$2*$O$2</f>
        <v>28.977</v>
      </c>
      <c r="F164" s="5" t="n">
        <f>ROUND(D164*E164,2)</f>
        <v>86.93</v>
      </c>
      <c r="G164" s="5" t="n">
        <v>7.29</v>
      </c>
      <c r="H164" s="5" t="n">
        <f>D164*G164</f>
        <v>21.87</v>
      </c>
      <c r="I164" s="5" t="n">
        <v>0.375</v>
      </c>
      <c r="J164" s="5" t="n">
        <f>I164*(1+$N$2)</f>
        <v>0.375</v>
      </c>
      <c r="K164" s="5" t="n">
        <f>D164*J164</f>
        <v>1.125</v>
      </c>
      <c r="L164" s="5"/>
      <c r="M164" s="5"/>
      <c r="N164" s="5"/>
      <c r="O164" s="5"/>
    </row>
    <row r="165">
      <c r="A165" s="1"/>
      <c r="B165" s="1" t="str">
        <v>Ligne fictive 0084</v>
      </c>
      <c r="C165" s="1" t="str">
        <v>m2</v>
      </c>
      <c r="D165" s="5" t="n">
        <v>4</v>
      </c>
      <c r="E165" s="5" t="n">
        <f>G165*$L$2+J165*$M$2*$O$2</f>
        <v>35.958</v>
      </c>
      <c r="F165" s="5" t="n">
        <f>ROUND(D165*E165,2)</f>
        <v>143.83</v>
      </c>
      <c r="G165" s="5" t="n">
        <v>7.66</v>
      </c>
      <c r="H165" s="5" t="n">
        <f>D165*G165</f>
        <v>30.64</v>
      </c>
      <c r="I165" s="5" t="n">
        <v>0.5</v>
      </c>
      <c r="J165" s="5" t="n">
        <f>I165*(1+$N$2)</f>
        <v>0.5</v>
      </c>
      <c r="K165" s="5" t="n">
        <f>D165*J165</f>
        <v>2</v>
      </c>
      <c r="L165" s="5"/>
      <c r="M165" s="5"/>
      <c r="N165" s="5"/>
      <c r="O165" s="5"/>
    </row>
    <row r="166">
      <c r="A166" s="1"/>
      <c r="B166" s="1" t="str">
        <v>Ligne fictive 0085</v>
      </c>
      <c r="C166" s="1" t="str">
        <v>u</v>
      </c>
      <c r="D166" s="5" t="n">
        <v>5</v>
      </c>
      <c r="E166" s="5" t="n">
        <f>G166*$L$2+J166*$M$2*$O$2</f>
        <v>42.939</v>
      </c>
      <c r="F166" s="5" t="n">
        <f>ROUND(D166*E166,2)</f>
        <v>214.7</v>
      </c>
      <c r="G166" s="5" t="n">
        <v>8.03</v>
      </c>
      <c r="H166" s="5" t="n">
        <f>D166*G166</f>
        <v>40.15</v>
      </c>
      <c r="I166" s="5" t="n">
        <v>0.625</v>
      </c>
      <c r="J166" s="5" t="n">
        <f>I166*(1+$N$2)</f>
        <v>0.625</v>
      </c>
      <c r="K166" s="5" t="n">
        <f>D166*J166</f>
        <v>3.125</v>
      </c>
      <c r="L166" s="5"/>
      <c r="M166" s="5"/>
      <c r="N166" s="5"/>
      <c r="O166" s="5"/>
    </row>
    <row r="167">
      <c r="A167" s="1"/>
      <c r="B167" s="1" t="str">
        <v>Sous-total fictif 30</v>
      </c>
      <c r="C167" s="1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>
      <c r="A168" s="1"/>
      <c r="B168" s="6" t="str">
        <v>Section fictive 031</v>
      </c>
      <c r="C168" s="1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>
      <c r="A169" s="1"/>
      <c r="B169" s="1" t="str">
        <v>Ligne fictive 0086</v>
      </c>
      <c r="C169" s="1" t="str">
        <v>ml</v>
      </c>
      <c r="D169" s="5" t="n">
        <v>1</v>
      </c>
      <c r="E169" s="5" t="n">
        <f>G169*$L$2+J169*$M$2*$O$2</f>
        <v>9.243</v>
      </c>
      <c r="F169" s="5" t="n">
        <f>ROUND(D169*E169,2)</f>
        <v>9.24</v>
      </c>
      <c r="G169" s="5" t="n">
        <v>2.11</v>
      </c>
      <c r="H169" s="5" t="n">
        <f>D169*G169</f>
        <v>2.11</v>
      </c>
      <c r="I169" s="5" t="n">
        <v>0.125</v>
      </c>
      <c r="J169" s="5" t="n">
        <f>I169*(1+$N$2)</f>
        <v>0.125</v>
      </c>
      <c r="K169" s="5" t="n">
        <f>D169*J169</f>
        <v>0.125</v>
      </c>
      <c r="L169" s="5"/>
      <c r="M169" s="5"/>
      <c r="N169" s="5"/>
      <c r="O169" s="5"/>
    </row>
    <row r="170">
      <c r="A170" s="1"/>
      <c r="B170" s="1" t="str">
        <v>Ligne fictive 0087</v>
      </c>
      <c r="C170" s="1" t="str">
        <v>m2</v>
      </c>
      <c r="D170" s="5" t="n">
        <v>2</v>
      </c>
      <c r="E170" s="5" t="n">
        <f>G170*$L$2+J170*$M$2*$O$2</f>
        <v>16.224</v>
      </c>
      <c r="F170" s="5" t="n">
        <f>ROUND(D170*E170,2)</f>
        <v>32.45</v>
      </c>
      <c r="G170" s="5" t="n">
        <v>2.48</v>
      </c>
      <c r="H170" s="5" t="n">
        <f>D170*G170</f>
        <v>4.96</v>
      </c>
      <c r="I170" s="5" t="n">
        <v>0.25</v>
      </c>
      <c r="J170" s="5" t="n">
        <f>I170*(1+$N$2)</f>
        <v>0.25</v>
      </c>
      <c r="K170" s="5" t="n">
        <f>D170*J170</f>
        <v>0.5</v>
      </c>
      <c r="L170" s="5"/>
      <c r="M170" s="5"/>
      <c r="N170" s="5"/>
      <c r="O170" s="5"/>
    </row>
    <row r="171">
      <c r="A171" s="1"/>
      <c r="B171" s="1" t="str">
        <v>Ligne fictive 0088</v>
      </c>
      <c r="C171" s="1" t="str">
        <v>u</v>
      </c>
      <c r="D171" s="5" t="n">
        <v>3</v>
      </c>
      <c r="E171" s="5" t="n">
        <f>G171*$L$2+J171*$M$2*$O$2</f>
        <v>23.205</v>
      </c>
      <c r="F171" s="5" t="n">
        <f>ROUND(D171*E171,2)</f>
        <v>69.61</v>
      </c>
      <c r="G171" s="5" t="n">
        <v>2.85</v>
      </c>
      <c r="H171" s="5" t="n">
        <f>D171*G171</f>
        <v>8.55</v>
      </c>
      <c r="I171" s="5" t="n">
        <v>0.375</v>
      </c>
      <c r="J171" s="5" t="n">
        <f>I171*(1+$N$2)</f>
        <v>0.375</v>
      </c>
      <c r="K171" s="5" t="n">
        <f>D171*J171</f>
        <v>1.125</v>
      </c>
      <c r="L171" s="5"/>
      <c r="M171" s="5"/>
      <c r="N171" s="5"/>
      <c r="O171" s="5"/>
    </row>
    <row r="172">
      <c r="A172" s="1"/>
      <c r="B172" s="1" t="str">
        <v>Statut fictif 011</v>
      </c>
      <c r="C172" s="1" t="str">
        <v>HL</v>
      </c>
      <c r="D172" s="5"/>
      <c r="E172" s="5" t="n">
        <v>0</v>
      </c>
      <c r="F172" s="5" t="n">
        <v>0</v>
      </c>
      <c r="G172" s="5" t="n">
        <v>7.25</v>
      </c>
      <c r="H172" s="5" t="n">
        <v>0</v>
      </c>
      <c r="I172" s="5" t="n">
        <v>0.375</v>
      </c>
      <c r="J172" s="5" t="n">
        <v>0</v>
      </c>
      <c r="K172" s="5" t="n">
        <v>0</v>
      </c>
      <c r="L172" s="5"/>
      <c r="M172" s="5"/>
      <c r="N172" s="5"/>
      <c r="O172" s="5"/>
    </row>
    <row r="173">
      <c r="A173" s="1"/>
      <c r="B173" s="1" t="str">
        <v>Sous-total fictif 31</v>
      </c>
      <c r="C173" s="1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>
      <c r="A174" s="1"/>
      <c r="B174" s="6" t="str">
        <v>Section fictive 032</v>
      </c>
      <c r="C174" s="1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>
      <c r="A175" s="1"/>
      <c r="B175" s="1" t="str">
        <v>Ligne fictive 0089</v>
      </c>
      <c r="C175" s="1" t="str">
        <v>ml</v>
      </c>
      <c r="D175" s="5" t="n">
        <v>4</v>
      </c>
      <c r="E175" s="5" t="n">
        <f>G175*$L$2+J175*$M$2*$O$2</f>
        <v>30.186</v>
      </c>
      <c r="F175" s="5" t="n">
        <f>ROUND(D175*E175,2)</f>
        <v>120.74</v>
      </c>
      <c r="G175" s="5" t="n">
        <v>3.22</v>
      </c>
      <c r="H175" s="5" t="n">
        <f>D175*G175</f>
        <v>12.88</v>
      </c>
      <c r="I175" s="5" t="n">
        <v>0.5</v>
      </c>
      <c r="J175" s="5" t="n">
        <f>I175*(1+$N$2)</f>
        <v>0.5</v>
      </c>
      <c r="K175" s="5" t="n">
        <f>D175*J175</f>
        <v>2</v>
      </c>
      <c r="L175" s="5"/>
      <c r="M175" s="5"/>
      <c r="N175" s="5"/>
      <c r="O175" s="5"/>
    </row>
    <row r="176">
      <c r="A176" s="1"/>
      <c r="B176" s="1" t="str">
        <v>Ligne fictive 0090</v>
      </c>
      <c r="C176" s="1" t="str">
        <v>m2</v>
      </c>
      <c r="D176" s="5" t="n">
        <v>5</v>
      </c>
      <c r="E176" s="5" t="n">
        <f>G176*$L$2+J176*$M$2*$O$2</f>
        <v>37.167</v>
      </c>
      <c r="F176" s="5" t="n">
        <f>ROUND(D176*E176,2)</f>
        <v>185.84</v>
      </c>
      <c r="G176" s="5" t="n">
        <v>3.59</v>
      </c>
      <c r="H176" s="5" t="n">
        <f>D176*G176</f>
        <v>17.95</v>
      </c>
      <c r="I176" s="5" t="n">
        <v>0.625</v>
      </c>
      <c r="J176" s="5" t="n">
        <f>I176*(1+$N$2)</f>
        <v>0.625</v>
      </c>
      <c r="K176" s="5" t="n">
        <f>D176*J176</f>
        <v>3.125</v>
      </c>
      <c r="L176" s="5"/>
      <c r="M176" s="5"/>
      <c r="N176" s="5"/>
      <c r="O176" s="5"/>
    </row>
    <row r="177">
      <c r="A177" s="1"/>
      <c r="B177" s="1" t="str">
        <v>Réserve fictive 0011</v>
      </c>
      <c r="C177" s="1" t="str">
        <v>u</v>
      </c>
      <c r="D177" s="5"/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/>
      <c r="M177" s="5"/>
      <c r="N177" s="5"/>
      <c r="O177" s="5"/>
    </row>
    <row r="178">
      <c r="A178" s="1"/>
      <c r="B178" s="1" t="str">
        <v>Sous-total fictif 32</v>
      </c>
      <c r="C178" s="1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>
      <c r="A179" s="1"/>
      <c r="B179" s="6" t="str">
        <v>Section fictive 033</v>
      </c>
      <c r="C179" s="1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>
      <c r="A180" s="1"/>
      <c r="B180" s="1" t="str">
        <v>Ligne fictive 0091</v>
      </c>
      <c r="C180" s="1" t="str">
        <v>u</v>
      </c>
      <c r="D180" s="5" t="n">
        <v>1</v>
      </c>
      <c r="E180" s="5" t="n">
        <f>G180*$L$2+J180*$M$2*$O$2</f>
        <v>11.648</v>
      </c>
      <c r="F180" s="5" t="n">
        <f>ROUND(D180*E180,2)</f>
        <v>11.65</v>
      </c>
      <c r="G180" s="5" t="n">
        <v>3.96</v>
      </c>
      <c r="H180" s="5" t="n">
        <f>D180*G180</f>
        <v>3.96</v>
      </c>
      <c r="I180" s="5" t="n">
        <v>0.125</v>
      </c>
      <c r="J180" s="5" t="n">
        <f>I180*(1+$N$2)</f>
        <v>0.125</v>
      </c>
      <c r="K180" s="5" t="n">
        <f>D180*J180</f>
        <v>0.125</v>
      </c>
      <c r="L180" s="5"/>
      <c r="M180" s="5"/>
      <c r="N180" s="5"/>
      <c r="O180" s="5"/>
    </row>
    <row r="181">
      <c r="A181" s="1"/>
      <c r="B181" s="1" t="str">
        <v>Ligne fictive 0092</v>
      </c>
      <c r="C181" s="1" t="str">
        <v>ml</v>
      </c>
      <c r="D181" s="5" t="n">
        <v>2</v>
      </c>
      <c r="E181" s="5" t="n">
        <f>G181*$L$2+J181*$M$2*$O$2</f>
        <v>18.629</v>
      </c>
      <c r="F181" s="5" t="n">
        <f>ROUND(D181*E181,2)</f>
        <v>37.26</v>
      </c>
      <c r="G181" s="5" t="n">
        <v>4.33</v>
      </c>
      <c r="H181" s="5" t="n">
        <f>D181*G181</f>
        <v>8.66</v>
      </c>
      <c r="I181" s="5" t="n">
        <v>0.25</v>
      </c>
      <c r="J181" s="5" t="n">
        <f>I181*(1+$N$2)</f>
        <v>0.25</v>
      </c>
      <c r="K181" s="5" t="n">
        <f>D181*J181</f>
        <v>0.5</v>
      </c>
      <c r="L181" s="5"/>
      <c r="M181" s="5"/>
      <c r="N181" s="5"/>
      <c r="O181" s="5"/>
    </row>
    <row r="182">
      <c r="A182" s="1"/>
      <c r="B182" s="1" t="str">
        <v>Ligne fictive 0093</v>
      </c>
      <c r="C182" s="1" t="str">
        <v>m2</v>
      </c>
      <c r="D182" s="5" t="n">
        <v>3</v>
      </c>
      <c r="E182" s="5" t="n">
        <f>G182*$L$2+J182*$M$2*$O$2</f>
        <v>25.61</v>
      </c>
      <c r="F182" s="5" t="n">
        <f>ROUND(D182*E182,2)</f>
        <v>76.83</v>
      </c>
      <c r="G182" s="5" t="n">
        <v>4.7</v>
      </c>
      <c r="H182" s="5" t="n">
        <f>D182*G182</f>
        <v>14.100000000000001</v>
      </c>
      <c r="I182" s="5" t="n">
        <v>0.375</v>
      </c>
      <c r="J182" s="5" t="n">
        <f>I182*(1+$N$2)</f>
        <v>0.375</v>
      </c>
      <c r="K182" s="5" t="n">
        <f>D182*J182</f>
        <v>1.125</v>
      </c>
      <c r="L182" s="5"/>
      <c r="M182" s="5"/>
      <c r="N182" s="5"/>
      <c r="O182" s="5"/>
    </row>
    <row r="183">
      <c r="A183" s="1"/>
      <c r="B183" s="1" t="str">
        <v>Sous-total fictif 33</v>
      </c>
      <c r="C183" s="1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>
      <c r="A184" s="1"/>
      <c r="B184" s="6" t="str">
        <v>Section fictive 034</v>
      </c>
      <c r="C184" s="1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>
      <c r="A185" s="1"/>
      <c r="B185" s="1" t="str">
        <v>Ligne fictive 0094</v>
      </c>
      <c r="C185" s="1" t="str">
        <v>u</v>
      </c>
      <c r="D185" s="5" t="n">
        <v>4</v>
      </c>
      <c r="E185" s="5" t="n">
        <f>G185*$L$2+J185*$M$2*$O$2</f>
        <v>32.591</v>
      </c>
      <c r="F185" s="5" t="n">
        <f>ROUND(D185*E185,2)</f>
        <v>130.36</v>
      </c>
      <c r="G185" s="5" t="n">
        <v>5.07</v>
      </c>
      <c r="H185" s="5" t="n">
        <f>D185*G185</f>
        <v>20.28</v>
      </c>
      <c r="I185" s="5" t="n">
        <v>0.5</v>
      </c>
      <c r="J185" s="5" t="n">
        <f>I185*(1+$N$2)</f>
        <v>0.5</v>
      </c>
      <c r="K185" s="5" t="n">
        <f>D185*J185</f>
        <v>2</v>
      </c>
      <c r="L185" s="5"/>
      <c r="M185" s="5"/>
      <c r="N185" s="5"/>
      <c r="O185" s="5"/>
    </row>
    <row r="186">
      <c r="A186" s="1"/>
      <c r="B186" s="1" t="str">
        <v>Ligne fictive 0095</v>
      </c>
      <c r="C186" s="1" t="str">
        <v>ml</v>
      </c>
      <c r="D186" s="5" t="n">
        <v>5</v>
      </c>
      <c r="E186" s="5" t="n">
        <f>G186*$L$2+J186*$M$2*$O$2</f>
        <v>39.572</v>
      </c>
      <c r="F186" s="5" t="n">
        <f>ROUND(D186*E186,2)</f>
        <v>197.86</v>
      </c>
      <c r="G186" s="5" t="n">
        <v>5.44</v>
      </c>
      <c r="H186" s="5" t="n">
        <f>D186*G186</f>
        <v>27.200000000000003</v>
      </c>
      <c r="I186" s="5" t="n">
        <v>0.625</v>
      </c>
      <c r="J186" s="5" t="n">
        <f>I186*(1+$N$2)</f>
        <v>0.625</v>
      </c>
      <c r="K186" s="5" t="n">
        <f>D186*J186</f>
        <v>3.125</v>
      </c>
      <c r="L186" s="5"/>
      <c r="M186" s="5"/>
      <c r="N186" s="5"/>
      <c r="O186" s="5"/>
    </row>
    <row r="187">
      <c r="A187" s="1"/>
      <c r="B187" s="1" t="str">
        <v>Ligne fictive 0096</v>
      </c>
      <c r="C187" s="1" t="str">
        <v>m2</v>
      </c>
      <c r="D187" s="5" t="n">
        <v>1</v>
      </c>
      <c r="E187" s="5" t="n">
        <f>G187*$L$2+J187*$M$2*$O$2</f>
        <v>14.053</v>
      </c>
      <c r="F187" s="5" t="n">
        <f>ROUND(D187*E187,2)</f>
        <v>14.05</v>
      </c>
      <c r="G187" s="5" t="n">
        <v>5.81</v>
      </c>
      <c r="H187" s="5" t="n">
        <f>D187*G187</f>
        <v>5.81</v>
      </c>
      <c r="I187" s="5" t="n">
        <v>0.125</v>
      </c>
      <c r="J187" s="5" t="n">
        <f>I187*(1+$N$2)</f>
        <v>0.125</v>
      </c>
      <c r="K187" s="5" t="n">
        <f>D187*J187</f>
        <v>0.125</v>
      </c>
      <c r="L187" s="5"/>
      <c r="M187" s="5"/>
      <c r="N187" s="5"/>
      <c r="O187" s="5"/>
    </row>
    <row r="188">
      <c r="A188" s="1"/>
      <c r="B188" s="1" t="str">
        <v>Statut fictif 012</v>
      </c>
      <c r="C188" s="1" t="str">
        <v>HL</v>
      </c>
      <c r="D188" s="5"/>
      <c r="E188" s="5" t="n">
        <v>0</v>
      </c>
      <c r="F188" s="5" t="n">
        <v>0</v>
      </c>
      <c r="G188" s="5" t="n">
        <v>7.25</v>
      </c>
      <c r="H188" s="5" t="n">
        <v>0</v>
      </c>
      <c r="I188" s="5" t="n">
        <v>0.375</v>
      </c>
      <c r="J188" s="5" t="n">
        <v>0</v>
      </c>
      <c r="K188" s="5" t="n">
        <v>0</v>
      </c>
      <c r="L188" s="5"/>
      <c r="M188" s="5"/>
      <c r="N188" s="5"/>
      <c r="O188" s="5"/>
    </row>
    <row r="189">
      <c r="A189" s="1"/>
      <c r="B189" s="1" t="str">
        <v>Sous-total fictif 34</v>
      </c>
      <c r="C189" s="1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>
      <c r="A190" s="1"/>
      <c r="B190" s="6" t="str">
        <v>Section fictive 035</v>
      </c>
      <c r="C190" s="1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>
      <c r="A191" s="1"/>
      <c r="B191" s="1" t="str">
        <v>Ligne fictive 0097</v>
      </c>
      <c r="C191" s="1" t="str">
        <v>u</v>
      </c>
      <c r="D191" s="5" t="n">
        <v>2</v>
      </c>
      <c r="E191" s="5" t="n">
        <f>G191*$L$2+J191*$M$2*$O$2</f>
        <v>21.034</v>
      </c>
      <c r="F191" s="5" t="n">
        <f>ROUND(D191*E191,2)</f>
        <v>42.07</v>
      </c>
      <c r="G191" s="5" t="n">
        <v>6.18</v>
      </c>
      <c r="H191" s="5" t="n">
        <f>D191*G191</f>
        <v>12.36</v>
      </c>
      <c r="I191" s="5" t="n">
        <v>0.25</v>
      </c>
      <c r="J191" s="5" t="n">
        <f>I191*(1+$N$2)</f>
        <v>0.25</v>
      </c>
      <c r="K191" s="5" t="n">
        <f>D191*J191</f>
        <v>0.5</v>
      </c>
      <c r="L191" s="5"/>
      <c r="M191" s="5"/>
      <c r="N191" s="5"/>
      <c r="O191" s="5"/>
    </row>
    <row r="192">
      <c r="A192" s="1"/>
      <c r="B192" s="1" t="str">
        <v>Ligne fictive 0098</v>
      </c>
      <c r="C192" s="1" t="str">
        <v>ml</v>
      </c>
      <c r="D192" s="5" t="n">
        <v>3</v>
      </c>
      <c r="E192" s="5" t="n">
        <f>G192*$L$2+J192*$M$2*$O$2</f>
        <v>28.015</v>
      </c>
      <c r="F192" s="5" t="n">
        <f>ROUND(D192*E192,2)</f>
        <v>84.05</v>
      </c>
      <c r="G192" s="5" t="n">
        <v>6.55</v>
      </c>
      <c r="H192" s="5" t="n">
        <f>D192*G192</f>
        <v>19.65</v>
      </c>
      <c r="I192" s="5" t="n">
        <v>0.375</v>
      </c>
      <c r="J192" s="5" t="n">
        <f>I192*(1+$N$2)</f>
        <v>0.375</v>
      </c>
      <c r="K192" s="5" t="n">
        <f>D192*J192</f>
        <v>1.125</v>
      </c>
      <c r="L192" s="5"/>
      <c r="M192" s="5"/>
      <c r="N192" s="5"/>
      <c r="O192" s="5"/>
    </row>
    <row r="193">
      <c r="A193" s="1"/>
      <c r="B193" s="1" t="str">
        <v>Ligne fictive 0099</v>
      </c>
      <c r="C193" s="1" t="str">
        <v>m2</v>
      </c>
      <c r="D193" s="5" t="n">
        <v>4</v>
      </c>
      <c r="E193" s="5" t="n">
        <f>G193*$L$2+J193*$M$2*$O$2</f>
        <v>34.996</v>
      </c>
      <c r="F193" s="5" t="n">
        <f>ROUND(D193*E193,2)</f>
        <v>139.98</v>
      </c>
      <c r="G193" s="5" t="n">
        <v>6.92</v>
      </c>
      <c r="H193" s="5" t="n">
        <f>D193*G193</f>
        <v>27.68</v>
      </c>
      <c r="I193" s="5" t="n">
        <v>0.5</v>
      </c>
      <c r="J193" s="5" t="n">
        <f>I193*(1+$N$2)</f>
        <v>0.5</v>
      </c>
      <c r="K193" s="5" t="n">
        <f>D193*J193</f>
        <v>2</v>
      </c>
      <c r="L193" s="5"/>
      <c r="M193" s="5"/>
      <c r="N193" s="5"/>
      <c r="O193" s="5"/>
    </row>
    <row r="194">
      <c r="A194" s="1"/>
      <c r="B194" s="1" t="str">
        <v>Réserve fictive 0012</v>
      </c>
      <c r="C194" s="1" t="str">
        <v>u</v>
      </c>
      <c r="D194" s="5"/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/>
      <c r="M194" s="5"/>
      <c r="N194" s="5"/>
      <c r="O194" s="5"/>
    </row>
    <row r="195">
      <c r="A195" s="1"/>
      <c r="B195" s="1" t="str">
        <v>Sous-total fictif 35</v>
      </c>
      <c r="C195" s="1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>
      <c r="A196" s="1"/>
      <c r="B196" s="6" t="str">
        <v>Section fictive 036</v>
      </c>
      <c r="C196" s="1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>
      <c r="A197" s="1"/>
      <c r="B197" s="1" t="str">
        <v>Ligne fictive 0100</v>
      </c>
      <c r="C197" s="1" t="str">
        <v>u</v>
      </c>
      <c r="D197" s="5" t="n">
        <v>5</v>
      </c>
      <c r="E197" s="5" t="n">
        <f>G197*$L$2+J197*$M$2*$O$2</f>
        <v>41.977000000000004</v>
      </c>
      <c r="F197" s="5" t="n">
        <f>ROUND(D197*E197,2)</f>
        <v>209.89</v>
      </c>
      <c r="G197" s="5" t="n">
        <v>7.29</v>
      </c>
      <c r="H197" s="5" t="n">
        <f>D197*G197</f>
        <v>36.45</v>
      </c>
      <c r="I197" s="5" t="n">
        <v>0.625</v>
      </c>
      <c r="J197" s="5" t="n">
        <f>I197*(1+$N$2)</f>
        <v>0.625</v>
      </c>
      <c r="K197" s="5" t="n">
        <f>D197*J197</f>
        <v>3.125</v>
      </c>
      <c r="L197" s="5"/>
      <c r="M197" s="5"/>
      <c r="N197" s="5"/>
      <c r="O197" s="5"/>
    </row>
    <row r="198">
      <c r="A198" s="1"/>
      <c r="B198" s="1" t="str">
        <v>Ligne fictive 0101</v>
      </c>
      <c r="C198" s="1" t="str">
        <v>ml</v>
      </c>
      <c r="D198" s="5" t="n">
        <v>1</v>
      </c>
      <c r="E198" s="5" t="n">
        <f>G198*$L$2+J198*$M$2*$O$2</f>
        <v>16.458</v>
      </c>
      <c r="F198" s="5" t="n">
        <f>ROUND(D198*E198,2)</f>
        <v>16.46</v>
      </c>
      <c r="G198" s="5" t="n">
        <v>7.66</v>
      </c>
      <c r="H198" s="5" t="n">
        <f>D198*G198</f>
        <v>7.66</v>
      </c>
      <c r="I198" s="5" t="n">
        <v>0.125</v>
      </c>
      <c r="J198" s="5" t="n">
        <f>I198*(1+$N$2)</f>
        <v>0.125</v>
      </c>
      <c r="K198" s="5" t="n">
        <f>D198*J198</f>
        <v>0.125</v>
      </c>
      <c r="L198" s="5"/>
      <c r="M198" s="5"/>
      <c r="N198" s="5"/>
      <c r="O198" s="5"/>
    </row>
    <row r="199">
      <c r="A199" s="1"/>
      <c r="B199" s="1" t="str">
        <v>Ligne fictive 0102</v>
      </c>
      <c r="C199" s="1" t="str">
        <v>m2</v>
      </c>
      <c r="D199" s="5" t="n">
        <v>2</v>
      </c>
      <c r="E199" s="5" t="n">
        <f>G199*$L$2+J199*$M$2*$O$2</f>
        <v>23.439</v>
      </c>
      <c r="F199" s="5" t="n">
        <f>ROUND(D199*E199,2)</f>
        <v>46.88</v>
      </c>
      <c r="G199" s="5" t="n">
        <v>8.03</v>
      </c>
      <c r="H199" s="5" t="n">
        <f>D199*G199</f>
        <v>16.06</v>
      </c>
      <c r="I199" s="5" t="n">
        <v>0.25</v>
      </c>
      <c r="J199" s="5" t="n">
        <f>I199*(1+$N$2)</f>
        <v>0.25</v>
      </c>
      <c r="K199" s="5" t="n">
        <f>D199*J199</f>
        <v>0.5</v>
      </c>
      <c r="L199" s="5"/>
      <c r="M199" s="5"/>
      <c r="N199" s="5"/>
      <c r="O199" s="5"/>
    </row>
    <row r="200">
      <c r="A200" s="1"/>
      <c r="B200" s="1" t="str">
        <v>Sous-total fictif 36</v>
      </c>
      <c r="C200" s="1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>
      <c r="A201" s="1"/>
      <c r="B201" s="6" t="str">
        <v>Section fictive 037</v>
      </c>
      <c r="C201" s="1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>
      <c r="A202" s="1"/>
      <c r="B202" s="1" t="str">
        <v>Ligne fictive 0103</v>
      </c>
      <c r="C202" s="1" t="str">
        <v>u</v>
      </c>
      <c r="D202" s="5" t="n">
        <v>3</v>
      </c>
      <c r="E202" s="5" t="n">
        <f>G202*$L$2+J202*$M$2*$O$2</f>
        <v>22.243</v>
      </c>
      <c r="F202" s="5" t="n">
        <f>ROUND(D202*E202,2)</f>
        <v>66.73</v>
      </c>
      <c r="G202" s="5" t="n">
        <v>2.11</v>
      </c>
      <c r="H202" s="5" t="n">
        <f>D202*G202</f>
        <v>6.33</v>
      </c>
      <c r="I202" s="5" t="n">
        <v>0.375</v>
      </c>
      <c r="J202" s="5" t="n">
        <f>I202*(1+$N$2)</f>
        <v>0.375</v>
      </c>
      <c r="K202" s="5" t="n">
        <f>D202*J202</f>
        <v>1.125</v>
      </c>
      <c r="L202" s="5"/>
      <c r="M202" s="5"/>
      <c r="N202" s="5"/>
      <c r="O202" s="5"/>
    </row>
    <row r="203">
      <c r="A203" s="1"/>
      <c r="B203" s="1" t="str">
        <v>Ligne fictive 0104</v>
      </c>
      <c r="C203" s="1" t="str">
        <v>ml</v>
      </c>
      <c r="D203" s="5" t="n">
        <v>4</v>
      </c>
      <c r="E203" s="5" t="n">
        <f>G203*$L$2+J203*$M$2*$O$2</f>
        <v>29.224</v>
      </c>
      <c r="F203" s="5" t="n">
        <f>ROUND(D203*E203,2)</f>
        <v>116.9</v>
      </c>
      <c r="G203" s="5" t="n">
        <v>2.48</v>
      </c>
      <c r="H203" s="5" t="n">
        <f>D203*G203</f>
        <v>9.92</v>
      </c>
      <c r="I203" s="5" t="n">
        <v>0.5</v>
      </c>
      <c r="J203" s="5" t="n">
        <f>I203*(1+$N$2)</f>
        <v>0.5</v>
      </c>
      <c r="K203" s="5" t="n">
        <f>D203*J203</f>
        <v>2</v>
      </c>
      <c r="L203" s="5"/>
      <c r="M203" s="5"/>
      <c r="N203" s="5"/>
      <c r="O203" s="5"/>
    </row>
    <row r="204">
      <c r="A204" s="1"/>
      <c r="B204" s="1" t="str">
        <v>Ligne fictive 0105</v>
      </c>
      <c r="C204" s="1" t="str">
        <v>m2</v>
      </c>
      <c r="D204" s="5" t="n">
        <v>5</v>
      </c>
      <c r="E204" s="5" t="n">
        <f>G204*$L$2+J204*$M$2*$O$2</f>
        <v>36.205</v>
      </c>
      <c r="F204" s="5" t="n">
        <f>ROUND(D204*E204,2)</f>
        <v>181.02</v>
      </c>
      <c r="G204" s="5" t="n">
        <v>2.85</v>
      </c>
      <c r="H204" s="5" t="n">
        <f>D204*G204</f>
        <v>14.25</v>
      </c>
      <c r="I204" s="5" t="n">
        <v>0.625</v>
      </c>
      <c r="J204" s="5" t="n">
        <f>I204*(1+$N$2)</f>
        <v>0.625</v>
      </c>
      <c r="K204" s="5" t="n">
        <f>D204*J204</f>
        <v>3.125</v>
      </c>
      <c r="L204" s="5"/>
      <c r="M204" s="5"/>
      <c r="N204" s="5"/>
      <c r="O204" s="5"/>
    </row>
    <row r="205">
      <c r="A205" s="1"/>
      <c r="B205" s="1" t="str">
        <v>Statut fictif 013</v>
      </c>
      <c r="C205" s="1" t="str">
        <v>HL</v>
      </c>
      <c r="D205" s="5"/>
      <c r="E205" s="5" t="n">
        <v>0</v>
      </c>
      <c r="F205" s="5" t="n">
        <v>0</v>
      </c>
      <c r="G205" s="5" t="n">
        <v>7.25</v>
      </c>
      <c r="H205" s="5" t="n">
        <v>0</v>
      </c>
      <c r="I205" s="5" t="n">
        <v>0.375</v>
      </c>
      <c r="J205" s="5" t="n">
        <v>0</v>
      </c>
      <c r="K205" s="5" t="n">
        <v>0</v>
      </c>
      <c r="L205" s="5"/>
      <c r="M205" s="5"/>
      <c r="N205" s="5"/>
      <c r="O205" s="5"/>
    </row>
    <row r="206">
      <c r="A206" s="1"/>
      <c r="B206" s="1" t="str">
        <v>Sous-total fictif 37</v>
      </c>
      <c r="C206" s="1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>
      <c r="A207" s="1"/>
      <c r="B207" s="6" t="str">
        <v>Section fictive 038</v>
      </c>
      <c r="C207" s="1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>
      <c r="A208" s="1"/>
      <c r="B208" s="1" t="str">
        <v>Ligne fictive 0106</v>
      </c>
      <c r="C208" s="1" t="str">
        <v>u</v>
      </c>
      <c r="D208" s="5" t="n">
        <v>1</v>
      </c>
      <c r="E208" s="5" t="n">
        <f>G208*$L$2+J208*$M$2*$O$2</f>
        <v>10.686</v>
      </c>
      <c r="F208" s="5" t="n">
        <f>ROUND(D208*E208,2)</f>
        <v>10.69</v>
      </c>
      <c r="G208" s="5" t="n">
        <v>3.22</v>
      </c>
      <c r="H208" s="5" t="n">
        <f>D208*G208</f>
        <v>3.22</v>
      </c>
      <c r="I208" s="5" t="n">
        <v>0.125</v>
      </c>
      <c r="J208" s="5" t="n">
        <f>I208*(1+$N$2)</f>
        <v>0.125</v>
      </c>
      <c r="K208" s="5" t="n">
        <f>D208*J208</f>
        <v>0.125</v>
      </c>
      <c r="L208" s="5"/>
      <c r="M208" s="5"/>
      <c r="N208" s="5"/>
      <c r="O208" s="5"/>
    </row>
    <row r="209">
      <c r="A209" s="1"/>
      <c r="B209" s="1" t="str">
        <v>Ligne fictive 0107</v>
      </c>
      <c r="C209" s="1" t="str">
        <v>ml</v>
      </c>
      <c r="D209" s="5" t="n">
        <v>2</v>
      </c>
      <c r="E209" s="5" t="n">
        <f>G209*$L$2+J209*$M$2*$O$2</f>
        <v>17.667</v>
      </c>
      <c r="F209" s="5" t="n">
        <f>ROUND(D209*E209,2)</f>
        <v>35.33</v>
      </c>
      <c r="G209" s="5" t="n">
        <v>3.59</v>
      </c>
      <c r="H209" s="5" t="n">
        <f>D209*G209</f>
        <v>7.18</v>
      </c>
      <c r="I209" s="5" t="n">
        <v>0.25</v>
      </c>
      <c r="J209" s="5" t="n">
        <f>I209*(1+$N$2)</f>
        <v>0.25</v>
      </c>
      <c r="K209" s="5" t="n">
        <f>D209*J209</f>
        <v>0.5</v>
      </c>
      <c r="L209" s="5"/>
      <c r="M209" s="5"/>
      <c r="N209" s="5"/>
      <c r="O209" s="5"/>
    </row>
    <row r="210">
      <c r="A210" s="1"/>
      <c r="B210" s="1" t="str">
        <v>Réserve fictive 0013</v>
      </c>
      <c r="C210" s="1" t="str">
        <v>u</v>
      </c>
      <c r="D210" s="5"/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0</v>
      </c>
      <c r="L210" s="5"/>
      <c r="M210" s="5"/>
      <c r="N210" s="5"/>
      <c r="O210" s="5"/>
    </row>
    <row r="211">
      <c r="A211" s="1"/>
      <c r="B211" s="1" t="str">
        <v>Sous-total fictif 38</v>
      </c>
      <c r="C211" s="1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>
      <c r="A212" s="1"/>
      <c r="B212" s="6" t="str">
        <v>Section fictive 039</v>
      </c>
      <c r="C212" s="1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>
      <c r="A213" s="1"/>
      <c r="B213" s="1" t="str">
        <v>Ligne fictive 0108</v>
      </c>
      <c r="C213" s="1" t="str">
        <v>m2</v>
      </c>
      <c r="D213" s="5" t="n">
        <v>3</v>
      </c>
      <c r="E213" s="5" t="n">
        <f>G213*$L$2+J213*$M$2*$O$2</f>
        <v>24.648</v>
      </c>
      <c r="F213" s="5" t="n">
        <f>ROUND(D213*E213,2)</f>
        <v>73.94</v>
      </c>
      <c r="G213" s="5" t="n">
        <v>3.96</v>
      </c>
      <c r="H213" s="5" t="n">
        <f>D213*G213</f>
        <v>11.879999999999999</v>
      </c>
      <c r="I213" s="5" t="n">
        <v>0.375</v>
      </c>
      <c r="J213" s="5" t="n">
        <f>I213*(1+$N$2)</f>
        <v>0.375</v>
      </c>
      <c r="K213" s="5" t="n">
        <f>D213*J213</f>
        <v>1.125</v>
      </c>
      <c r="L213" s="5"/>
      <c r="M213" s="5"/>
      <c r="N213" s="5"/>
      <c r="O213" s="5"/>
    </row>
    <row r="214">
      <c r="A214" s="1"/>
      <c r="B214" s="1" t="str">
        <v>Ligne fictive 0109</v>
      </c>
      <c r="C214" s="1" t="str">
        <v>u</v>
      </c>
      <c r="D214" s="5" t="n">
        <v>4</v>
      </c>
      <c r="E214" s="5" t="n">
        <f>G214*$L$2+J214*$M$2*$O$2</f>
        <v>31.629</v>
      </c>
      <c r="F214" s="5" t="n">
        <f>ROUND(D214*E214,2)</f>
        <v>126.52</v>
      </c>
      <c r="G214" s="5" t="n">
        <v>4.33</v>
      </c>
      <c r="H214" s="5" t="n">
        <f>D214*G214</f>
        <v>17.32</v>
      </c>
      <c r="I214" s="5" t="n">
        <v>0.5</v>
      </c>
      <c r="J214" s="5" t="n">
        <f>I214*(1+$N$2)</f>
        <v>0.5</v>
      </c>
      <c r="K214" s="5" t="n">
        <f>D214*J214</f>
        <v>2</v>
      </c>
      <c r="L214" s="5"/>
      <c r="M214" s="5"/>
      <c r="N214" s="5"/>
      <c r="O214" s="5"/>
    </row>
    <row r="215">
      <c r="A215" s="1"/>
      <c r="B215" s="1" t="str">
        <v>Ligne fictive 0110</v>
      </c>
      <c r="C215" s="1" t="str">
        <v>ml</v>
      </c>
      <c r="D215" s="5" t="n">
        <v>5</v>
      </c>
      <c r="E215" s="5" t="n">
        <f>G215*$L$2+J215*$M$2*$O$2</f>
        <v>38.61</v>
      </c>
      <c r="F215" s="5" t="n">
        <f>ROUND(D215*E215,2)</f>
        <v>193.05</v>
      </c>
      <c r="G215" s="5" t="n">
        <v>4.7</v>
      </c>
      <c r="H215" s="5" t="n">
        <f>D215*G215</f>
        <v>23.5</v>
      </c>
      <c r="I215" s="5" t="n">
        <v>0.625</v>
      </c>
      <c r="J215" s="5" t="n">
        <f>I215*(1+$N$2)</f>
        <v>0.625</v>
      </c>
      <c r="K215" s="5" t="n">
        <f>D215*J215</f>
        <v>3.125</v>
      </c>
      <c r="L215" s="5"/>
      <c r="M215" s="5"/>
      <c r="N215" s="5"/>
      <c r="O215" s="5"/>
    </row>
    <row r="216">
      <c r="A216" s="1"/>
      <c r="B216" s="1" t="str">
        <v>Sous-total fictif 39</v>
      </c>
      <c r="C216" s="1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>
      <c r="A217" s="1"/>
      <c r="B217" s="6" t="str">
        <v>Section fictive 040</v>
      </c>
      <c r="C217" s="1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>
      <c r="A218" s="1"/>
      <c r="B218" s="1" t="str">
        <v>Ligne fictive 0111</v>
      </c>
      <c r="C218" s="1" t="str">
        <v>m2</v>
      </c>
      <c r="D218" s="5" t="n">
        <v>1</v>
      </c>
      <c r="E218" s="5" t="n">
        <f>G218*$L$2+J218*$M$2*$O$2</f>
        <v>13.091000000000001</v>
      </c>
      <c r="F218" s="5" t="n">
        <f>ROUND(D218*E218,2)</f>
        <v>13.09</v>
      </c>
      <c r="G218" s="5" t="n">
        <v>5.07</v>
      </c>
      <c r="H218" s="5" t="n">
        <f>D218*G218</f>
        <v>5.07</v>
      </c>
      <c r="I218" s="5" t="n">
        <v>0.125</v>
      </c>
      <c r="J218" s="5" t="n">
        <f>I218*(1+$N$2)</f>
        <v>0.125</v>
      </c>
      <c r="K218" s="5" t="n">
        <f>D218*J218</f>
        <v>0.125</v>
      </c>
      <c r="L218" s="5"/>
      <c r="M218" s="5"/>
      <c r="N218" s="5"/>
      <c r="O218" s="5"/>
    </row>
    <row r="219">
      <c r="A219" s="1"/>
      <c r="B219" s="1" t="str">
        <v>Ligne fictive 0112</v>
      </c>
      <c r="C219" s="1" t="str">
        <v>u</v>
      </c>
      <c r="D219" s="5" t="n">
        <v>2</v>
      </c>
      <c r="E219" s="5" t="n">
        <f>G219*$L$2+J219*$M$2*$O$2</f>
        <v>20.072000000000003</v>
      </c>
      <c r="F219" s="5" t="n">
        <f>ROUND(D219*E219,2)</f>
        <v>40.14</v>
      </c>
      <c r="G219" s="5" t="n">
        <v>5.44</v>
      </c>
      <c r="H219" s="5" t="n">
        <f>D219*G219</f>
        <v>10.88</v>
      </c>
      <c r="I219" s="5" t="n">
        <v>0.25</v>
      </c>
      <c r="J219" s="5" t="n">
        <f>I219*(1+$N$2)</f>
        <v>0.25</v>
      </c>
      <c r="K219" s="5" t="n">
        <f>D219*J219</f>
        <v>0.5</v>
      </c>
      <c r="L219" s="5"/>
      <c r="M219" s="5"/>
      <c r="N219" s="5"/>
      <c r="O219" s="5"/>
    </row>
    <row r="220">
      <c r="A220" s="1"/>
      <c r="B220" s="1" t="str">
        <v>Ligne fictive 0113</v>
      </c>
      <c r="C220" s="1" t="str">
        <v>ml</v>
      </c>
      <c r="D220" s="5" t="n">
        <v>3</v>
      </c>
      <c r="E220" s="5" t="n">
        <f>G220*$L$2+J220*$M$2*$O$2</f>
        <v>27.053</v>
      </c>
      <c r="F220" s="5" t="n">
        <f>ROUND(D220*E220,2)</f>
        <v>81.16</v>
      </c>
      <c r="G220" s="5" t="n">
        <v>5.81</v>
      </c>
      <c r="H220" s="5" t="n">
        <f>D220*G220</f>
        <v>17.43</v>
      </c>
      <c r="I220" s="5" t="n">
        <v>0.375</v>
      </c>
      <c r="J220" s="5" t="n">
        <f>I220*(1+$N$2)</f>
        <v>0.375</v>
      </c>
      <c r="K220" s="5" t="n">
        <f>D220*J220</f>
        <v>1.125</v>
      </c>
      <c r="L220" s="5"/>
      <c r="M220" s="5"/>
      <c r="N220" s="5"/>
      <c r="O220" s="5"/>
    </row>
    <row r="221">
      <c r="A221" s="1"/>
      <c r="B221" s="1" t="str">
        <v>Statut fictif 014</v>
      </c>
      <c r="C221" s="1" t="str">
        <v>HL</v>
      </c>
      <c r="D221" s="5"/>
      <c r="E221" s="5" t="n">
        <v>0</v>
      </c>
      <c r="F221" s="5" t="n">
        <v>0</v>
      </c>
      <c r="G221" s="5" t="n">
        <v>7.25</v>
      </c>
      <c r="H221" s="5" t="n">
        <v>0</v>
      </c>
      <c r="I221" s="5" t="n">
        <v>0.375</v>
      </c>
      <c r="J221" s="5" t="n">
        <v>0</v>
      </c>
      <c r="K221" s="5" t="n">
        <v>0</v>
      </c>
      <c r="L221" s="5"/>
      <c r="M221" s="5"/>
      <c r="N221" s="5"/>
      <c r="O221" s="5"/>
    </row>
    <row r="222">
      <c r="A222" s="1"/>
      <c r="B222" s="1" t="str">
        <v>Réserve fictive 0014</v>
      </c>
      <c r="C222" s="1" t="str">
        <v>u</v>
      </c>
      <c r="D222" s="5"/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/>
      <c r="M222" s="5"/>
      <c r="N222" s="5"/>
      <c r="O222" s="5"/>
    </row>
    <row r="223">
      <c r="A223" s="1"/>
      <c r="B223" s="1" t="str">
        <v>Sous-total fictif 40</v>
      </c>
      <c r="C223" s="1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>
      <c r="A224" s="1"/>
      <c r="B224" s="6" t="str">
        <v>Section fictive 041</v>
      </c>
      <c r="C224" s="1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>
      <c r="A225" s="1"/>
      <c r="B225" s="1" t="str">
        <v>Ligne fictive 0114</v>
      </c>
      <c r="C225" s="1" t="str">
        <v>m2</v>
      </c>
      <c r="D225" s="5" t="n">
        <v>4</v>
      </c>
      <c r="E225" s="5" t="n">
        <f>G225*$L$2+J225*$M$2*$O$2</f>
        <v>34.034</v>
      </c>
      <c r="F225" s="5" t="n">
        <f>ROUND(D225*E225,2)</f>
        <v>136.14</v>
      </c>
      <c r="G225" s="5" t="n">
        <v>6.18</v>
      </c>
      <c r="H225" s="5" t="n">
        <f>D225*G225</f>
        <v>24.72</v>
      </c>
      <c r="I225" s="5" t="n">
        <v>0.5</v>
      </c>
      <c r="J225" s="5" t="n">
        <f>I225*(1+$N$2)</f>
        <v>0.5</v>
      </c>
      <c r="K225" s="5" t="n">
        <f>D225*J225</f>
        <v>2</v>
      </c>
      <c r="L225" s="5"/>
      <c r="M225" s="5"/>
      <c r="N225" s="5"/>
      <c r="O225" s="5"/>
    </row>
    <row r="226">
      <c r="A226" s="1"/>
      <c r="B226" s="1" t="str">
        <v>Ligne fictive 0115</v>
      </c>
      <c r="C226" s="1" t="str">
        <v>u</v>
      </c>
      <c r="D226" s="5" t="n">
        <v>5</v>
      </c>
      <c r="E226" s="5" t="n">
        <f>G226*$L$2+J226*$M$2*$O$2</f>
        <v>41.015</v>
      </c>
      <c r="F226" s="5" t="n">
        <f>ROUND(D226*E226,2)</f>
        <v>205.08</v>
      </c>
      <c r="G226" s="5" t="n">
        <v>6.55</v>
      </c>
      <c r="H226" s="5" t="n">
        <f>D226*G226</f>
        <v>32.75</v>
      </c>
      <c r="I226" s="5" t="n">
        <v>0.625</v>
      </c>
      <c r="J226" s="5" t="n">
        <f>I226*(1+$N$2)</f>
        <v>0.625</v>
      </c>
      <c r="K226" s="5" t="n">
        <f>D226*J226</f>
        <v>3.125</v>
      </c>
      <c r="L226" s="5"/>
      <c r="M226" s="5"/>
      <c r="N226" s="5"/>
      <c r="O226" s="5"/>
    </row>
    <row r="227">
      <c r="A227" s="1"/>
      <c r="B227" s="1" t="str">
        <v>Ligne fictive 0116</v>
      </c>
      <c r="C227" s="1" t="str">
        <v>ml</v>
      </c>
      <c r="D227" s="5" t="n">
        <v>1</v>
      </c>
      <c r="E227" s="5" t="n">
        <f>G227*$L$2+J227*$M$2*$O$2</f>
        <v>15.496</v>
      </c>
      <c r="F227" s="5" t="n">
        <f>ROUND(D227*E227,2)</f>
        <v>15.5</v>
      </c>
      <c r="G227" s="5" t="n">
        <v>6.92</v>
      </c>
      <c r="H227" s="5" t="n">
        <f>D227*G227</f>
        <v>6.92</v>
      </c>
      <c r="I227" s="5" t="n">
        <v>0.125</v>
      </c>
      <c r="J227" s="5" t="n">
        <f>I227*(1+$N$2)</f>
        <v>0.125</v>
      </c>
      <c r="K227" s="5" t="n">
        <f>D227*J227</f>
        <v>0.125</v>
      </c>
      <c r="L227" s="5"/>
      <c r="M227" s="5"/>
      <c r="N227" s="5"/>
      <c r="O227" s="5"/>
    </row>
    <row r="228">
      <c r="A228" s="1"/>
      <c r="B228" s="1" t="str">
        <v>Sous-total fictif 41</v>
      </c>
      <c r="C228" s="1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>
      <c r="A229" s="1"/>
      <c r="B229" s="6" t="str">
        <v>Section fictive 042</v>
      </c>
      <c r="C229" s="1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>
      <c r="A230" s="1"/>
      <c r="B230" s="1" t="str">
        <v>Ligne fictive 0117</v>
      </c>
      <c r="C230" s="1" t="str">
        <v>m2</v>
      </c>
      <c r="D230" s="5" t="n">
        <v>2</v>
      </c>
      <c r="E230" s="5" t="n">
        <f>G230*$L$2+J230*$M$2*$O$2</f>
        <v>22.477</v>
      </c>
      <c r="F230" s="5" t="n">
        <f>ROUND(D230*E230,2)</f>
        <v>44.95</v>
      </c>
      <c r="G230" s="5" t="n">
        <v>7.29</v>
      </c>
      <c r="H230" s="5" t="n">
        <f>D230*G230</f>
        <v>14.58</v>
      </c>
      <c r="I230" s="5" t="n">
        <v>0.25</v>
      </c>
      <c r="J230" s="5" t="n">
        <f>I230*(1+$N$2)</f>
        <v>0.25</v>
      </c>
      <c r="K230" s="5" t="n">
        <f>D230*J230</f>
        <v>0.5</v>
      </c>
      <c r="L230" s="5"/>
      <c r="M230" s="5"/>
      <c r="N230" s="5"/>
      <c r="O230" s="5"/>
    </row>
    <row r="231">
      <c r="A231" s="1"/>
      <c r="B231" s="1" t="str">
        <v>Ligne fictive 0118</v>
      </c>
      <c r="C231" s="1" t="str">
        <v>u</v>
      </c>
      <c r="D231" s="5" t="n">
        <v>3</v>
      </c>
      <c r="E231" s="5" t="n">
        <f>G231*$L$2+J231*$M$2*$O$2</f>
        <v>29.458</v>
      </c>
      <c r="F231" s="5" t="n">
        <f>ROUND(D231*E231,2)</f>
        <v>88.37</v>
      </c>
      <c r="G231" s="5" t="n">
        <v>7.66</v>
      </c>
      <c r="H231" s="5" t="n">
        <f>D231*G231</f>
        <v>22.98</v>
      </c>
      <c r="I231" s="5" t="n">
        <v>0.375</v>
      </c>
      <c r="J231" s="5" t="n">
        <f>I231*(1+$N$2)</f>
        <v>0.375</v>
      </c>
      <c r="K231" s="5" t="n">
        <f>D231*J231</f>
        <v>1.125</v>
      </c>
      <c r="L231" s="5"/>
      <c r="M231" s="5"/>
      <c r="N231" s="5"/>
      <c r="O231" s="5"/>
    </row>
    <row r="232">
      <c r="A232" s="1"/>
      <c r="B232" s="1" t="str">
        <v>Ligne fictive 0119</v>
      </c>
      <c r="C232" s="1" t="str">
        <v>ml</v>
      </c>
      <c r="D232" s="5" t="n">
        <v>4</v>
      </c>
      <c r="E232" s="5" t="n">
        <f>G232*$L$2+J232*$M$2*$O$2</f>
        <v>36.439</v>
      </c>
      <c r="F232" s="5" t="n">
        <f>ROUND(D232*E232,2)</f>
        <v>145.76</v>
      </c>
      <c r="G232" s="5" t="n">
        <v>8.03</v>
      </c>
      <c r="H232" s="5" t="n">
        <f>D232*G232</f>
        <v>32.12</v>
      </c>
      <c r="I232" s="5" t="n">
        <v>0.5</v>
      </c>
      <c r="J232" s="5" t="n">
        <f>I232*(1+$N$2)</f>
        <v>0.5</v>
      </c>
      <c r="K232" s="5" t="n">
        <f>D232*J232</f>
        <v>2</v>
      </c>
      <c r="L232" s="5"/>
      <c r="M232" s="5"/>
      <c r="N232" s="5"/>
      <c r="O232" s="5"/>
    </row>
    <row r="233">
      <c r="A233" s="1"/>
      <c r="B233" s="1" t="str">
        <v>Sous-total fictif 42</v>
      </c>
      <c r="C233" s="1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>
      <c r="A234" s="1"/>
      <c r="B234" s="6" t="str">
        <v>Section fictive 043</v>
      </c>
      <c r="C234" s="1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>
      <c r="A235" s="1"/>
      <c r="B235" s="1" t="str">
        <v>Ligne fictive 0120</v>
      </c>
      <c r="C235" s="1" t="str">
        <v>m2</v>
      </c>
      <c r="D235" s="5" t="n">
        <v>5</v>
      </c>
      <c r="E235" s="5" t="n">
        <f>G235*$L$2+J235*$M$2*$O$2</f>
        <v>35.243</v>
      </c>
      <c r="F235" s="5" t="n">
        <f>ROUND(D235*E235,2)</f>
        <v>176.22</v>
      </c>
      <c r="G235" s="5" t="n">
        <v>2.11</v>
      </c>
      <c r="H235" s="5" t="n">
        <f>D235*G235</f>
        <v>10.549999999999999</v>
      </c>
      <c r="I235" s="5" t="n">
        <v>0.625</v>
      </c>
      <c r="J235" s="5" t="n">
        <f>I235*(1+$N$2)</f>
        <v>0.625</v>
      </c>
      <c r="K235" s="5" t="n">
        <f>D235*J235</f>
        <v>3.125</v>
      </c>
      <c r="L235" s="5"/>
      <c r="M235" s="5"/>
      <c r="N235" s="5"/>
      <c r="O235" s="5"/>
    </row>
    <row r="236">
      <c r="A236" s="1"/>
      <c r="B236" s="1" t="str">
        <v>Ligne fictive 0121</v>
      </c>
      <c r="C236" s="1" t="str">
        <v>u</v>
      </c>
      <c r="D236" s="5" t="n">
        <v>1</v>
      </c>
      <c r="E236" s="5" t="n">
        <f>G236*$L$2+J236*$M$2*$O$2</f>
        <v>9.724</v>
      </c>
      <c r="F236" s="5" t="n">
        <f>ROUND(D236*E236,2)</f>
        <v>9.72</v>
      </c>
      <c r="G236" s="5" t="n">
        <v>2.48</v>
      </c>
      <c r="H236" s="5" t="n">
        <f>D236*G236</f>
        <v>2.48</v>
      </c>
      <c r="I236" s="5" t="n">
        <v>0.125</v>
      </c>
      <c r="J236" s="5" t="n">
        <f>I236*(1+$N$2)</f>
        <v>0.125</v>
      </c>
      <c r="K236" s="5" t="n">
        <f>D236*J236</f>
        <v>0.125</v>
      </c>
      <c r="L236" s="5"/>
      <c r="M236" s="5"/>
      <c r="N236" s="5"/>
      <c r="O236" s="5"/>
    </row>
    <row r="237">
      <c r="A237" s="1"/>
      <c r="B237" s="1" t="str">
        <v>Ligne fictive 0122</v>
      </c>
      <c r="C237" s="1" t="str">
        <v>ml</v>
      </c>
      <c r="D237" s="5" t="n">
        <v>2</v>
      </c>
      <c r="E237" s="5" t="n">
        <f>G237*$L$2+J237*$M$2*$O$2</f>
        <v>16.705</v>
      </c>
      <c r="F237" s="5" t="n">
        <f>ROUND(D237*E237,2)</f>
        <v>33.41</v>
      </c>
      <c r="G237" s="5" t="n">
        <v>2.85</v>
      </c>
      <c r="H237" s="5" t="n">
        <f>D237*G237</f>
        <v>5.7</v>
      </c>
      <c r="I237" s="5" t="n">
        <v>0.25</v>
      </c>
      <c r="J237" s="5" t="n">
        <f>I237*(1+$N$2)</f>
        <v>0.25</v>
      </c>
      <c r="K237" s="5" t="n">
        <f>D237*J237</f>
        <v>0.5</v>
      </c>
      <c r="L237" s="5"/>
      <c r="M237" s="5"/>
      <c r="N237" s="5"/>
      <c r="O237" s="5"/>
    </row>
    <row r="238">
      <c r="A238" s="1"/>
      <c r="B238" s="1" t="str">
        <v>Statut fictif 015</v>
      </c>
      <c r="C238" s="1" t="str">
        <v>HL</v>
      </c>
      <c r="D238" s="5"/>
      <c r="E238" s="5" t="n">
        <v>0</v>
      </c>
      <c r="F238" s="5" t="n">
        <v>0</v>
      </c>
      <c r="G238" s="5" t="n">
        <v>7.25</v>
      </c>
      <c r="H238" s="5" t="n">
        <v>0</v>
      </c>
      <c r="I238" s="5" t="n">
        <v>0.375</v>
      </c>
      <c r="J238" s="5" t="n">
        <v>0</v>
      </c>
      <c r="K238" s="5" t="n">
        <v>0</v>
      </c>
      <c r="L238" s="5"/>
      <c r="M238" s="5"/>
      <c r="N238" s="5"/>
      <c r="O238" s="5"/>
    </row>
    <row r="239">
      <c r="A239" s="1"/>
      <c r="B239" s="1" t="str">
        <v>Réserve fictive 0015</v>
      </c>
      <c r="C239" s="1" t="str">
        <v>u</v>
      </c>
      <c r="D239" s="5"/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/>
      <c r="M239" s="5"/>
      <c r="N239" s="5"/>
      <c r="O239" s="5"/>
    </row>
    <row r="240">
      <c r="A240" s="1"/>
      <c r="B240" s="1" t="str">
        <v>Sous-total fictif 43</v>
      </c>
      <c r="C240" s="1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>
      <c r="A241" s="1"/>
      <c r="B241" s="6" t="str">
        <v>Section fictive 044</v>
      </c>
      <c r="C241" s="1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>
      <c r="A242" s="1"/>
      <c r="B242" s="1" t="str">
        <v>Ligne fictive 0123</v>
      </c>
      <c r="C242" s="1" t="str">
        <v>m2</v>
      </c>
      <c r="D242" s="5" t="n">
        <v>3</v>
      </c>
      <c r="E242" s="5" t="n">
        <f>G242*$L$2+J242*$M$2*$O$2</f>
        <v>23.686</v>
      </c>
      <c r="F242" s="5" t="n">
        <f>ROUND(D242*E242,2)</f>
        <v>71.06</v>
      </c>
      <c r="G242" s="5" t="n">
        <v>3.22</v>
      </c>
      <c r="H242" s="5" t="n">
        <f>D242*G242</f>
        <v>9.66</v>
      </c>
      <c r="I242" s="5" t="n">
        <v>0.375</v>
      </c>
      <c r="J242" s="5" t="n">
        <f>I242*(1+$N$2)</f>
        <v>0.375</v>
      </c>
      <c r="K242" s="5" t="n">
        <f>D242*J242</f>
        <v>1.125</v>
      </c>
      <c r="L242" s="5"/>
      <c r="M242" s="5"/>
      <c r="N242" s="5"/>
      <c r="O242" s="5"/>
    </row>
    <row r="243">
      <c r="A243" s="1"/>
      <c r="B243" s="1" t="str">
        <v>Ligne fictive 0124</v>
      </c>
      <c r="C243" s="1" t="str">
        <v>u</v>
      </c>
      <c r="D243" s="5" t="n">
        <v>4</v>
      </c>
      <c r="E243" s="5" t="n">
        <f>G243*$L$2+J243*$M$2*$O$2</f>
        <v>30.667</v>
      </c>
      <c r="F243" s="5" t="n">
        <f>ROUND(D243*E243,2)</f>
        <v>122.67</v>
      </c>
      <c r="G243" s="5" t="n">
        <v>3.59</v>
      </c>
      <c r="H243" s="5" t="n">
        <f>D243*G243</f>
        <v>14.36</v>
      </c>
      <c r="I243" s="5" t="n">
        <v>0.5</v>
      </c>
      <c r="J243" s="5" t="n">
        <f>I243*(1+$N$2)</f>
        <v>0.5</v>
      </c>
      <c r="K243" s="5" t="n">
        <f>D243*J243</f>
        <v>2</v>
      </c>
      <c r="L243" s="5"/>
      <c r="M243" s="5"/>
      <c r="N243" s="5"/>
      <c r="O243" s="5"/>
    </row>
    <row r="244">
      <c r="A244" s="1"/>
      <c r="B244" s="1" t="str">
        <v>Sous-total fictif 44</v>
      </c>
      <c r="C244" s="1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>
      <c r="A245" s="1"/>
      <c r="B245" s="6" t="str">
        <v>Section fictive 045</v>
      </c>
      <c r="C245" s="1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>
      <c r="A246" s="1"/>
      <c r="B246" s="1" t="str">
        <v>Ligne fictive 0125</v>
      </c>
      <c r="C246" s="1" t="str">
        <v>ml</v>
      </c>
      <c r="D246" s="5" t="n">
        <v>5</v>
      </c>
      <c r="E246" s="5" t="n">
        <f>G246*$L$2+J246*$M$2*$O$2</f>
        <v>37.647999999999996</v>
      </c>
      <c r="F246" s="5" t="n">
        <f>ROUND(D246*E246,2)</f>
        <v>188.24</v>
      </c>
      <c r="G246" s="5" t="n">
        <v>3.96</v>
      </c>
      <c r="H246" s="5" t="n">
        <f>D246*G246</f>
        <v>19.8</v>
      </c>
      <c r="I246" s="5" t="n">
        <v>0.625</v>
      </c>
      <c r="J246" s="5" t="n">
        <f>I246*(1+$N$2)</f>
        <v>0.625</v>
      </c>
      <c r="K246" s="5" t="n">
        <f>D246*J246</f>
        <v>3.125</v>
      </c>
      <c r="L246" s="5"/>
      <c r="M246" s="5"/>
      <c r="N246" s="5"/>
      <c r="O246" s="5"/>
    </row>
    <row r="247">
      <c r="A247" s="1"/>
      <c r="B247" s="1" t="str">
        <v>Ligne fictive 0126</v>
      </c>
      <c r="C247" s="1" t="str">
        <v>m2</v>
      </c>
      <c r="D247" s="5" t="n">
        <v>1</v>
      </c>
      <c r="E247" s="5" t="n">
        <f>G247*$L$2+J247*$M$2*$O$2</f>
        <v>12.129000000000001</v>
      </c>
      <c r="F247" s="5" t="n">
        <f>ROUND(D247*E247,2)</f>
        <v>12.13</v>
      </c>
      <c r="G247" s="5" t="n">
        <v>4.33</v>
      </c>
      <c r="H247" s="5" t="n">
        <f>D247*G247</f>
        <v>4.33</v>
      </c>
      <c r="I247" s="5" t="n">
        <v>0.125</v>
      </c>
      <c r="J247" s="5" t="n">
        <f>I247*(1+$N$2)</f>
        <v>0.125</v>
      </c>
      <c r="K247" s="5" t="n">
        <f>D247*J247</f>
        <v>0.125</v>
      </c>
      <c r="L247" s="5"/>
      <c r="M247" s="5"/>
      <c r="N247" s="5"/>
      <c r="O247" s="5"/>
    </row>
    <row r="248">
      <c r="A248" s="1"/>
      <c r="B248" s="1" t="str">
        <v>Ligne fictive 0127</v>
      </c>
      <c r="C248" s="1" t="str">
        <v>u</v>
      </c>
      <c r="D248" s="5" t="n">
        <v>2</v>
      </c>
      <c r="E248" s="5" t="n">
        <f>G248*$L$2+J248*$M$2*$O$2</f>
        <v>19.11</v>
      </c>
      <c r="F248" s="5" t="n">
        <f>ROUND(D248*E248,2)</f>
        <v>38.22</v>
      </c>
      <c r="G248" s="5" t="n">
        <v>4.7</v>
      </c>
      <c r="H248" s="5" t="n">
        <f>D248*G248</f>
        <v>9.4</v>
      </c>
      <c r="I248" s="5" t="n">
        <v>0.25</v>
      </c>
      <c r="J248" s="5" t="n">
        <f>I248*(1+$N$2)</f>
        <v>0.25</v>
      </c>
      <c r="K248" s="5" t="n">
        <f>D248*J248</f>
        <v>0.5</v>
      </c>
      <c r="L248" s="5"/>
      <c r="M248" s="5"/>
      <c r="N248" s="5"/>
      <c r="O248" s="5"/>
    </row>
    <row r="249">
      <c r="A249" s="1"/>
      <c r="B249" s="1" t="str">
        <v>Sous-total fictif 45</v>
      </c>
      <c r="C249" s="1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>
      <c r="A250" s="1"/>
      <c r="B250" s="6" t="str">
        <v>Section fictive 046</v>
      </c>
      <c r="C250" s="1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>
      <c r="A251" s="1"/>
      <c r="B251" s="1" t="str">
        <v>Ligne fictive 0128</v>
      </c>
      <c r="C251" s="1" t="str">
        <v>ml</v>
      </c>
      <c r="D251" s="5" t="n">
        <v>3</v>
      </c>
      <c r="E251" s="5" t="n">
        <f>G251*$L$2+J251*$M$2*$O$2</f>
        <v>26.091</v>
      </c>
      <c r="F251" s="5" t="n">
        <f>ROUND(D251*E251,2)</f>
        <v>78.27</v>
      </c>
      <c r="G251" s="5" t="n">
        <v>5.07</v>
      </c>
      <c r="H251" s="5" t="n">
        <f>D251*G251</f>
        <v>15.21</v>
      </c>
      <c r="I251" s="5" t="n">
        <v>0.375</v>
      </c>
      <c r="J251" s="5" t="n">
        <f>I251*(1+$N$2)</f>
        <v>0.375</v>
      </c>
      <c r="K251" s="5" t="n">
        <f>D251*J251</f>
        <v>1.125</v>
      </c>
      <c r="L251" s="5"/>
      <c r="M251" s="5"/>
      <c r="N251" s="5"/>
      <c r="O251" s="5"/>
    </row>
    <row r="252">
      <c r="A252" s="1"/>
      <c r="B252" s="1" t="str">
        <v>Ligne fictive 0129</v>
      </c>
      <c r="C252" s="1" t="str">
        <v>m2</v>
      </c>
      <c r="D252" s="5" t="n">
        <v>4</v>
      </c>
      <c r="E252" s="5" t="n">
        <f>G252*$L$2+J252*$M$2*$O$2</f>
        <v>33.072</v>
      </c>
      <c r="F252" s="5" t="n">
        <f>ROUND(D252*E252,2)</f>
        <v>132.29</v>
      </c>
      <c r="G252" s="5" t="n">
        <v>5.44</v>
      </c>
      <c r="H252" s="5" t="n">
        <f>D252*G252</f>
        <v>21.76</v>
      </c>
      <c r="I252" s="5" t="n">
        <v>0.5</v>
      </c>
      <c r="J252" s="5" t="n">
        <f>I252*(1+$N$2)</f>
        <v>0.5</v>
      </c>
      <c r="K252" s="5" t="n">
        <f>D252*J252</f>
        <v>2</v>
      </c>
      <c r="L252" s="5"/>
      <c r="M252" s="5"/>
      <c r="N252" s="5"/>
      <c r="O252" s="5"/>
    </row>
    <row r="253">
      <c r="A253" s="1"/>
      <c r="B253" s="1" t="str">
        <v>Ligne fictive 0130</v>
      </c>
      <c r="C253" s="1" t="str">
        <v>u</v>
      </c>
      <c r="D253" s="5" t="n">
        <v>5</v>
      </c>
      <c r="E253" s="5" t="n">
        <f>G253*$L$2+J253*$M$2*$O$2</f>
        <v>40.053</v>
      </c>
      <c r="F253" s="5" t="n">
        <f>ROUND(D253*E253,2)</f>
        <v>200.27</v>
      </c>
      <c r="G253" s="5" t="n">
        <v>5.81</v>
      </c>
      <c r="H253" s="5" t="n">
        <f>D253*G253</f>
        <v>29.049999999999997</v>
      </c>
      <c r="I253" s="5" t="n">
        <v>0.625</v>
      </c>
      <c r="J253" s="5" t="n">
        <f>I253*(1+$N$2)</f>
        <v>0.625</v>
      </c>
      <c r="K253" s="5" t="n">
        <f>D253*J253</f>
        <v>3.125</v>
      </c>
      <c r="L253" s="5"/>
      <c r="M253" s="5"/>
      <c r="N253" s="5"/>
      <c r="O253" s="5"/>
    </row>
    <row r="254">
      <c r="A254" s="1"/>
      <c r="B254" s="1" t="str">
        <v>Statut fictif 016</v>
      </c>
      <c r="C254" s="1" t="str">
        <v>HL</v>
      </c>
      <c r="D254" s="5"/>
      <c r="E254" s="5" t="n">
        <v>0</v>
      </c>
      <c r="F254" s="5" t="n">
        <v>0</v>
      </c>
      <c r="G254" s="5" t="n">
        <v>7.25</v>
      </c>
      <c r="H254" s="5" t="n">
        <v>0</v>
      </c>
      <c r="I254" s="5" t="n">
        <v>0.375</v>
      </c>
      <c r="J254" s="5" t="n">
        <v>0</v>
      </c>
      <c r="K254" s="5" t="n">
        <v>0</v>
      </c>
      <c r="L254" s="5"/>
      <c r="M254" s="5"/>
      <c r="N254" s="5"/>
      <c r="O254" s="5"/>
    </row>
    <row r="255">
      <c r="A255" s="1"/>
      <c r="B255" s="1" t="str">
        <v>Réserve fictive 0016</v>
      </c>
      <c r="C255" s="1" t="str">
        <v>u</v>
      </c>
      <c r="D255" s="5"/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/>
      <c r="M255" s="5"/>
      <c r="N255" s="5"/>
      <c r="O255" s="5"/>
    </row>
    <row r="256">
      <c r="A256" s="1"/>
      <c r="B256" s="1" t="str">
        <v>Sous-total fictif 46</v>
      </c>
      <c r="C256" s="1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>
      <c r="A257" s="1"/>
      <c r="B257" s="6" t="str">
        <v>Section fictive 047</v>
      </c>
      <c r="C257" s="1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>
      <c r="A258" s="1"/>
      <c r="B258" s="1" t="str">
        <v>Ligne fictive 0131</v>
      </c>
      <c r="C258" s="1" t="str">
        <v>ml</v>
      </c>
      <c r="D258" s="5" t="n">
        <v>1</v>
      </c>
      <c r="E258" s="5" t="n">
        <f>G258*$L$2+J258*$M$2*$O$2</f>
        <v>14.534</v>
      </c>
      <c r="F258" s="5" t="n">
        <f>ROUND(D258*E258,2)</f>
        <v>14.53</v>
      </c>
      <c r="G258" s="5" t="n">
        <v>6.18</v>
      </c>
      <c r="H258" s="5" t="n">
        <f>D258*G258</f>
        <v>6.18</v>
      </c>
      <c r="I258" s="5" t="n">
        <v>0.125</v>
      </c>
      <c r="J258" s="5" t="n">
        <f>I258*(1+$N$2)</f>
        <v>0.125</v>
      </c>
      <c r="K258" s="5" t="n">
        <f>D258*J258</f>
        <v>0.125</v>
      </c>
      <c r="L258" s="5"/>
      <c r="M258" s="5"/>
      <c r="N258" s="5"/>
      <c r="O258" s="5"/>
    </row>
    <row r="259">
      <c r="A259" s="1"/>
      <c r="B259" s="1" t="str">
        <v>Ligne fictive 0132</v>
      </c>
      <c r="C259" s="1" t="str">
        <v>m2</v>
      </c>
      <c r="D259" s="5" t="n">
        <v>2</v>
      </c>
      <c r="E259" s="5" t="n">
        <f>G259*$L$2+J259*$M$2*$O$2</f>
        <v>21.515</v>
      </c>
      <c r="F259" s="5" t="n">
        <f>ROUND(D259*E259,2)</f>
        <v>43.03</v>
      </c>
      <c r="G259" s="5" t="n">
        <v>6.55</v>
      </c>
      <c r="H259" s="5" t="n">
        <f>D259*G259</f>
        <v>13.1</v>
      </c>
      <c r="I259" s="5" t="n">
        <v>0.25</v>
      </c>
      <c r="J259" s="5" t="n">
        <f>I259*(1+$N$2)</f>
        <v>0.25</v>
      </c>
      <c r="K259" s="5" t="n">
        <f>D259*J259</f>
        <v>0.5</v>
      </c>
      <c r="L259" s="5"/>
      <c r="M259" s="5"/>
      <c r="N259" s="5"/>
      <c r="O259" s="5"/>
    </row>
    <row r="260">
      <c r="A260" s="1"/>
      <c r="B260" s="1" t="str">
        <v>Ligne fictive 0133</v>
      </c>
      <c r="C260" s="1" t="str">
        <v>u</v>
      </c>
      <c r="D260" s="5" t="n">
        <v>3</v>
      </c>
      <c r="E260" s="5" t="n">
        <f>G260*$L$2+J260*$M$2*$O$2</f>
        <v>28.496000000000002</v>
      </c>
      <c r="F260" s="5" t="n">
        <f>ROUND(D260*E260,2)</f>
        <v>85.49</v>
      </c>
      <c r="G260" s="5" t="n">
        <v>6.92</v>
      </c>
      <c r="H260" s="5" t="n">
        <f>D260*G260</f>
        <v>20.759999999999998</v>
      </c>
      <c r="I260" s="5" t="n">
        <v>0.375</v>
      </c>
      <c r="J260" s="5" t="n">
        <f>I260*(1+$N$2)</f>
        <v>0.375</v>
      </c>
      <c r="K260" s="5" t="n">
        <f>D260*J260</f>
        <v>1.125</v>
      </c>
      <c r="L260" s="5"/>
      <c r="M260" s="5"/>
      <c r="N260" s="5"/>
      <c r="O260" s="5"/>
    </row>
    <row r="261">
      <c r="A261" s="1"/>
      <c r="B261" s="1" t="str">
        <v>Sous-total fictif 47</v>
      </c>
      <c r="C261" s="1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>
      <c r="A262" s="1"/>
      <c r="B262" s="6" t="str">
        <v>Section fictive 048</v>
      </c>
      <c r="C262" s="1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>
      <c r="A263" s="1"/>
      <c r="B263" s="1" t="str">
        <v>Ligne fictive 0134</v>
      </c>
      <c r="C263" s="1" t="str">
        <v>ml</v>
      </c>
      <c r="D263" s="5" t="n">
        <v>4</v>
      </c>
      <c r="E263" s="5" t="n">
        <f>G263*$L$2+J263*$M$2*$O$2</f>
        <v>35.477000000000004</v>
      </c>
      <c r="F263" s="5" t="n">
        <f>ROUND(D263*E263,2)</f>
        <v>141.91</v>
      </c>
      <c r="G263" s="5" t="n">
        <v>7.29</v>
      </c>
      <c r="H263" s="5" t="n">
        <f>D263*G263</f>
        <v>29.16</v>
      </c>
      <c r="I263" s="5" t="n">
        <v>0.5</v>
      </c>
      <c r="J263" s="5" t="n">
        <f>I263*(1+$N$2)</f>
        <v>0.5</v>
      </c>
      <c r="K263" s="5" t="n">
        <f>D263*J263</f>
        <v>2</v>
      </c>
      <c r="L263" s="5"/>
      <c r="M263" s="5"/>
      <c r="N263" s="5"/>
      <c r="O263" s="5"/>
    </row>
    <row r="264">
      <c r="A264" s="1"/>
      <c r="B264" s="1" t="str">
        <v>Ligne fictive 0135</v>
      </c>
      <c r="C264" s="1" t="str">
        <v>m2</v>
      </c>
      <c r="D264" s="5" t="n">
        <v>5</v>
      </c>
      <c r="E264" s="5" t="n">
        <f>G264*$L$2+J264*$M$2*$O$2</f>
        <v>42.458</v>
      </c>
      <c r="F264" s="5" t="n">
        <f>ROUND(D264*E264,2)</f>
        <v>212.29</v>
      </c>
      <c r="G264" s="5" t="n">
        <v>7.66</v>
      </c>
      <c r="H264" s="5" t="n">
        <f>D264*G264</f>
        <v>38.3</v>
      </c>
      <c r="I264" s="5" t="n">
        <v>0.625</v>
      </c>
      <c r="J264" s="5" t="n">
        <f>I264*(1+$N$2)</f>
        <v>0.625</v>
      </c>
      <c r="K264" s="5" t="n">
        <f>D264*J264</f>
        <v>3.125</v>
      </c>
      <c r="L264" s="5"/>
      <c r="M264" s="5"/>
      <c r="N264" s="5"/>
      <c r="O264" s="5"/>
    </row>
    <row r="265">
      <c r="A265" s="1"/>
      <c r="B265" s="1" t="str">
        <v>Ligne fictive 0136</v>
      </c>
      <c r="C265" s="1" t="str">
        <v>u</v>
      </c>
      <c r="D265" s="5" t="n">
        <v>1</v>
      </c>
      <c r="E265" s="5" t="n">
        <f>G265*$L$2+J265*$M$2*$O$2</f>
        <v>16.939</v>
      </c>
      <c r="F265" s="5" t="n">
        <f>ROUND(D265*E265,2)</f>
        <v>16.94</v>
      </c>
      <c r="G265" s="5" t="n">
        <v>8.03</v>
      </c>
      <c r="H265" s="5" t="n">
        <f>D265*G265</f>
        <v>8.03</v>
      </c>
      <c r="I265" s="5" t="n">
        <v>0.125</v>
      </c>
      <c r="J265" s="5" t="n">
        <f>I265*(1+$N$2)</f>
        <v>0.125</v>
      </c>
      <c r="K265" s="5" t="n">
        <f>D265*J265</f>
        <v>0.125</v>
      </c>
      <c r="L265" s="5"/>
      <c r="M265" s="5"/>
      <c r="N265" s="5"/>
      <c r="O265" s="5"/>
    </row>
    <row r="266">
      <c r="A266" s="1"/>
      <c r="B266" s="1" t="str">
        <v>Statut fictif 017</v>
      </c>
      <c r="C266" s="1" t="str">
        <v>HL</v>
      </c>
      <c r="D266" s="5"/>
      <c r="E266" s="5" t="n">
        <v>0</v>
      </c>
      <c r="F266" s="5" t="n">
        <v>0</v>
      </c>
      <c r="G266" s="5" t="n">
        <v>7.25</v>
      </c>
      <c r="H266" s="5" t="n">
        <v>0</v>
      </c>
      <c r="I266" s="5" t="n">
        <v>0.375</v>
      </c>
      <c r="J266" s="5" t="n">
        <v>0</v>
      </c>
      <c r="K266" s="5" t="n">
        <v>0</v>
      </c>
      <c r="L266" s="5"/>
      <c r="M266" s="5"/>
      <c r="N266" s="5"/>
      <c r="O266" s="5"/>
    </row>
    <row r="267">
      <c r="A267" s="1"/>
      <c r="B267" s="1" t="str">
        <v>Sous-total fictif 48</v>
      </c>
      <c r="C267" s="1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>
      <c r="A268" s="1"/>
      <c r="B268" s="6" t="str">
        <v>Section fictive 049</v>
      </c>
      <c r="C268" s="1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>
      <c r="A269" s="1"/>
      <c r="B269" s="1" t="str">
        <v>Ligne fictive 0137</v>
      </c>
      <c r="C269" s="1" t="str">
        <v>ml</v>
      </c>
      <c r="D269" s="5" t="n">
        <v>2</v>
      </c>
      <c r="E269" s="5" t="n">
        <f>G269*$L$2+J269*$M$2*$O$2</f>
        <v>15.743</v>
      </c>
      <c r="F269" s="5" t="n">
        <f>ROUND(D269*E269,2)</f>
        <v>31.49</v>
      </c>
      <c r="G269" s="5" t="n">
        <v>2.11</v>
      </c>
      <c r="H269" s="5" t="n">
        <f>D269*G269</f>
        <v>4.22</v>
      </c>
      <c r="I269" s="5" t="n">
        <v>0.25</v>
      </c>
      <c r="J269" s="5" t="n">
        <f>I269*(1+$N$2)</f>
        <v>0.25</v>
      </c>
      <c r="K269" s="5" t="n">
        <f>D269*J269</f>
        <v>0.5</v>
      </c>
      <c r="L269" s="5"/>
      <c r="M269" s="5"/>
      <c r="N269" s="5"/>
      <c r="O269" s="5"/>
    </row>
    <row r="270">
      <c r="A270" s="1"/>
      <c r="B270" s="1" t="str">
        <v>Ligne fictive 0138</v>
      </c>
      <c r="C270" s="1" t="str">
        <v>m2</v>
      </c>
      <c r="D270" s="5" t="n">
        <v>3</v>
      </c>
      <c r="E270" s="5" t="n">
        <f>G270*$L$2+J270*$M$2*$O$2</f>
        <v>22.724</v>
      </c>
      <c r="F270" s="5" t="n">
        <f>ROUND(D270*E270,2)</f>
        <v>68.17</v>
      </c>
      <c r="G270" s="5" t="n">
        <v>2.48</v>
      </c>
      <c r="H270" s="5" t="n">
        <f>D270*G270</f>
        <v>7.4399999999999995</v>
      </c>
      <c r="I270" s="5" t="n">
        <v>0.375</v>
      </c>
      <c r="J270" s="5" t="n">
        <f>I270*(1+$N$2)</f>
        <v>0.375</v>
      </c>
      <c r="K270" s="5" t="n">
        <f>D270*J270</f>
        <v>1.125</v>
      </c>
      <c r="L270" s="5"/>
      <c r="M270" s="5"/>
      <c r="N270" s="5"/>
      <c r="O270" s="5"/>
    </row>
    <row r="271">
      <c r="A271" s="1"/>
      <c r="B271" s="1" t="str">
        <v>Ligne fictive 0139</v>
      </c>
      <c r="C271" s="1" t="str">
        <v>u</v>
      </c>
      <c r="D271" s="5" t="n">
        <v>4</v>
      </c>
      <c r="E271" s="5" t="n">
        <f>G271*$L$2+J271*$M$2*$O$2</f>
        <v>29.705</v>
      </c>
      <c r="F271" s="5" t="n">
        <f>ROUND(D271*E271,2)</f>
        <v>118.82</v>
      </c>
      <c r="G271" s="5" t="n">
        <v>2.85</v>
      </c>
      <c r="H271" s="5" t="n">
        <f>D271*G271</f>
        <v>11.4</v>
      </c>
      <c r="I271" s="5" t="n">
        <v>0.5</v>
      </c>
      <c r="J271" s="5" t="n">
        <f>I271*(1+$N$2)</f>
        <v>0.5</v>
      </c>
      <c r="K271" s="5" t="n">
        <f>D271*J271</f>
        <v>2</v>
      </c>
      <c r="L271" s="5"/>
      <c r="M271" s="5"/>
      <c r="N271" s="5"/>
      <c r="O271" s="5"/>
    </row>
    <row r="272">
      <c r="A272" s="1"/>
      <c r="B272" s="1" t="str">
        <v>Réserve fictive 0017</v>
      </c>
      <c r="C272" s="1" t="str">
        <v>u</v>
      </c>
      <c r="D272" s="5"/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/>
      <c r="M272" s="5"/>
      <c r="N272" s="5"/>
      <c r="O272" s="5"/>
    </row>
    <row r="273">
      <c r="A273" s="1"/>
      <c r="B273" s="1" t="str">
        <v>Sous-total fictif 49</v>
      </c>
      <c r="C273" s="1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>
      <c r="A274" s="1"/>
      <c r="B274" s="6" t="str">
        <v>Section fictive 050</v>
      </c>
      <c r="C274" s="1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>
      <c r="A275" s="1"/>
      <c r="B275" s="1" t="str">
        <v>Ligne fictive 0140</v>
      </c>
      <c r="C275" s="1" t="str">
        <v>ml</v>
      </c>
      <c r="D275" s="5" t="n">
        <v>5</v>
      </c>
      <c r="E275" s="5" t="n">
        <f>G275*$L$2+J275*$M$2*$O$2</f>
        <v>36.686</v>
      </c>
      <c r="F275" s="5" t="n">
        <f>ROUND(D275*E275,2)</f>
        <v>183.43</v>
      </c>
      <c r="G275" s="5" t="n">
        <v>3.22</v>
      </c>
      <c r="H275" s="5" t="n">
        <f>D275*G275</f>
        <v>16.1</v>
      </c>
      <c r="I275" s="5" t="n">
        <v>0.625</v>
      </c>
      <c r="J275" s="5" t="n">
        <f>I275*(1+$N$2)</f>
        <v>0.625</v>
      </c>
      <c r="K275" s="5" t="n">
        <f>D275*J275</f>
        <v>3.125</v>
      </c>
      <c r="L275" s="5"/>
      <c r="M275" s="5"/>
      <c r="N275" s="5"/>
      <c r="O275" s="5"/>
    </row>
    <row r="276">
      <c r="A276" s="1"/>
      <c r="B276" s="1" t="str">
        <v>Ligne fictive 0141</v>
      </c>
      <c r="C276" s="1" t="str">
        <v>m2</v>
      </c>
      <c r="D276" s="5" t="n">
        <v>1</v>
      </c>
      <c r="E276" s="5" t="n">
        <f>G276*$L$2+J276*$M$2*$O$2</f>
        <v>11.167</v>
      </c>
      <c r="F276" s="5" t="n">
        <f>ROUND(D276*E276,2)</f>
        <v>11.17</v>
      </c>
      <c r="G276" s="5" t="n">
        <v>3.59</v>
      </c>
      <c r="H276" s="5" t="n">
        <f>D276*G276</f>
        <v>3.59</v>
      </c>
      <c r="I276" s="5" t="n">
        <v>0.125</v>
      </c>
      <c r="J276" s="5" t="n">
        <f>I276*(1+$N$2)</f>
        <v>0.125</v>
      </c>
      <c r="K276" s="5" t="n">
        <f>D276*J276</f>
        <v>0.125</v>
      </c>
      <c r="L276" s="5"/>
      <c r="M276" s="5"/>
      <c r="N276" s="5"/>
      <c r="O276" s="5"/>
    </row>
    <row r="277">
      <c r="A277" s="1"/>
      <c r="B277" s="1" t="str">
        <v>Sous-total fictif 50</v>
      </c>
      <c r="C277" s="1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>
      <c r="A278" s="1"/>
      <c r="B278" s="6" t="str">
        <v>Section fictive 051</v>
      </c>
      <c r="C278" s="1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>
      <c r="A279" s="1"/>
      <c r="B279" s="1" t="str">
        <v>Ligne fictive 0142</v>
      </c>
      <c r="C279" s="1" t="str">
        <v>u</v>
      </c>
      <c r="D279" s="5" t="n">
        <v>2</v>
      </c>
      <c r="E279" s="5" t="n">
        <f>G279*$L$2+J279*$M$2*$O$2</f>
        <v>18.148</v>
      </c>
      <c r="F279" s="5" t="n">
        <f>ROUND(D279*E279,2)</f>
        <v>36.3</v>
      </c>
      <c r="G279" s="5" t="n">
        <v>3.96</v>
      </c>
      <c r="H279" s="5" t="n">
        <f>D279*G279</f>
        <v>7.92</v>
      </c>
      <c r="I279" s="5" t="n">
        <v>0.25</v>
      </c>
      <c r="J279" s="5" t="n">
        <f>I279*(1+$N$2)</f>
        <v>0.25</v>
      </c>
      <c r="K279" s="5" t="n">
        <f>D279*J279</f>
        <v>0.5</v>
      </c>
      <c r="L279" s="5"/>
      <c r="M279" s="5"/>
      <c r="N279" s="5"/>
      <c r="O279" s="5"/>
    </row>
    <row r="280">
      <c r="A280" s="1"/>
      <c r="B280" s="1" t="str">
        <v>Ligne fictive 0143</v>
      </c>
      <c r="C280" s="1" t="str">
        <v>ml</v>
      </c>
      <c r="D280" s="5" t="n">
        <v>3</v>
      </c>
      <c r="E280" s="5" t="n">
        <f>G280*$L$2+J280*$M$2*$O$2</f>
        <v>25.129</v>
      </c>
      <c r="F280" s="5" t="n">
        <f>ROUND(D280*E280,2)</f>
        <v>75.39</v>
      </c>
      <c r="G280" s="5" t="n">
        <v>4.33</v>
      </c>
      <c r="H280" s="5" t="n">
        <f>D280*G280</f>
        <v>12.99</v>
      </c>
      <c r="I280" s="5" t="n">
        <v>0.375</v>
      </c>
      <c r="J280" s="5" t="n">
        <f>I280*(1+$N$2)</f>
        <v>0.375</v>
      </c>
      <c r="K280" s="5" t="n">
        <f>D280*J280</f>
        <v>1.125</v>
      </c>
      <c r="L280" s="5"/>
      <c r="M280" s="5"/>
      <c r="N280" s="5"/>
      <c r="O280" s="5"/>
    </row>
    <row r="281">
      <c r="A281" s="1"/>
      <c r="B281" s="1" t="str">
        <v>Ligne fictive 0144</v>
      </c>
      <c r="C281" s="1" t="str">
        <v>m2</v>
      </c>
      <c r="D281" s="5" t="n">
        <v>4</v>
      </c>
      <c r="E281" s="5" t="n">
        <f>G281*$L$2+J281*$M$2*$O$2</f>
        <v>32.11</v>
      </c>
      <c r="F281" s="5" t="n">
        <f>ROUND(D281*E281,2)</f>
        <v>128.44</v>
      </c>
      <c r="G281" s="5" t="n">
        <v>4.7</v>
      </c>
      <c r="H281" s="5" t="n">
        <f>D281*G281</f>
        <v>18.8</v>
      </c>
      <c r="I281" s="5" t="n">
        <v>0.5</v>
      </c>
      <c r="J281" s="5" t="n">
        <f>I281*(1+$N$2)</f>
        <v>0.5</v>
      </c>
      <c r="K281" s="5" t="n">
        <f>D281*J281</f>
        <v>2</v>
      </c>
      <c r="L281" s="5"/>
      <c r="M281" s="5"/>
      <c r="N281" s="5"/>
      <c r="O281" s="5"/>
    </row>
    <row r="282">
      <c r="A282" s="1"/>
      <c r="B282" s="1" t="str">
        <v>Statut fictif 018</v>
      </c>
      <c r="C282" s="1" t="str">
        <v>HL</v>
      </c>
      <c r="D282" s="5"/>
      <c r="E282" s="5" t="n">
        <v>0</v>
      </c>
      <c r="F282" s="5" t="n">
        <v>0</v>
      </c>
      <c r="G282" s="5" t="n">
        <v>7.25</v>
      </c>
      <c r="H282" s="5" t="n">
        <v>0</v>
      </c>
      <c r="I282" s="5" t="n">
        <v>0.375</v>
      </c>
      <c r="J282" s="5" t="n">
        <v>0</v>
      </c>
      <c r="K282" s="5" t="n">
        <v>0</v>
      </c>
      <c r="L282" s="5"/>
      <c r="M282" s="5"/>
      <c r="N282" s="5"/>
      <c r="O282" s="5"/>
    </row>
    <row r="283">
      <c r="A283" s="1"/>
      <c r="B283" s="1" t="str">
        <v>Sous-total fictif 51</v>
      </c>
      <c r="C283" s="1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>
      <c r="A284" s="1"/>
      <c r="B284" s="6" t="str">
        <v>Section fictive 052</v>
      </c>
      <c r="C284" s="1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>
      <c r="A285" s="1"/>
      <c r="B285" s="1" t="str">
        <v>Ligne fictive 0145</v>
      </c>
      <c r="C285" s="1" t="str">
        <v>u</v>
      </c>
      <c r="D285" s="5" t="n">
        <v>5</v>
      </c>
      <c r="E285" s="5" t="n">
        <f>G285*$L$2+J285*$M$2*$O$2</f>
        <v>39.091</v>
      </c>
      <c r="F285" s="5" t="n">
        <f>ROUND(D285*E285,2)</f>
        <v>195.46</v>
      </c>
      <c r="G285" s="5" t="n">
        <v>5.07</v>
      </c>
      <c r="H285" s="5" t="n">
        <f>D285*G285</f>
        <v>25.35</v>
      </c>
      <c r="I285" s="5" t="n">
        <v>0.625</v>
      </c>
      <c r="J285" s="5" t="n">
        <f>I285*(1+$N$2)</f>
        <v>0.625</v>
      </c>
      <c r="K285" s="5" t="n">
        <f>D285*J285</f>
        <v>3.125</v>
      </c>
      <c r="L285" s="5"/>
      <c r="M285" s="5"/>
      <c r="N285" s="5"/>
      <c r="O285" s="5"/>
    </row>
    <row r="286">
      <c r="A286" s="1"/>
      <c r="B286" s="1" t="str">
        <v>Ligne fictive 0146</v>
      </c>
      <c r="C286" s="1" t="str">
        <v>ml</v>
      </c>
      <c r="D286" s="5" t="n">
        <v>1</v>
      </c>
      <c r="E286" s="5" t="n">
        <f>G286*$L$2+J286*$M$2*$O$2</f>
        <v>13.572000000000001</v>
      </c>
      <c r="F286" s="5" t="n">
        <f>ROUND(D286*E286,2)</f>
        <v>13.57</v>
      </c>
      <c r="G286" s="5" t="n">
        <v>5.44</v>
      </c>
      <c r="H286" s="5" t="n">
        <f>D286*G286</f>
        <v>5.44</v>
      </c>
      <c r="I286" s="5" t="n">
        <v>0.125</v>
      </c>
      <c r="J286" s="5" t="n">
        <f>I286*(1+$N$2)</f>
        <v>0.125</v>
      </c>
      <c r="K286" s="5" t="n">
        <f>D286*J286</f>
        <v>0.125</v>
      </c>
      <c r="L286" s="5"/>
      <c r="M286" s="5"/>
      <c r="N286" s="5"/>
      <c r="O286" s="5"/>
    </row>
    <row r="287">
      <c r="A287" s="1"/>
      <c r="B287" s="1" t="str">
        <v>Ligne fictive 0147</v>
      </c>
      <c r="C287" s="1" t="str">
        <v>m2</v>
      </c>
      <c r="D287" s="5" t="n">
        <v>2</v>
      </c>
      <c r="E287" s="5" t="n">
        <f>G287*$L$2+J287*$M$2*$O$2</f>
        <v>20.553</v>
      </c>
      <c r="F287" s="5" t="n">
        <f>ROUND(D287*E287,2)</f>
        <v>41.11</v>
      </c>
      <c r="G287" s="5" t="n">
        <v>5.81</v>
      </c>
      <c r="H287" s="5" t="n">
        <f>D287*G287</f>
        <v>11.62</v>
      </c>
      <c r="I287" s="5" t="n">
        <v>0.25</v>
      </c>
      <c r="J287" s="5" t="n">
        <f>I287*(1+$N$2)</f>
        <v>0.25</v>
      </c>
      <c r="K287" s="5" t="n">
        <f>D287*J287</f>
        <v>0.5</v>
      </c>
      <c r="L287" s="5"/>
      <c r="M287" s="5"/>
      <c r="N287" s="5"/>
      <c r="O287" s="5"/>
    </row>
    <row r="288">
      <c r="A288" s="1"/>
      <c r="B288" s="1" t="str">
        <v>Réserve fictive 0018</v>
      </c>
      <c r="C288" s="1" t="str">
        <v>u</v>
      </c>
      <c r="D288" s="5"/>
      <c r="E288" s="5" t="n">
        <v>0</v>
      </c>
      <c r="F288" s="5" t="n">
        <v>0</v>
      </c>
      <c r="G288" s="5" t="n">
        <v>0</v>
      </c>
      <c r="H288" s="5" t="n">
        <v>0</v>
      </c>
      <c r="I288" s="5" t="n">
        <v>0</v>
      </c>
      <c r="J288" s="5" t="n">
        <v>0</v>
      </c>
      <c r="K288" s="5" t="n">
        <v>0</v>
      </c>
      <c r="L288" s="5"/>
      <c r="M288" s="5"/>
      <c r="N288" s="5"/>
      <c r="O288" s="5"/>
    </row>
    <row r="289">
      <c r="A289" s="1"/>
      <c r="B289" s="1" t="str">
        <v>Sous-total fictif 52</v>
      </c>
      <c r="C289" s="1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>
      <c r="A290" s="1"/>
      <c r="B290" s="6" t="str">
        <v>Section fictive 053</v>
      </c>
      <c r="C290" s="1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>
      <c r="A291" s="1"/>
      <c r="B291" s="1" t="str">
        <v>Ligne fictive 0148</v>
      </c>
      <c r="C291" s="1" t="str">
        <v>u</v>
      </c>
      <c r="D291" s="5" t="n">
        <v>3</v>
      </c>
      <c r="E291" s="5" t="n">
        <f>G291*$L$2+J291*$M$2*$O$2</f>
        <v>27.534</v>
      </c>
      <c r="F291" s="5" t="n">
        <f>ROUND(D291*E291,2)</f>
        <v>82.6</v>
      </c>
      <c r="G291" s="5" t="n">
        <v>6.18</v>
      </c>
      <c r="H291" s="5" t="n">
        <f>D291*G291</f>
        <v>18.54</v>
      </c>
      <c r="I291" s="5" t="n">
        <v>0.375</v>
      </c>
      <c r="J291" s="5" t="n">
        <f>I291*(1+$N$2)</f>
        <v>0.375</v>
      </c>
      <c r="K291" s="5" t="n">
        <f>D291*J291</f>
        <v>1.125</v>
      </c>
      <c r="L291" s="5"/>
      <c r="M291" s="5"/>
      <c r="N291" s="5"/>
      <c r="O291" s="5"/>
    </row>
    <row r="292">
      <c r="A292" s="1"/>
      <c r="B292" s="1" t="str">
        <v>Ligne fictive 0149</v>
      </c>
      <c r="C292" s="1" t="str">
        <v>ml</v>
      </c>
      <c r="D292" s="5" t="n">
        <v>4</v>
      </c>
      <c r="E292" s="5" t="n">
        <f>G292*$L$2+J292*$M$2*$O$2</f>
        <v>34.515</v>
      </c>
      <c r="F292" s="5" t="n">
        <f>ROUND(D292*E292,2)</f>
        <v>138.06</v>
      </c>
      <c r="G292" s="5" t="n">
        <v>6.55</v>
      </c>
      <c r="H292" s="5" t="n">
        <f>D292*G292</f>
        <v>26.2</v>
      </c>
      <c r="I292" s="5" t="n">
        <v>0.5</v>
      </c>
      <c r="J292" s="5" t="n">
        <f>I292*(1+$N$2)</f>
        <v>0.5</v>
      </c>
      <c r="K292" s="5" t="n">
        <f>D292*J292</f>
        <v>2</v>
      </c>
      <c r="L292" s="5"/>
      <c r="M292" s="5"/>
      <c r="N292" s="5"/>
      <c r="O292" s="5"/>
    </row>
    <row r="293">
      <c r="A293" s="1"/>
      <c r="B293" s="1" t="str">
        <v>Ligne fictive 0150</v>
      </c>
      <c r="C293" s="1" t="str">
        <v>m2</v>
      </c>
      <c r="D293" s="5" t="n">
        <v>5</v>
      </c>
      <c r="E293" s="5" t="n">
        <f>G293*$L$2+J293*$M$2*$O$2</f>
        <v>41.496</v>
      </c>
      <c r="F293" s="5" t="n">
        <f>ROUND(D293*E293,2)</f>
        <v>207.48</v>
      </c>
      <c r="G293" s="5" t="n">
        <v>6.92</v>
      </c>
      <c r="H293" s="5" t="n">
        <f>D293*G293</f>
        <v>34.6</v>
      </c>
      <c r="I293" s="5" t="n">
        <v>0.625</v>
      </c>
      <c r="J293" s="5" t="n">
        <f>I293*(1+$N$2)</f>
        <v>0.625</v>
      </c>
      <c r="K293" s="5" t="n">
        <f>D293*J293</f>
        <v>3.125</v>
      </c>
      <c r="L293" s="5"/>
      <c r="M293" s="5"/>
      <c r="N293" s="5"/>
      <c r="O293" s="5"/>
    </row>
    <row r="294">
      <c r="A294" s="1"/>
      <c r="B294" s="1" t="str">
        <v>Sous-total fictif 53</v>
      </c>
      <c r="C294" s="1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>
      <c r="A295" s="1"/>
      <c r="B295" s="6" t="str">
        <v>Section fictive 054</v>
      </c>
      <c r="C295" s="1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>
      <c r="A296" s="1"/>
      <c r="B296" s="1" t="str">
        <v>Ligne fictive 0151</v>
      </c>
      <c r="C296" s="1" t="str">
        <v>u</v>
      </c>
      <c r="D296" s="5" t="n">
        <v>1</v>
      </c>
      <c r="E296" s="5" t="n">
        <f>G296*$L$2+J296*$M$2*$O$2</f>
        <v>15.977</v>
      </c>
      <c r="F296" s="5" t="n">
        <f>ROUND(D296*E296,2)</f>
        <v>15.98</v>
      </c>
      <c r="G296" s="5" t="n">
        <v>7.29</v>
      </c>
      <c r="H296" s="5" t="n">
        <f>D296*G296</f>
        <v>7.29</v>
      </c>
      <c r="I296" s="5" t="n">
        <v>0.125</v>
      </c>
      <c r="J296" s="5" t="n">
        <f>I296*(1+$N$2)</f>
        <v>0.125</v>
      </c>
      <c r="K296" s="5" t="n">
        <f>D296*J296</f>
        <v>0.125</v>
      </c>
      <c r="L296" s="5"/>
      <c r="M296" s="5"/>
      <c r="N296" s="5"/>
      <c r="O296" s="5"/>
    </row>
    <row r="297">
      <c r="A297" s="1"/>
      <c r="B297" s="1" t="str">
        <v>Ligne fictive 0152</v>
      </c>
      <c r="C297" s="1" t="str">
        <v>ml</v>
      </c>
      <c r="D297" s="5" t="n">
        <v>2</v>
      </c>
      <c r="E297" s="5" t="n">
        <f>G297*$L$2+J297*$M$2*$O$2</f>
        <v>22.958</v>
      </c>
      <c r="F297" s="5" t="n">
        <f>ROUND(D297*E297,2)</f>
        <v>45.92</v>
      </c>
      <c r="G297" s="5" t="n">
        <v>7.66</v>
      </c>
      <c r="H297" s="5" t="n">
        <f>D297*G297</f>
        <v>15.32</v>
      </c>
      <c r="I297" s="5" t="n">
        <v>0.25</v>
      </c>
      <c r="J297" s="5" t="n">
        <f>I297*(1+$N$2)</f>
        <v>0.25</v>
      </c>
      <c r="K297" s="5" t="n">
        <f>D297*J297</f>
        <v>0.5</v>
      </c>
      <c r="L297" s="5"/>
      <c r="M297" s="5"/>
      <c r="N297" s="5"/>
      <c r="O297" s="5"/>
    </row>
    <row r="298">
      <c r="A298" s="1"/>
      <c r="B298" s="1" t="str">
        <v>Ligne fictive 0153</v>
      </c>
      <c r="C298" s="1" t="str">
        <v>m2</v>
      </c>
      <c r="D298" s="5" t="n">
        <v>3</v>
      </c>
      <c r="E298" s="5" t="n">
        <f>G298*$L$2+J298*$M$2*$O$2</f>
        <v>29.939</v>
      </c>
      <c r="F298" s="5" t="n">
        <f>ROUND(D298*E298,2)</f>
        <v>89.82</v>
      </c>
      <c r="G298" s="5" t="n">
        <v>8.03</v>
      </c>
      <c r="H298" s="5" t="n">
        <f>D298*G298</f>
        <v>24.089999999999996</v>
      </c>
      <c r="I298" s="5" t="n">
        <v>0.375</v>
      </c>
      <c r="J298" s="5" t="n">
        <f>I298*(1+$N$2)</f>
        <v>0.375</v>
      </c>
      <c r="K298" s="5" t="n">
        <f>D298*J298</f>
        <v>1.125</v>
      </c>
      <c r="L298" s="5"/>
      <c r="M298" s="5"/>
      <c r="N298" s="5"/>
      <c r="O298" s="5"/>
    </row>
    <row r="299">
      <c r="A299" s="1"/>
      <c r="B299" s="1" t="str">
        <v>Statut fictif 019</v>
      </c>
      <c r="C299" s="1" t="str">
        <v>HL</v>
      </c>
      <c r="D299" s="5"/>
      <c r="E299" s="5" t="n">
        <v>0</v>
      </c>
      <c r="F299" s="5" t="n">
        <v>0</v>
      </c>
      <c r="G299" s="5" t="n">
        <v>7.25</v>
      </c>
      <c r="H299" s="5" t="n">
        <v>0</v>
      </c>
      <c r="I299" s="5" t="n">
        <v>0.375</v>
      </c>
      <c r="J299" s="5" t="n">
        <v>0</v>
      </c>
      <c r="K299" s="5" t="n">
        <v>0</v>
      </c>
      <c r="L299" s="5"/>
      <c r="M299" s="5"/>
      <c r="N299" s="5"/>
      <c r="O299" s="5"/>
    </row>
    <row r="300">
      <c r="A300" s="1"/>
      <c r="B300" s="1" t="str">
        <v>Sous-total fictif 54</v>
      </c>
      <c r="C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>
      <c r="A301" s="1"/>
      <c r="B301" s="6" t="str">
        <v>Section fictive 055</v>
      </c>
      <c r="C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>
      <c r="A302" s="1"/>
      <c r="B302" s="1" t="str">
        <v>Ligne fictive 0154</v>
      </c>
      <c r="C302" s="1" t="str">
        <v>u</v>
      </c>
      <c r="D302" s="5" t="n">
        <v>4</v>
      </c>
      <c r="E302" s="5" t="n">
        <f>G302*$L$2+J302*$M$2*$O$2</f>
        <v>28.743</v>
      </c>
      <c r="F302" s="5" t="n">
        <f>ROUND(D302*E302,2)</f>
        <v>114.97</v>
      </c>
      <c r="G302" s="5" t="n">
        <v>2.11</v>
      </c>
      <c r="H302" s="5" t="n">
        <f>D302*G302</f>
        <v>8.44</v>
      </c>
      <c r="I302" s="5" t="n">
        <v>0.5</v>
      </c>
      <c r="J302" s="5" t="n">
        <f>I302*(1+$N$2)</f>
        <v>0.5</v>
      </c>
      <c r="K302" s="5" t="n">
        <f>D302*J302</f>
        <v>2</v>
      </c>
      <c r="L302" s="5"/>
      <c r="M302" s="5"/>
      <c r="N302" s="5"/>
      <c r="O302" s="5"/>
    </row>
    <row r="303">
      <c r="A303" s="1"/>
      <c r="B303" s="1" t="str">
        <v>Ligne fictive 0155</v>
      </c>
      <c r="C303" s="1" t="str">
        <v>ml</v>
      </c>
      <c r="D303" s="5" t="n">
        <v>5</v>
      </c>
      <c r="E303" s="5" t="n">
        <f>G303*$L$2+J303*$M$2*$O$2</f>
        <v>35.724000000000004</v>
      </c>
      <c r="F303" s="5" t="n">
        <f>ROUND(D303*E303,2)</f>
        <v>178.62</v>
      </c>
      <c r="G303" s="5" t="n">
        <v>2.48</v>
      </c>
      <c r="H303" s="5" t="n">
        <f>D303*G303</f>
        <v>12.4</v>
      </c>
      <c r="I303" s="5" t="n">
        <v>0.625</v>
      </c>
      <c r="J303" s="5" t="n">
        <f>I303*(1+$N$2)</f>
        <v>0.625</v>
      </c>
      <c r="K303" s="5" t="n">
        <f>D303*J303</f>
        <v>3.125</v>
      </c>
      <c r="L303" s="5"/>
      <c r="M303" s="5"/>
      <c r="N303" s="5"/>
      <c r="O303" s="5"/>
    </row>
    <row r="304">
      <c r="A304" s="1"/>
      <c r="B304" s="1" t="str">
        <v>Ligne fictive 0156</v>
      </c>
      <c r="C304" s="1" t="str">
        <v>m2</v>
      </c>
      <c r="D304" s="5" t="n">
        <v>1</v>
      </c>
      <c r="E304" s="5" t="n">
        <f>G304*$L$2+J304*$M$2*$O$2</f>
        <v>10.205</v>
      </c>
      <c r="F304" s="5" t="n">
        <f>ROUND(D304*E304,2)</f>
        <v>10.21</v>
      </c>
      <c r="G304" s="5" t="n">
        <v>2.85</v>
      </c>
      <c r="H304" s="5" t="n">
        <f>D304*G304</f>
        <v>2.85</v>
      </c>
      <c r="I304" s="5" t="n">
        <v>0.125</v>
      </c>
      <c r="J304" s="5" t="n">
        <f>I304*(1+$N$2)</f>
        <v>0.125</v>
      </c>
      <c r="K304" s="5" t="n">
        <f>D304*J304</f>
        <v>0.125</v>
      </c>
      <c r="L304" s="5"/>
      <c r="M304" s="5"/>
      <c r="N304" s="5"/>
      <c r="O304" s="5"/>
    </row>
    <row r="305">
      <c r="A305" s="1"/>
      <c r="B305" s="1" t="str">
        <v>Réserve fictive 0019</v>
      </c>
      <c r="C305" s="1" t="str">
        <v>u</v>
      </c>
      <c r="D305" s="5"/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/>
      <c r="M305" s="5"/>
      <c r="N305" s="5"/>
      <c r="O305" s="5"/>
    </row>
    <row r="306">
      <c r="A306" s="1"/>
      <c r="B306" s="1" t="str">
        <v>Sous-total fictif 55</v>
      </c>
      <c r="C306" s="1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>
      <c r="A307" s="1"/>
      <c r="B307" s="6" t="str">
        <v>Section fictive 056</v>
      </c>
      <c r="C307" s="1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>
      <c r="A308" s="1"/>
      <c r="B308" s="1" t="str">
        <v>Ligne fictive 0157</v>
      </c>
      <c r="C308" s="1" t="str">
        <v>u</v>
      </c>
      <c r="D308" s="5" t="n">
        <v>2</v>
      </c>
      <c r="E308" s="5" t="n">
        <f>G308*$L$2+J308*$M$2*$O$2</f>
        <v>17.186</v>
      </c>
      <c r="F308" s="5" t="n">
        <f>ROUND(D308*E308,2)</f>
        <v>34.37</v>
      </c>
      <c r="G308" s="5" t="n">
        <v>3.22</v>
      </c>
      <c r="H308" s="5" t="n">
        <f>D308*G308</f>
        <v>6.44</v>
      </c>
      <c r="I308" s="5" t="n">
        <v>0.25</v>
      </c>
      <c r="J308" s="5" t="n">
        <f>I308*(1+$N$2)</f>
        <v>0.25</v>
      </c>
      <c r="K308" s="5" t="n">
        <f>D308*J308</f>
        <v>0.5</v>
      </c>
      <c r="L308" s="5"/>
      <c r="M308" s="5"/>
      <c r="N308" s="5"/>
      <c r="O308" s="5"/>
    </row>
    <row r="309">
      <c r="A309" s="1"/>
      <c r="B309" s="1" t="str">
        <v>Ligne fictive 0158</v>
      </c>
      <c r="C309" s="1" t="str">
        <v>ml</v>
      </c>
      <c r="D309" s="5" t="n">
        <v>3</v>
      </c>
      <c r="E309" s="5" t="n">
        <f>G309*$L$2+J309*$M$2*$O$2</f>
        <v>24.167</v>
      </c>
      <c r="F309" s="5" t="n">
        <f>ROUND(D309*E309,2)</f>
        <v>72.5</v>
      </c>
      <c r="G309" s="5" t="n">
        <v>3.59</v>
      </c>
      <c r="H309" s="5" t="n">
        <f>D309*G309</f>
        <v>10.77</v>
      </c>
      <c r="I309" s="5" t="n">
        <v>0.375</v>
      </c>
      <c r="J309" s="5" t="n">
        <f>I309*(1+$N$2)</f>
        <v>0.375</v>
      </c>
      <c r="K309" s="5" t="n">
        <f>D309*J309</f>
        <v>1.125</v>
      </c>
      <c r="L309" s="5"/>
      <c r="M309" s="5"/>
      <c r="N309" s="5"/>
      <c r="O309" s="5"/>
    </row>
    <row r="310">
      <c r="A310" s="1"/>
      <c r="B310" s="1" t="str">
        <v>Ligne fictive 0159</v>
      </c>
      <c r="C310" s="1" t="str">
        <v>m2</v>
      </c>
      <c r="D310" s="5" t="n">
        <v>4</v>
      </c>
      <c r="E310" s="5" t="n">
        <f>G310*$L$2+J310*$M$2*$O$2</f>
        <v>31.148</v>
      </c>
      <c r="F310" s="5" t="n">
        <f>ROUND(D310*E310,2)</f>
        <v>124.59</v>
      </c>
      <c r="G310" s="5" t="n">
        <v>3.96</v>
      </c>
      <c r="H310" s="5" t="n">
        <f>D310*G310</f>
        <v>15.84</v>
      </c>
      <c r="I310" s="5" t="n">
        <v>0.5</v>
      </c>
      <c r="J310" s="5" t="n">
        <f>I310*(1+$N$2)</f>
        <v>0.5</v>
      </c>
      <c r="K310" s="5" t="n">
        <f>D310*J310</f>
        <v>2</v>
      </c>
      <c r="L310" s="5"/>
      <c r="M310" s="5"/>
      <c r="N310" s="5"/>
      <c r="O310" s="5"/>
    </row>
    <row r="311">
      <c r="A311" s="1"/>
      <c r="B311" s="1" t="str">
        <v>Sous-total fictif 56</v>
      </c>
      <c r="C311" s="1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>
      <c r="A312" s="1"/>
      <c r="B312" s="6" t="str">
        <v>Section fictive 057</v>
      </c>
      <c r="C312" s="1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>
      <c r="A313" s="1"/>
      <c r="B313" s="1" t="str">
        <v>Ligne fictive 0160</v>
      </c>
      <c r="C313" s="1" t="str">
        <v>u</v>
      </c>
      <c r="D313" s="5" t="n">
        <v>5</v>
      </c>
      <c r="E313" s="5" t="n">
        <f>G313*$L$2+J313*$M$2*$O$2</f>
        <v>38.129</v>
      </c>
      <c r="F313" s="5" t="n">
        <f>ROUND(D313*E313,2)</f>
        <v>190.65</v>
      </c>
      <c r="G313" s="5" t="n">
        <v>4.33</v>
      </c>
      <c r="H313" s="5" t="n">
        <f>D313*G313</f>
        <v>21.65</v>
      </c>
      <c r="I313" s="5" t="n">
        <v>0.625</v>
      </c>
      <c r="J313" s="5" t="n">
        <f>I313*(1+$N$2)</f>
        <v>0.625</v>
      </c>
      <c r="K313" s="5" t="n">
        <f>D313*J313</f>
        <v>3.125</v>
      </c>
      <c r="L313" s="5"/>
      <c r="M313" s="5"/>
      <c r="N313" s="5"/>
      <c r="O313" s="5"/>
    </row>
    <row r="314">
      <c r="A314" s="1"/>
      <c r="B314" s="1" t="str">
        <v>Ligne fictive 0161</v>
      </c>
      <c r="C314" s="1" t="str">
        <v>ml</v>
      </c>
      <c r="D314" s="5" t="n">
        <v>1</v>
      </c>
      <c r="E314" s="5" t="n">
        <f>G314*$L$2+J314*$M$2*$O$2</f>
        <v>12.61</v>
      </c>
      <c r="F314" s="5" t="n">
        <f>ROUND(D314*E314,2)</f>
        <v>12.61</v>
      </c>
      <c r="G314" s="5" t="n">
        <v>4.7</v>
      </c>
      <c r="H314" s="5" t="n">
        <f>D314*G314</f>
        <v>4.7</v>
      </c>
      <c r="I314" s="5" t="n">
        <v>0.125</v>
      </c>
      <c r="J314" s="5" t="n">
        <f>I314*(1+$N$2)</f>
        <v>0.125</v>
      </c>
      <c r="K314" s="5" t="n">
        <f>D314*J314</f>
        <v>0.125</v>
      </c>
      <c r="L314" s="5"/>
      <c r="M314" s="5"/>
      <c r="N314" s="5"/>
      <c r="O314" s="5"/>
    </row>
    <row r="315">
      <c r="A315" s="1"/>
      <c r="B315" s="1" t="str">
        <v>Statut fictif 020</v>
      </c>
      <c r="C315" s="1" t="str">
        <v>HL</v>
      </c>
      <c r="D315" s="5"/>
      <c r="E315" s="5" t="n">
        <v>0</v>
      </c>
      <c r="F315" s="5" t="n">
        <v>0</v>
      </c>
      <c r="G315" s="5" t="n">
        <v>7.25</v>
      </c>
      <c r="H315" s="5" t="n">
        <v>0</v>
      </c>
      <c r="I315" s="5" t="n">
        <v>0.375</v>
      </c>
      <c r="J315" s="5" t="n">
        <v>0</v>
      </c>
      <c r="K315" s="5" t="n">
        <v>0</v>
      </c>
      <c r="L315" s="5"/>
      <c r="M315" s="5"/>
      <c r="N315" s="5"/>
      <c r="O315" s="5"/>
    </row>
    <row r="316">
      <c r="A316" s="1"/>
      <c r="B316" s="1" t="str">
        <v>Sous-total fictif 57</v>
      </c>
      <c r="C316" s="1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>
      <c r="A317" s="1"/>
      <c r="B317" s="6" t="str">
        <v>Section fictive 058</v>
      </c>
      <c r="C317" s="1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>
      <c r="A318" s="1"/>
      <c r="B318" s="1" t="str">
        <v>Ligne fictive 0162</v>
      </c>
      <c r="C318" s="1" t="str">
        <v>m2</v>
      </c>
      <c r="D318" s="5" t="n">
        <v>2</v>
      </c>
      <c r="E318" s="5" t="n">
        <f>G318*$L$2+J318*$M$2*$O$2</f>
        <v>19.591</v>
      </c>
      <c r="F318" s="5" t="n">
        <f>ROUND(D318*E318,2)</f>
        <v>39.18</v>
      </c>
      <c r="G318" s="5" t="n">
        <v>5.07</v>
      </c>
      <c r="H318" s="5" t="n">
        <f>D318*G318</f>
        <v>10.14</v>
      </c>
      <c r="I318" s="5" t="n">
        <v>0.25</v>
      </c>
      <c r="J318" s="5" t="n">
        <f>I318*(1+$N$2)</f>
        <v>0.25</v>
      </c>
      <c r="K318" s="5" t="n">
        <f>D318*J318</f>
        <v>0.5</v>
      </c>
      <c r="L318" s="5"/>
      <c r="M318" s="5"/>
      <c r="N318" s="5"/>
      <c r="O318" s="5"/>
    </row>
    <row r="319">
      <c r="A319" s="1"/>
      <c r="B319" s="1" t="str">
        <v>Ligne fictive 0163</v>
      </c>
      <c r="C319" s="1" t="str">
        <v>u</v>
      </c>
      <c r="D319" s="5" t="n">
        <v>3</v>
      </c>
      <c r="E319" s="5" t="n">
        <f>G319*$L$2+J319*$M$2*$O$2</f>
        <v>26.572000000000003</v>
      </c>
      <c r="F319" s="5" t="n">
        <f>ROUND(D319*E319,2)</f>
        <v>79.72</v>
      </c>
      <c r="G319" s="5" t="n">
        <v>5.44</v>
      </c>
      <c r="H319" s="5" t="n">
        <f>D319*G319</f>
        <v>16.32</v>
      </c>
      <c r="I319" s="5" t="n">
        <v>0.375</v>
      </c>
      <c r="J319" s="5" t="n">
        <f>I319*(1+$N$2)</f>
        <v>0.375</v>
      </c>
      <c r="K319" s="5" t="n">
        <f>D319*J319</f>
        <v>1.125</v>
      </c>
      <c r="L319" s="5"/>
      <c r="M319" s="5"/>
      <c r="N319" s="5"/>
      <c r="O319" s="5"/>
    </row>
    <row r="320">
      <c r="A320" s="1"/>
      <c r="B320" s="1" t="str">
        <v>Ligne fictive 0164</v>
      </c>
      <c r="C320" s="1" t="str">
        <v>ml</v>
      </c>
      <c r="D320" s="5" t="n">
        <v>4</v>
      </c>
      <c r="E320" s="5" t="n">
        <f>G320*$L$2+J320*$M$2*$O$2</f>
        <v>33.553</v>
      </c>
      <c r="F320" s="5" t="n">
        <f>ROUND(D320*E320,2)</f>
        <v>134.21</v>
      </c>
      <c r="G320" s="5" t="n">
        <v>5.81</v>
      </c>
      <c r="H320" s="5" t="n">
        <f>D320*G320</f>
        <v>23.24</v>
      </c>
      <c r="I320" s="5" t="n">
        <v>0.5</v>
      </c>
      <c r="J320" s="5" t="n">
        <f>I320*(1+$N$2)</f>
        <v>0.5</v>
      </c>
      <c r="K320" s="5" t="n">
        <f>D320*J320</f>
        <v>2</v>
      </c>
      <c r="L320" s="5"/>
      <c r="M320" s="5"/>
      <c r="N320" s="5"/>
      <c r="O320" s="5"/>
    </row>
    <row r="321">
      <c r="A321" s="1"/>
      <c r="B321" s="1" t="str">
        <v>Réserve fictive 0020</v>
      </c>
      <c r="C321" s="1" t="str">
        <v>u</v>
      </c>
      <c r="D321" s="5"/>
      <c r="E321" s="5" t="n">
        <v>0</v>
      </c>
      <c r="F321" s="5" t="n">
        <v>0</v>
      </c>
      <c r="G321" s="5" t="n">
        <v>0</v>
      </c>
      <c r="H321" s="5" t="n">
        <v>0</v>
      </c>
      <c r="I321" s="5" t="n">
        <v>0</v>
      </c>
      <c r="J321" s="5" t="n">
        <v>0</v>
      </c>
      <c r="K321" s="5" t="n">
        <v>0</v>
      </c>
      <c r="L321" s="5"/>
      <c r="M321" s="5"/>
      <c r="N321" s="5"/>
      <c r="O321" s="5"/>
    </row>
    <row r="322">
      <c r="A322" s="1"/>
      <c r="B322" s="1" t="str">
        <v>Sous-total fictif 58</v>
      </c>
      <c r="C322" s="1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>
      <c r="A323" s="1"/>
      <c r="B323" s="6" t="str">
        <v>Section fictive 059</v>
      </c>
      <c r="C323" s="1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>
      <c r="A324" s="1"/>
      <c r="B324" s="1" t="str">
        <v>Ligne fictive 0165</v>
      </c>
      <c r="C324" s="1" t="str">
        <v>m2</v>
      </c>
      <c r="D324" s="5" t="n">
        <v>5</v>
      </c>
      <c r="E324" s="5" t="n">
        <f>G324*$L$2+J324*$M$2*$O$2</f>
        <v>40.534</v>
      </c>
      <c r="F324" s="5" t="n">
        <f>ROUND(D324*E324,2)</f>
        <v>202.67</v>
      </c>
      <c r="G324" s="5" t="n">
        <v>6.18</v>
      </c>
      <c r="H324" s="5" t="n">
        <f>D324*G324</f>
        <v>30.9</v>
      </c>
      <c r="I324" s="5" t="n">
        <v>0.625</v>
      </c>
      <c r="J324" s="5" t="n">
        <f>I324*(1+$N$2)</f>
        <v>0.625</v>
      </c>
      <c r="K324" s="5" t="n">
        <f>D324*J324</f>
        <v>3.125</v>
      </c>
      <c r="L324" s="5"/>
      <c r="M324" s="5"/>
      <c r="N324" s="5"/>
      <c r="O324" s="5"/>
    </row>
    <row r="325">
      <c r="A325" s="1"/>
      <c r="B325" s="1" t="str">
        <v>Ligne fictive 0166</v>
      </c>
      <c r="C325" s="1" t="str">
        <v>u</v>
      </c>
      <c r="D325" s="5" t="n">
        <v>1</v>
      </c>
      <c r="E325" s="5" t="n">
        <f>G325*$L$2+J325*$M$2*$O$2</f>
        <v>15.015</v>
      </c>
      <c r="F325" s="5" t="n">
        <f>ROUND(D325*E325,2)</f>
        <v>15.02</v>
      </c>
      <c r="G325" s="5" t="n">
        <v>6.55</v>
      </c>
      <c r="H325" s="5" t="n">
        <f>D325*G325</f>
        <v>6.55</v>
      </c>
      <c r="I325" s="5" t="n">
        <v>0.125</v>
      </c>
      <c r="J325" s="5" t="n">
        <f>I325*(1+$N$2)</f>
        <v>0.125</v>
      </c>
      <c r="K325" s="5" t="n">
        <f>D325*J325</f>
        <v>0.125</v>
      </c>
      <c r="L325" s="5"/>
      <c r="M325" s="5"/>
      <c r="N325" s="5"/>
      <c r="O325" s="5"/>
    </row>
    <row r="326">
      <c r="A326" s="1"/>
      <c r="B326" s="1" t="str">
        <v>Ligne fictive 0167</v>
      </c>
      <c r="C326" s="1" t="str">
        <v>ml</v>
      </c>
      <c r="D326" s="5" t="n">
        <v>2</v>
      </c>
      <c r="E326" s="5" t="n">
        <f>G326*$L$2+J326*$M$2*$O$2</f>
        <v>21.996000000000002</v>
      </c>
      <c r="F326" s="5" t="n">
        <f>ROUND(D326*E326,2)</f>
        <v>43.99</v>
      </c>
      <c r="G326" s="5" t="n">
        <v>6.92</v>
      </c>
      <c r="H326" s="5" t="n">
        <f>D326*G326</f>
        <v>13.84</v>
      </c>
      <c r="I326" s="5" t="n">
        <v>0.25</v>
      </c>
      <c r="J326" s="5" t="n">
        <f>I326*(1+$N$2)</f>
        <v>0.25</v>
      </c>
      <c r="K326" s="5" t="n">
        <f>D326*J326</f>
        <v>0.5</v>
      </c>
      <c r="L326" s="5"/>
      <c r="M326" s="5"/>
      <c r="N326" s="5"/>
      <c r="O326" s="5"/>
    </row>
    <row r="327">
      <c r="A327" s="1"/>
      <c r="B327" s="1" t="str">
        <v>Sous-total fictif 59</v>
      </c>
      <c r="C327" s="1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>
      <c r="A328" s="1"/>
      <c r="B328" s="6" t="str">
        <v>Section fictive 060</v>
      </c>
      <c r="C328" s="1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>
      <c r="A329" s="1"/>
      <c r="B329" s="1" t="str">
        <v>Ligne fictive 0168</v>
      </c>
      <c r="C329" s="1" t="str">
        <v>m2</v>
      </c>
      <c r="D329" s="5" t="n">
        <v>3</v>
      </c>
      <c r="E329" s="5" t="n">
        <f>G329*$L$2+J329*$M$2*$O$2</f>
        <v>28.977</v>
      </c>
      <c r="F329" s="5" t="n">
        <f>ROUND(D329*E329,2)</f>
        <v>86.93</v>
      </c>
      <c r="G329" s="5" t="n">
        <v>7.29</v>
      </c>
      <c r="H329" s="5" t="n">
        <f>D329*G329</f>
        <v>21.87</v>
      </c>
      <c r="I329" s="5" t="n">
        <v>0.375</v>
      </c>
      <c r="J329" s="5" t="n">
        <f>I329*(1+$N$2)</f>
        <v>0.375</v>
      </c>
      <c r="K329" s="5" t="n">
        <f>D329*J329</f>
        <v>1.125</v>
      </c>
      <c r="L329" s="5"/>
      <c r="M329" s="5"/>
      <c r="N329" s="5"/>
      <c r="O329" s="5"/>
    </row>
    <row r="330">
      <c r="A330" s="1"/>
      <c r="B330" s="1" t="str">
        <v>Ligne fictive 0169</v>
      </c>
      <c r="C330" s="1" t="str">
        <v>u</v>
      </c>
      <c r="D330" s="5" t="n">
        <v>4</v>
      </c>
      <c r="E330" s="5" t="n">
        <f>G330*$L$2+J330*$M$2*$O$2</f>
        <v>35.958</v>
      </c>
      <c r="F330" s="5" t="n">
        <f>ROUND(D330*E330,2)</f>
        <v>143.83</v>
      </c>
      <c r="G330" s="5" t="n">
        <v>7.66</v>
      </c>
      <c r="H330" s="5" t="n">
        <f>D330*G330</f>
        <v>30.64</v>
      </c>
      <c r="I330" s="5" t="n">
        <v>0.5</v>
      </c>
      <c r="J330" s="5" t="n">
        <f>I330*(1+$N$2)</f>
        <v>0.5</v>
      </c>
      <c r="K330" s="5" t="n">
        <f>D330*J330</f>
        <v>2</v>
      </c>
      <c r="L330" s="5"/>
      <c r="M330" s="5"/>
      <c r="N330" s="5"/>
      <c r="O330" s="5"/>
    </row>
    <row r="331">
      <c r="A331" s="1"/>
      <c r="B331" s="1" t="str">
        <v>Ligne fictive 0170</v>
      </c>
      <c r="C331" s="1" t="str">
        <v>ml</v>
      </c>
      <c r="D331" s="5" t="n">
        <v>5</v>
      </c>
      <c r="E331" s="5" t="n">
        <f>G331*$L$2+J331*$M$2*$O$2</f>
        <v>42.939</v>
      </c>
      <c r="F331" s="5" t="n">
        <f>ROUND(D331*E331,2)</f>
        <v>214.7</v>
      </c>
      <c r="G331" s="5" t="n">
        <v>8.03</v>
      </c>
      <c r="H331" s="5" t="n">
        <f>D331*G331</f>
        <v>40.15</v>
      </c>
      <c r="I331" s="5" t="n">
        <v>0.625</v>
      </c>
      <c r="J331" s="5" t="n">
        <f>I331*(1+$N$2)</f>
        <v>0.625</v>
      </c>
      <c r="K331" s="5" t="n">
        <f>D331*J331</f>
        <v>3.125</v>
      </c>
      <c r="L331" s="5"/>
      <c r="M331" s="5"/>
      <c r="N331" s="5"/>
      <c r="O331" s="5"/>
    </row>
    <row r="332">
      <c r="A332" s="1"/>
      <c r="B332" s="1" t="str">
        <v>Statut fictif 021</v>
      </c>
      <c r="C332" s="1" t="str">
        <v>HL</v>
      </c>
      <c r="D332" s="5"/>
      <c r="E332" s="5" t="n">
        <v>0</v>
      </c>
      <c r="F332" s="5" t="n">
        <v>0</v>
      </c>
      <c r="G332" s="5" t="n">
        <v>7.25</v>
      </c>
      <c r="H332" s="5" t="n">
        <v>0</v>
      </c>
      <c r="I332" s="5" t="n">
        <v>0.375</v>
      </c>
      <c r="J332" s="5" t="n">
        <v>0</v>
      </c>
      <c r="K332" s="5" t="n">
        <v>0</v>
      </c>
      <c r="L332" s="5"/>
      <c r="M332" s="5"/>
      <c r="N332" s="5"/>
      <c r="O332" s="5"/>
    </row>
    <row r="333">
      <c r="A333" s="1"/>
      <c r="B333" s="1" t="str">
        <v>Réserve fictive 0021</v>
      </c>
      <c r="C333" s="1" t="str">
        <v>u</v>
      </c>
      <c r="D333" s="5"/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/>
      <c r="M333" s="5"/>
      <c r="N333" s="5"/>
      <c r="O333" s="5"/>
    </row>
    <row r="334">
      <c r="A334" s="1"/>
      <c r="B334" s="1" t="str">
        <v>Sous-total fictif 60</v>
      </c>
      <c r="C334" s="1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>
      <c r="A335" s="1"/>
      <c r="B335" s="6" t="str">
        <v>Section fictive 061</v>
      </c>
      <c r="C335" s="1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>
      <c r="A336" s="1"/>
      <c r="B336" s="1" t="str">
        <v>Ligne fictive 0171</v>
      </c>
      <c r="C336" s="1" t="str">
        <v>m2</v>
      </c>
      <c r="D336" s="5" t="n">
        <v>1</v>
      </c>
      <c r="E336" s="5" t="n">
        <f>G336*$L$2+J336*$M$2*$O$2</f>
        <v>9.243</v>
      </c>
      <c r="F336" s="5" t="n">
        <f>ROUND(D336*E336,2)</f>
        <v>9.24</v>
      </c>
      <c r="G336" s="5" t="n">
        <v>2.11</v>
      </c>
      <c r="H336" s="5" t="n">
        <f>D336*G336</f>
        <v>2.11</v>
      </c>
      <c r="I336" s="5" t="n">
        <v>0.125</v>
      </c>
      <c r="J336" s="5" t="n">
        <f>I336*(1+$N$2)</f>
        <v>0.125</v>
      </c>
      <c r="K336" s="5" t="n">
        <f>D336*J336</f>
        <v>0.125</v>
      </c>
      <c r="L336" s="5"/>
      <c r="M336" s="5"/>
      <c r="N336" s="5"/>
      <c r="O336" s="5"/>
    </row>
    <row r="337">
      <c r="A337" s="1"/>
      <c r="B337" s="1" t="str">
        <v>Ligne fictive 0172</v>
      </c>
      <c r="C337" s="1" t="str">
        <v>u</v>
      </c>
      <c r="D337" s="5" t="n">
        <v>2</v>
      </c>
      <c r="E337" s="5" t="n">
        <f>G337*$L$2+J337*$M$2*$O$2</f>
        <v>16.224</v>
      </c>
      <c r="F337" s="5" t="n">
        <f>ROUND(D337*E337,2)</f>
        <v>32.45</v>
      </c>
      <c r="G337" s="5" t="n">
        <v>2.48</v>
      </c>
      <c r="H337" s="5" t="n">
        <f>D337*G337</f>
        <v>4.96</v>
      </c>
      <c r="I337" s="5" t="n">
        <v>0.25</v>
      </c>
      <c r="J337" s="5" t="n">
        <f>I337*(1+$N$2)</f>
        <v>0.25</v>
      </c>
      <c r="K337" s="5" t="n">
        <f>D337*J337</f>
        <v>0.5</v>
      </c>
      <c r="L337" s="5"/>
      <c r="M337" s="5"/>
      <c r="N337" s="5"/>
      <c r="O337" s="5"/>
    </row>
    <row r="338">
      <c r="A338" s="1"/>
      <c r="B338" s="1" t="str">
        <v>Ligne fictive 0173</v>
      </c>
      <c r="C338" s="1" t="str">
        <v>ml</v>
      </c>
      <c r="D338" s="5" t="n">
        <v>3</v>
      </c>
      <c r="E338" s="5" t="n">
        <f>G338*$L$2+J338*$M$2*$O$2</f>
        <v>23.205</v>
      </c>
      <c r="F338" s="5" t="n">
        <f>ROUND(D338*E338,2)</f>
        <v>69.61</v>
      </c>
      <c r="G338" s="5" t="n">
        <v>2.85</v>
      </c>
      <c r="H338" s="5" t="n">
        <f>D338*G338</f>
        <v>8.55</v>
      </c>
      <c r="I338" s="5" t="n">
        <v>0.375</v>
      </c>
      <c r="J338" s="5" t="n">
        <f>I338*(1+$N$2)</f>
        <v>0.375</v>
      </c>
      <c r="K338" s="5" t="n">
        <f>D338*J338</f>
        <v>1.125</v>
      </c>
      <c r="L338" s="5"/>
      <c r="M338" s="5"/>
      <c r="N338" s="5"/>
      <c r="O338" s="5"/>
    </row>
    <row r="339">
      <c r="A339" s="1"/>
      <c r="B339" s="1" t="str">
        <v>Sous-total fictif 61</v>
      </c>
      <c r="C339" s="1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>
      <c r="A340" s="1"/>
      <c r="B340" s="6" t="str">
        <v>Section fictive 062</v>
      </c>
      <c r="C340" s="1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>
      <c r="A341" s="1"/>
      <c r="B341" s="1" t="str">
        <v>Ligne fictive 0174</v>
      </c>
      <c r="C341" s="1" t="str">
        <v>m2</v>
      </c>
      <c r="D341" s="5" t="n">
        <v>4</v>
      </c>
      <c r="E341" s="5" t="n">
        <f>G341*$L$2+J341*$M$2*$O$2</f>
        <v>30.186</v>
      </c>
      <c r="F341" s="5" t="n">
        <f>ROUND(D341*E341,2)</f>
        <v>120.74</v>
      </c>
      <c r="G341" s="5" t="n">
        <v>3.22</v>
      </c>
      <c r="H341" s="5" t="n">
        <f>D341*G341</f>
        <v>12.88</v>
      </c>
      <c r="I341" s="5" t="n">
        <v>0.5</v>
      </c>
      <c r="J341" s="5" t="n">
        <f>I341*(1+$N$2)</f>
        <v>0.5</v>
      </c>
      <c r="K341" s="5" t="n">
        <f>D341*J341</f>
        <v>2</v>
      </c>
      <c r="L341" s="5"/>
      <c r="M341" s="5"/>
      <c r="N341" s="5"/>
      <c r="O341" s="5"/>
    </row>
    <row r="342">
      <c r="A342" s="1"/>
      <c r="B342" s="1" t="str">
        <v>Ligne fictive 0175</v>
      </c>
      <c r="C342" s="1" t="str">
        <v>u</v>
      </c>
      <c r="D342" s="5" t="n">
        <v>5</v>
      </c>
      <c r="E342" s="5" t="n">
        <f>G342*$L$2+J342*$M$2*$O$2</f>
        <v>37.167</v>
      </c>
      <c r="F342" s="5" t="n">
        <f>ROUND(D342*E342,2)</f>
        <v>185.84</v>
      </c>
      <c r="G342" s="5" t="n">
        <v>3.59</v>
      </c>
      <c r="H342" s="5" t="n">
        <f>D342*G342</f>
        <v>17.95</v>
      </c>
      <c r="I342" s="5" t="n">
        <v>0.625</v>
      </c>
      <c r="J342" s="5" t="n">
        <f>I342*(1+$N$2)</f>
        <v>0.625</v>
      </c>
      <c r="K342" s="5" t="n">
        <f>D342*J342</f>
        <v>3.125</v>
      </c>
      <c r="L342" s="5"/>
      <c r="M342" s="5"/>
      <c r="N342" s="5"/>
      <c r="O342" s="5"/>
    </row>
    <row r="343">
      <c r="A343" s="1"/>
      <c r="B343" s="1" t="str">
        <v>Ligne fictive 0176</v>
      </c>
      <c r="C343" s="1" t="str">
        <v>ml</v>
      </c>
      <c r="D343" s="5" t="n">
        <v>1</v>
      </c>
      <c r="E343" s="5" t="n">
        <f>G343*$L$2+J343*$M$2*$O$2</f>
        <v>11.648</v>
      </c>
      <c r="F343" s="5" t="n">
        <f>ROUND(D343*E343,2)</f>
        <v>11.65</v>
      </c>
      <c r="G343" s="5" t="n">
        <v>3.96</v>
      </c>
      <c r="H343" s="5" t="n">
        <f>D343*G343</f>
        <v>3.96</v>
      </c>
      <c r="I343" s="5" t="n">
        <v>0.125</v>
      </c>
      <c r="J343" s="5" t="n">
        <f>I343*(1+$N$2)</f>
        <v>0.125</v>
      </c>
      <c r="K343" s="5" t="n">
        <f>D343*J343</f>
        <v>0.125</v>
      </c>
      <c r="L343" s="5"/>
      <c r="M343" s="5"/>
      <c r="N343" s="5"/>
      <c r="O343" s="5"/>
    </row>
    <row r="344">
      <c r="A344" s="1"/>
      <c r="B344" s="1" t="str">
        <v>Statut fictif 022</v>
      </c>
      <c r="C344" s="1" t="str">
        <v>HL</v>
      </c>
      <c r="D344" s="5"/>
      <c r="E344" s="5" t="n">
        <v>0</v>
      </c>
      <c r="F344" s="5" t="n">
        <v>0</v>
      </c>
      <c r="G344" s="5" t="n">
        <v>7.25</v>
      </c>
      <c r="H344" s="5" t="n">
        <v>0</v>
      </c>
      <c r="I344" s="5" t="n">
        <v>0.375</v>
      </c>
      <c r="J344" s="5" t="n">
        <v>0</v>
      </c>
      <c r="K344" s="5" t="n">
        <v>0</v>
      </c>
      <c r="L344" s="5"/>
      <c r="M344" s="5"/>
      <c r="N344" s="5"/>
      <c r="O344" s="5"/>
    </row>
    <row r="345">
      <c r="A345" s="1"/>
      <c r="B345" s="1" t="str">
        <v>Sous-total fictif 62</v>
      </c>
      <c r="C345" s="1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>
      <c r="A346" s="1"/>
      <c r="B346" s="6" t="str">
        <v>Section fictive 063</v>
      </c>
      <c r="C346" s="1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>
      <c r="A347" s="1"/>
      <c r="B347" s="1" t="str">
        <v>Ligne fictive 0177</v>
      </c>
      <c r="C347" s="1" t="str">
        <v>m2</v>
      </c>
      <c r="D347" s="5" t="n">
        <v>2</v>
      </c>
      <c r="E347" s="5" t="n">
        <f>G347*$L$2+J347*$M$2*$O$2</f>
        <v>18.629</v>
      </c>
      <c r="F347" s="5" t="n">
        <f>ROUND(D347*E347,2)</f>
        <v>37.26</v>
      </c>
      <c r="G347" s="5" t="n">
        <v>4.33</v>
      </c>
      <c r="H347" s="5" t="n">
        <f>D347*G347</f>
        <v>8.66</v>
      </c>
      <c r="I347" s="5" t="n">
        <v>0.25</v>
      </c>
      <c r="J347" s="5" t="n">
        <f>I347*(1+$N$2)</f>
        <v>0.25</v>
      </c>
      <c r="K347" s="5" t="n">
        <f>D347*J347</f>
        <v>0.5</v>
      </c>
      <c r="L347" s="5"/>
      <c r="M347" s="5"/>
      <c r="N347" s="5"/>
      <c r="O347" s="5"/>
    </row>
    <row r="348">
      <c r="A348" s="1"/>
      <c r="B348" s="1" t="str">
        <v>Ligne fictive 0178</v>
      </c>
      <c r="C348" s="1" t="str">
        <v>u</v>
      </c>
      <c r="D348" s="5" t="n">
        <v>3</v>
      </c>
      <c r="E348" s="5" t="n">
        <f>G348*$L$2+J348*$M$2*$O$2</f>
        <v>25.61</v>
      </c>
      <c r="F348" s="5" t="n">
        <f>ROUND(D348*E348,2)</f>
        <v>76.83</v>
      </c>
      <c r="G348" s="5" t="n">
        <v>4.7</v>
      </c>
      <c r="H348" s="5" t="n">
        <f>D348*G348</f>
        <v>14.100000000000001</v>
      </c>
      <c r="I348" s="5" t="n">
        <v>0.375</v>
      </c>
      <c r="J348" s="5" t="n">
        <f>I348*(1+$N$2)</f>
        <v>0.375</v>
      </c>
      <c r="K348" s="5" t="n">
        <f>D348*J348</f>
        <v>1.125</v>
      </c>
      <c r="L348" s="5"/>
      <c r="M348" s="5"/>
      <c r="N348" s="5"/>
      <c r="O348" s="5"/>
    </row>
    <row r="349">
      <c r="A349" s="1"/>
      <c r="B349" s="1" t="str">
        <v>Réserve fictive 0022</v>
      </c>
      <c r="C349" s="1" t="str">
        <v>u</v>
      </c>
      <c r="D349" s="5"/>
      <c r="E349" s="5" t="n">
        <v>0</v>
      </c>
      <c r="F349" s="5" t="n">
        <v>0</v>
      </c>
      <c r="G349" s="5" t="n">
        <v>0</v>
      </c>
      <c r="H349" s="5" t="n">
        <v>0</v>
      </c>
      <c r="I349" s="5" t="n">
        <v>0</v>
      </c>
      <c r="J349" s="5" t="n">
        <v>0</v>
      </c>
      <c r="K349" s="5" t="n">
        <v>0</v>
      </c>
      <c r="L349" s="5"/>
      <c r="M349" s="5"/>
      <c r="N349" s="5"/>
      <c r="O349" s="5"/>
    </row>
    <row r="350">
      <c r="A350" s="1"/>
      <c r="B350" s="1" t="str">
        <v>Sous-total fictif 63</v>
      </c>
      <c r="C350" s="1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>
      <c r="A351" s="1"/>
      <c r="B351" s="6" t="str">
        <v>Section fictive 064</v>
      </c>
      <c r="C351" s="1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>
      <c r="A352" s="1"/>
      <c r="B352" s="1" t="str">
        <v>Ligne fictive 0179</v>
      </c>
      <c r="C352" s="1" t="str">
        <v>ml</v>
      </c>
      <c r="D352" s="5" t="n">
        <v>4</v>
      </c>
      <c r="E352" s="5" t="n">
        <f>G352*$L$2+J352*$M$2*$O$2</f>
        <v>32.591</v>
      </c>
      <c r="F352" s="5" t="n">
        <f>ROUND(D352*E352,2)</f>
        <v>130.36</v>
      </c>
      <c r="G352" s="5" t="n">
        <v>5.07</v>
      </c>
      <c r="H352" s="5" t="n">
        <f>D352*G352</f>
        <v>20.28</v>
      </c>
      <c r="I352" s="5" t="n">
        <v>0.5</v>
      </c>
      <c r="J352" s="5" t="n">
        <f>I352*(1+$N$2)</f>
        <v>0.5</v>
      </c>
      <c r="K352" s="5" t="n">
        <f>D352*J352</f>
        <v>2</v>
      </c>
      <c r="L352" s="5"/>
      <c r="M352" s="5"/>
      <c r="N352" s="5"/>
      <c r="O352" s="5"/>
    </row>
    <row r="353">
      <c r="A353" s="1"/>
      <c r="B353" s="1" t="str">
        <v>Ligne fictive 0180</v>
      </c>
      <c r="C353" s="1" t="str">
        <v>m2</v>
      </c>
      <c r="D353" s="5" t="n">
        <v>5</v>
      </c>
      <c r="E353" s="5" t="n">
        <f>G353*$L$2+J353*$M$2*$O$2</f>
        <v>39.572</v>
      </c>
      <c r="F353" s="5" t="n">
        <f>ROUND(D353*E353,2)</f>
        <v>197.86</v>
      </c>
      <c r="G353" s="5" t="n">
        <v>5.44</v>
      </c>
      <c r="H353" s="5" t="n">
        <f>D353*G353</f>
        <v>27.200000000000003</v>
      </c>
      <c r="I353" s="5" t="n">
        <v>0.625</v>
      </c>
      <c r="J353" s="5" t="n">
        <f>I353*(1+$N$2)</f>
        <v>0.625</v>
      </c>
      <c r="K353" s="5" t="n">
        <f>D353*J353</f>
        <v>3.125</v>
      </c>
      <c r="L353" s="5"/>
      <c r="M353" s="5"/>
      <c r="N353" s="5"/>
      <c r="O353" s="5"/>
    </row>
    <row r="354">
      <c r="A354" s="1"/>
      <c r="B354" s="1" t="str">
        <v>Ligne fictive 0181</v>
      </c>
      <c r="C354" s="1" t="str">
        <v>u</v>
      </c>
      <c r="D354" s="5" t="n">
        <v>1</v>
      </c>
      <c r="E354" s="5" t="n">
        <f>G354*$L$2+J354*$M$2*$O$2</f>
        <v>14.053</v>
      </c>
      <c r="F354" s="5" t="n">
        <f>ROUND(D354*E354,2)</f>
        <v>14.05</v>
      </c>
      <c r="G354" s="5" t="n">
        <v>5.81</v>
      </c>
      <c r="H354" s="5" t="n">
        <f>D354*G354</f>
        <v>5.81</v>
      </c>
      <c r="I354" s="5" t="n">
        <v>0.125</v>
      </c>
      <c r="J354" s="5" t="n">
        <f>I354*(1+$N$2)</f>
        <v>0.125</v>
      </c>
      <c r="K354" s="5" t="n">
        <f>D354*J354</f>
        <v>0.125</v>
      </c>
      <c r="L354" s="5"/>
      <c r="M354" s="5"/>
      <c r="N354" s="5"/>
      <c r="O354" s="5"/>
    </row>
    <row r="355">
      <c r="A355" s="1"/>
      <c r="B355" s="1" t="str">
        <v>Sous-total fictif 64</v>
      </c>
      <c r="C355" s="1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>
      <c r="A356" s="1"/>
      <c r="B356" s="6" t="str">
        <v>Section fictive 065</v>
      </c>
      <c r="C356" s="1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>
      <c r="A357" s="1"/>
      <c r="B357" s="1" t="str">
        <v>Ligne fictive 0182</v>
      </c>
      <c r="C357" s="1" t="str">
        <v>ml</v>
      </c>
      <c r="D357" s="5" t="n">
        <v>2</v>
      </c>
      <c r="E357" s="5" t="n">
        <f>G357*$L$2+J357*$M$2*$O$2</f>
        <v>21.034</v>
      </c>
      <c r="F357" s="5" t="n">
        <f>ROUND(D357*E357,2)</f>
        <v>42.07</v>
      </c>
      <c r="G357" s="5" t="n">
        <v>6.18</v>
      </c>
      <c r="H357" s="5" t="n">
        <f>D357*G357</f>
        <v>12.36</v>
      </c>
      <c r="I357" s="5" t="n">
        <v>0.25</v>
      </c>
      <c r="J357" s="5" t="n">
        <f>I357*(1+$N$2)</f>
        <v>0.25</v>
      </c>
      <c r="K357" s="5" t="n">
        <f>D357*J357</f>
        <v>0.5</v>
      </c>
      <c r="L357" s="5"/>
      <c r="M357" s="5"/>
      <c r="N357" s="5"/>
      <c r="O357" s="5"/>
    </row>
    <row r="358">
      <c r="A358" s="1"/>
      <c r="B358" s="1" t="str">
        <v>Ligne fictive 0183</v>
      </c>
      <c r="C358" s="1" t="str">
        <v>m2</v>
      </c>
      <c r="D358" s="5" t="n">
        <v>3</v>
      </c>
      <c r="E358" s="5" t="n">
        <f>G358*$L$2+J358*$M$2*$O$2</f>
        <v>28.015</v>
      </c>
      <c r="F358" s="5" t="n">
        <f>ROUND(D358*E358,2)</f>
        <v>84.05</v>
      </c>
      <c r="G358" s="5" t="n">
        <v>6.55</v>
      </c>
      <c r="H358" s="5" t="n">
        <f>D358*G358</f>
        <v>19.65</v>
      </c>
      <c r="I358" s="5" t="n">
        <v>0.375</v>
      </c>
      <c r="J358" s="5" t="n">
        <f>I358*(1+$N$2)</f>
        <v>0.375</v>
      </c>
      <c r="K358" s="5" t="n">
        <f>D358*J358</f>
        <v>1.125</v>
      </c>
      <c r="L358" s="5"/>
      <c r="M358" s="5"/>
      <c r="N358" s="5"/>
      <c r="O358" s="5"/>
    </row>
    <row r="359">
      <c r="A359" s="1"/>
      <c r="B359" s="1" t="str">
        <v>Ligne fictive 0184</v>
      </c>
      <c r="C359" s="1" t="str">
        <v>u</v>
      </c>
      <c r="D359" s="5" t="n">
        <v>4</v>
      </c>
      <c r="E359" s="5" t="n">
        <f>G359*$L$2+J359*$M$2*$O$2</f>
        <v>34.996</v>
      </c>
      <c r="F359" s="5" t="n">
        <f>ROUND(D359*E359,2)</f>
        <v>139.98</v>
      </c>
      <c r="G359" s="5" t="n">
        <v>6.92</v>
      </c>
      <c r="H359" s="5" t="n">
        <f>D359*G359</f>
        <v>27.68</v>
      </c>
      <c r="I359" s="5" t="n">
        <v>0.5</v>
      </c>
      <c r="J359" s="5" t="n">
        <f>I359*(1+$N$2)</f>
        <v>0.5</v>
      </c>
      <c r="K359" s="5" t="n">
        <f>D359*J359</f>
        <v>2</v>
      </c>
      <c r="L359" s="5"/>
      <c r="M359" s="5"/>
      <c r="N359" s="5"/>
      <c r="O359" s="5"/>
    </row>
    <row r="360">
      <c r="A360" s="1"/>
      <c r="B360" s="1" t="str">
        <v>Statut fictif 023</v>
      </c>
      <c r="C360" s="1" t="str">
        <v>HL</v>
      </c>
      <c r="D360" s="5"/>
      <c r="E360" s="5" t="n">
        <v>0</v>
      </c>
      <c r="F360" s="5" t="n">
        <v>0</v>
      </c>
      <c r="G360" s="5" t="n">
        <v>7.25</v>
      </c>
      <c r="H360" s="5" t="n">
        <v>0</v>
      </c>
      <c r="I360" s="5" t="n">
        <v>0.375</v>
      </c>
      <c r="J360" s="5" t="n">
        <v>0</v>
      </c>
      <c r="K360" s="5" t="n">
        <v>0</v>
      </c>
      <c r="L360" s="5"/>
      <c r="M360" s="5"/>
      <c r="N360" s="5"/>
      <c r="O360" s="5"/>
    </row>
    <row r="361">
      <c r="A361" s="1"/>
      <c r="B361" s="1" t="str">
        <v>Sous-total fictif 65</v>
      </c>
      <c r="C361" s="1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>
      <c r="A362" s="1"/>
      <c r="B362" s="6" t="str">
        <v>Section fictive 066</v>
      </c>
      <c r="C362" s="1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>
      <c r="A363" s="1"/>
      <c r="B363" s="1" t="str">
        <v>Ligne fictive 0185</v>
      </c>
      <c r="C363" s="1" t="str">
        <v>ml</v>
      </c>
      <c r="D363" s="5" t="n">
        <v>5</v>
      </c>
      <c r="E363" s="5" t="n">
        <f>G363*$L$2+J363*$M$2*$O$2</f>
        <v>41.977000000000004</v>
      </c>
      <c r="F363" s="5" t="n">
        <f>ROUND(D363*E363,2)</f>
        <v>209.89</v>
      </c>
      <c r="G363" s="5" t="n">
        <v>7.29</v>
      </c>
      <c r="H363" s="5" t="n">
        <f>D363*G363</f>
        <v>36.45</v>
      </c>
      <c r="I363" s="5" t="n">
        <v>0.625</v>
      </c>
      <c r="J363" s="5" t="n">
        <f>I363*(1+$N$2)</f>
        <v>0.625</v>
      </c>
      <c r="K363" s="5" t="n">
        <f>D363*J363</f>
        <v>3.125</v>
      </c>
      <c r="L363" s="5"/>
      <c r="M363" s="5"/>
      <c r="N363" s="5"/>
      <c r="O363" s="5"/>
    </row>
    <row r="364">
      <c r="A364" s="1"/>
      <c r="B364" s="1" t="str">
        <v>Ligne fictive 0186</v>
      </c>
      <c r="C364" s="1" t="str">
        <v>m2</v>
      </c>
      <c r="D364" s="5" t="n">
        <v>1</v>
      </c>
      <c r="E364" s="5" t="n">
        <f>G364*$L$2+J364*$M$2*$O$2</f>
        <v>16.458</v>
      </c>
      <c r="F364" s="5" t="n">
        <f>ROUND(D364*E364,2)</f>
        <v>16.46</v>
      </c>
      <c r="G364" s="5" t="n">
        <v>7.66</v>
      </c>
      <c r="H364" s="5" t="n">
        <f>D364*G364</f>
        <v>7.66</v>
      </c>
      <c r="I364" s="5" t="n">
        <v>0.125</v>
      </c>
      <c r="J364" s="5" t="n">
        <f>I364*(1+$N$2)</f>
        <v>0.125</v>
      </c>
      <c r="K364" s="5" t="n">
        <f>D364*J364</f>
        <v>0.125</v>
      </c>
      <c r="L364" s="5"/>
      <c r="M364" s="5"/>
      <c r="N364" s="5"/>
      <c r="O364" s="5"/>
    </row>
    <row r="365">
      <c r="A365" s="1"/>
      <c r="B365" s="1" t="str">
        <v>Ligne fictive 0187</v>
      </c>
      <c r="C365" s="1" t="str">
        <v>u</v>
      </c>
      <c r="D365" s="5" t="n">
        <v>2</v>
      </c>
      <c r="E365" s="5" t="n">
        <f>G365*$L$2+J365*$M$2*$O$2</f>
        <v>23.439</v>
      </c>
      <c r="F365" s="5" t="n">
        <f>ROUND(D365*E365,2)</f>
        <v>46.88</v>
      </c>
      <c r="G365" s="5" t="n">
        <v>8.03</v>
      </c>
      <c r="H365" s="5" t="n">
        <f>D365*G365</f>
        <v>16.06</v>
      </c>
      <c r="I365" s="5" t="n">
        <v>0.25</v>
      </c>
      <c r="J365" s="5" t="n">
        <f>I365*(1+$N$2)</f>
        <v>0.25</v>
      </c>
      <c r="K365" s="5" t="n">
        <f>D365*J365</f>
        <v>0.5</v>
      </c>
      <c r="L365" s="5"/>
      <c r="M365" s="5"/>
      <c r="N365" s="5"/>
      <c r="O365" s="5"/>
    </row>
    <row r="366">
      <c r="A366" s="1"/>
      <c r="B366" s="1" t="str">
        <v>Réserve fictive 0023</v>
      </c>
      <c r="C366" s="1" t="str">
        <v>u</v>
      </c>
      <c r="D366" s="5"/>
      <c r="E366" s="5" t="n">
        <v>0</v>
      </c>
      <c r="F366" s="5" t="n">
        <v>0</v>
      </c>
      <c r="G366" s="5" t="n">
        <v>0</v>
      </c>
      <c r="H366" s="5" t="n">
        <v>0</v>
      </c>
      <c r="I366" s="5" t="n">
        <v>0</v>
      </c>
      <c r="J366" s="5" t="n">
        <v>0</v>
      </c>
      <c r="K366" s="5" t="n">
        <v>0</v>
      </c>
      <c r="L366" s="5"/>
      <c r="M366" s="5"/>
      <c r="N366" s="5"/>
      <c r="O366" s="5"/>
    </row>
    <row r="367">
      <c r="A367" s="1"/>
      <c r="B367" s="1" t="str">
        <v>Sous-total fictif 66</v>
      </c>
      <c r="C367" s="1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>
      <c r="A368" s="1"/>
      <c r="B368" s="6" t="str">
        <v>Section fictive 067</v>
      </c>
      <c r="C368" s="1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>
      <c r="A369" s="1"/>
      <c r="B369" s="1" t="str">
        <v>Ligne fictive 0188</v>
      </c>
      <c r="C369" s="1" t="str">
        <v>ml</v>
      </c>
      <c r="D369" s="5" t="n">
        <v>3</v>
      </c>
      <c r="E369" s="5" t="n">
        <f>G369*$L$2+J369*$M$2*$O$2</f>
        <v>22.243</v>
      </c>
      <c r="F369" s="5" t="n">
        <f>ROUND(D369*E369,2)</f>
        <v>66.73</v>
      </c>
      <c r="G369" s="5" t="n">
        <v>2.11</v>
      </c>
      <c r="H369" s="5" t="n">
        <f>D369*G369</f>
        <v>6.33</v>
      </c>
      <c r="I369" s="5" t="n">
        <v>0.375</v>
      </c>
      <c r="J369" s="5" t="n">
        <f>I369*(1+$N$2)</f>
        <v>0.375</v>
      </c>
      <c r="K369" s="5" t="n">
        <f>D369*J369</f>
        <v>1.125</v>
      </c>
      <c r="L369" s="5"/>
      <c r="M369" s="5"/>
      <c r="N369" s="5"/>
      <c r="O369" s="5"/>
    </row>
    <row r="370">
      <c r="A370" s="1"/>
      <c r="B370" s="1" t="str">
        <v>Ligne fictive 0189</v>
      </c>
      <c r="C370" s="1" t="str">
        <v>m2</v>
      </c>
      <c r="D370" s="5" t="n">
        <v>4</v>
      </c>
      <c r="E370" s="5" t="n">
        <f>G370*$L$2+J370*$M$2*$O$2</f>
        <v>29.224</v>
      </c>
      <c r="F370" s="5" t="n">
        <f>ROUND(D370*E370,2)</f>
        <v>116.9</v>
      </c>
      <c r="G370" s="5" t="n">
        <v>2.48</v>
      </c>
      <c r="H370" s="5" t="n">
        <f>D370*G370</f>
        <v>9.92</v>
      </c>
      <c r="I370" s="5" t="n">
        <v>0.5</v>
      </c>
      <c r="J370" s="5" t="n">
        <f>I370*(1+$N$2)</f>
        <v>0.5</v>
      </c>
      <c r="K370" s="5" t="n">
        <f>D370*J370</f>
        <v>2</v>
      </c>
      <c r="L370" s="5"/>
      <c r="M370" s="5"/>
      <c r="N370" s="5"/>
      <c r="O370" s="5"/>
    </row>
    <row r="371">
      <c r="A371" s="1"/>
      <c r="B371" s="1" t="str">
        <v>Ligne fictive 0190</v>
      </c>
      <c r="C371" s="1" t="str">
        <v>u</v>
      </c>
      <c r="D371" s="5" t="n">
        <v>5</v>
      </c>
      <c r="E371" s="5" t="n">
        <f>G371*$L$2+J371*$M$2*$O$2</f>
        <v>36.205</v>
      </c>
      <c r="F371" s="5" t="n">
        <f>ROUND(D371*E371,2)</f>
        <v>181.02</v>
      </c>
      <c r="G371" s="5" t="n">
        <v>2.85</v>
      </c>
      <c r="H371" s="5" t="n">
        <f>D371*G371</f>
        <v>14.25</v>
      </c>
      <c r="I371" s="5" t="n">
        <v>0.625</v>
      </c>
      <c r="J371" s="5" t="n">
        <f>I371*(1+$N$2)</f>
        <v>0.625</v>
      </c>
      <c r="K371" s="5" t="n">
        <f>D371*J371</f>
        <v>3.125</v>
      </c>
      <c r="L371" s="5"/>
      <c r="M371" s="5"/>
      <c r="N371" s="5"/>
      <c r="O371" s="5"/>
    </row>
    <row r="372">
      <c r="A372" s="1"/>
      <c r="B372" s="1" t="str">
        <v>Sous-total fictif 67</v>
      </c>
      <c r="C372" s="1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>
      <c r="A373" s="1"/>
      <c r="B373" s="6" t="str">
        <v>Section fictive 068</v>
      </c>
      <c r="C373" s="1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>
      <c r="A374" s="1"/>
      <c r="B374" s="1" t="str">
        <v>Ligne fictive 0191</v>
      </c>
      <c r="C374" s="1" t="str">
        <v>ml</v>
      </c>
      <c r="D374" s="5" t="n">
        <v>1</v>
      </c>
      <c r="E374" s="5" t="n">
        <f>G374*$L$2+J374*$M$2*$O$2</f>
        <v>10.686</v>
      </c>
      <c r="F374" s="5" t="n">
        <f>ROUND(D374*E374,2)</f>
        <v>10.69</v>
      </c>
      <c r="G374" s="5" t="n">
        <v>3.22</v>
      </c>
      <c r="H374" s="5" t="n">
        <f>D374*G374</f>
        <v>3.22</v>
      </c>
      <c r="I374" s="5" t="n">
        <v>0.125</v>
      </c>
      <c r="J374" s="5" t="n">
        <f>I374*(1+$N$2)</f>
        <v>0.125</v>
      </c>
      <c r="K374" s="5" t="n">
        <f>D374*J374</f>
        <v>0.125</v>
      </c>
      <c r="L374" s="5"/>
      <c r="M374" s="5"/>
      <c r="N374" s="5"/>
      <c r="O374" s="5"/>
    </row>
    <row r="375">
      <c r="A375" s="1"/>
      <c r="B375" s="1" t="str">
        <v>Ligne fictive 0192</v>
      </c>
      <c r="C375" s="1" t="str">
        <v>m2</v>
      </c>
      <c r="D375" s="5" t="n">
        <v>2</v>
      </c>
      <c r="E375" s="5" t="n">
        <f>G375*$L$2+J375*$M$2*$O$2</f>
        <v>17.667</v>
      </c>
      <c r="F375" s="5" t="n">
        <f>ROUND(D375*E375,2)</f>
        <v>35.33</v>
      </c>
      <c r="G375" s="5" t="n">
        <v>3.59</v>
      </c>
      <c r="H375" s="5" t="n">
        <f>D375*G375</f>
        <v>7.18</v>
      </c>
      <c r="I375" s="5" t="n">
        <v>0.25</v>
      </c>
      <c r="J375" s="5" t="n">
        <f>I375*(1+$N$2)</f>
        <v>0.25</v>
      </c>
      <c r="K375" s="5" t="n">
        <f>D375*J375</f>
        <v>0.5</v>
      </c>
      <c r="L375" s="5"/>
      <c r="M375" s="5"/>
      <c r="N375" s="5"/>
      <c r="O375" s="5"/>
    </row>
    <row r="376">
      <c r="A376" s="1"/>
      <c r="B376" s="1" t="str">
        <v>Ligne fictive 0193</v>
      </c>
      <c r="C376" s="1" t="str">
        <v>u</v>
      </c>
      <c r="D376" s="5" t="n">
        <v>3</v>
      </c>
      <c r="E376" s="5" t="n">
        <f>G376*$L$2+J376*$M$2*$O$2</f>
        <v>24.648</v>
      </c>
      <c r="F376" s="5" t="n">
        <f>ROUND(D376*E376,2)</f>
        <v>73.94</v>
      </c>
      <c r="G376" s="5" t="n">
        <v>3.96</v>
      </c>
      <c r="H376" s="5" t="n">
        <f>D376*G376</f>
        <v>11.879999999999999</v>
      </c>
      <c r="I376" s="5" t="n">
        <v>0.375</v>
      </c>
      <c r="J376" s="5" t="n">
        <f>I376*(1+$N$2)</f>
        <v>0.375</v>
      </c>
      <c r="K376" s="5" t="n">
        <f>D376*J376</f>
        <v>1.125</v>
      </c>
      <c r="L376" s="5"/>
      <c r="M376" s="5"/>
      <c r="N376" s="5"/>
      <c r="O376" s="5"/>
    </row>
    <row r="377">
      <c r="A377" s="1"/>
      <c r="B377" s="1" t="str">
        <v>Statut fictif 024</v>
      </c>
      <c r="C377" s="1" t="str">
        <v>HL</v>
      </c>
      <c r="D377" s="5"/>
      <c r="E377" s="5" t="n">
        <v>0</v>
      </c>
      <c r="F377" s="5" t="n">
        <v>0</v>
      </c>
      <c r="G377" s="5" t="n">
        <v>7.25</v>
      </c>
      <c r="H377" s="5" t="n">
        <v>0</v>
      </c>
      <c r="I377" s="5" t="n">
        <v>0.375</v>
      </c>
      <c r="J377" s="5" t="n">
        <v>0</v>
      </c>
      <c r="K377" s="5" t="n">
        <v>0</v>
      </c>
      <c r="L377" s="5"/>
      <c r="M377" s="5"/>
      <c r="N377" s="5"/>
      <c r="O377" s="5"/>
    </row>
    <row r="378">
      <c r="A378" s="1"/>
      <c r="B378" s="1" t="str">
        <v>Sous-total fictif 68</v>
      </c>
      <c r="C378" s="1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>
      <c r="A379" s="1"/>
      <c r="B379" s="6" t="str">
        <v>Section fictive 069</v>
      </c>
      <c r="C379" s="1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>
      <c r="A380" s="1"/>
      <c r="B380" s="1" t="str">
        <v>Ligne fictive 0194</v>
      </c>
      <c r="C380" s="1" t="str">
        <v>ml</v>
      </c>
      <c r="D380" s="5" t="n">
        <v>4</v>
      </c>
      <c r="E380" s="5" t="n">
        <f>G380*$L$2+J380*$M$2*$O$2</f>
        <v>31.629</v>
      </c>
      <c r="F380" s="5" t="n">
        <f>ROUND(D380*E380,2)</f>
        <v>126.52</v>
      </c>
      <c r="G380" s="5" t="n">
        <v>4.33</v>
      </c>
      <c r="H380" s="5" t="n">
        <f>D380*G380</f>
        <v>17.32</v>
      </c>
      <c r="I380" s="5" t="n">
        <v>0.5</v>
      </c>
      <c r="J380" s="5" t="n">
        <f>I380*(1+$N$2)</f>
        <v>0.5</v>
      </c>
      <c r="K380" s="5" t="n">
        <f>D380*J380</f>
        <v>2</v>
      </c>
      <c r="L380" s="5"/>
      <c r="M380" s="5"/>
      <c r="N380" s="5"/>
      <c r="O380" s="5"/>
    </row>
    <row r="381">
      <c r="A381" s="1"/>
      <c r="B381" s="1" t="str">
        <v>Ligne fictive 0195</v>
      </c>
      <c r="C381" s="1" t="str">
        <v>m2</v>
      </c>
      <c r="D381" s="5" t="n">
        <v>5</v>
      </c>
      <c r="E381" s="5" t="n">
        <f>G381*$L$2+J381*$M$2*$O$2</f>
        <v>38.61</v>
      </c>
      <c r="F381" s="5" t="n">
        <f>ROUND(D381*E381,2)</f>
        <v>193.05</v>
      </c>
      <c r="G381" s="5" t="n">
        <v>4.7</v>
      </c>
      <c r="H381" s="5" t="n">
        <f>D381*G381</f>
        <v>23.5</v>
      </c>
      <c r="I381" s="5" t="n">
        <v>0.625</v>
      </c>
      <c r="J381" s="5" t="n">
        <f>I381*(1+$N$2)</f>
        <v>0.625</v>
      </c>
      <c r="K381" s="5" t="n">
        <f>D381*J381</f>
        <v>3.125</v>
      </c>
      <c r="L381" s="5"/>
      <c r="M381" s="5"/>
      <c r="N381" s="5"/>
      <c r="O381" s="5"/>
    </row>
    <row r="382">
      <c r="A382" s="1"/>
      <c r="B382" s="1" t="str">
        <v>Réserve fictive 0024</v>
      </c>
      <c r="C382" s="1" t="str">
        <v>u</v>
      </c>
      <c r="D382" s="5"/>
      <c r="E382" s="5" t="n">
        <v>0</v>
      </c>
      <c r="F382" s="5" t="n">
        <v>0</v>
      </c>
      <c r="G382" s="5" t="n">
        <v>0</v>
      </c>
      <c r="H382" s="5" t="n">
        <v>0</v>
      </c>
      <c r="I382" s="5" t="n">
        <v>0</v>
      </c>
      <c r="J382" s="5" t="n">
        <v>0</v>
      </c>
      <c r="K382" s="5" t="n">
        <v>0</v>
      </c>
      <c r="L382" s="5"/>
      <c r="M382" s="5"/>
      <c r="N382" s="5"/>
      <c r="O382" s="5"/>
    </row>
    <row r="383">
      <c r="A383" s="1"/>
      <c r="B383" s="1" t="str">
        <v>Sous-total fictif 69</v>
      </c>
      <c r="C383" s="1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>
      <c r="A384" s="1"/>
      <c r="B384" s="6" t="str">
        <v>Section fictive 070</v>
      </c>
      <c r="C384" s="1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>
      <c r="A385" s="1"/>
      <c r="B385" s="1" t="str">
        <v>Ligne fictive 0196</v>
      </c>
      <c r="C385" s="1" t="str">
        <v>u</v>
      </c>
      <c r="D385" s="5" t="n">
        <v>1</v>
      </c>
      <c r="E385" s="5" t="n">
        <f>G385*$L$2+J385*$M$2*$O$2</f>
        <v>13.091000000000001</v>
      </c>
      <c r="F385" s="5" t="n">
        <f>ROUND(D385*E385,2)</f>
        <v>13.09</v>
      </c>
      <c r="G385" s="5" t="n">
        <v>5.07</v>
      </c>
      <c r="H385" s="5" t="n">
        <f>D385*G385</f>
        <v>5.07</v>
      </c>
      <c r="I385" s="5" t="n">
        <v>0.125</v>
      </c>
      <c r="J385" s="5" t="n">
        <f>I385*(1+$N$2)</f>
        <v>0.125</v>
      </c>
      <c r="K385" s="5" t="n">
        <f>D385*J385</f>
        <v>0.125</v>
      </c>
      <c r="L385" s="5"/>
      <c r="M385" s="5"/>
      <c r="N385" s="5"/>
      <c r="O385" s="5"/>
    </row>
    <row r="386">
      <c r="A386" s="1"/>
      <c r="B386" s="1" t="str">
        <v>Ligne fictive 0197</v>
      </c>
      <c r="C386" s="1" t="str">
        <v>ml</v>
      </c>
      <c r="D386" s="5" t="n">
        <v>2</v>
      </c>
      <c r="E386" s="5" t="n">
        <f>G386*$L$2+J386*$M$2*$O$2</f>
        <v>20.072000000000003</v>
      </c>
      <c r="F386" s="5" t="n">
        <f>ROUND(D386*E386,2)</f>
        <v>40.14</v>
      </c>
      <c r="G386" s="5" t="n">
        <v>5.44</v>
      </c>
      <c r="H386" s="5" t="n">
        <f>D386*G386</f>
        <v>10.88</v>
      </c>
      <c r="I386" s="5" t="n">
        <v>0.25</v>
      </c>
      <c r="J386" s="5" t="n">
        <f>I386*(1+$N$2)</f>
        <v>0.25</v>
      </c>
      <c r="K386" s="5" t="n">
        <f>D386*J386</f>
        <v>0.5</v>
      </c>
      <c r="L386" s="5"/>
      <c r="M386" s="5"/>
      <c r="N386" s="5"/>
      <c r="O386" s="5"/>
    </row>
    <row r="387">
      <c r="A387" s="1"/>
      <c r="B387" s="1" t="str">
        <v>Ligne fictive 0198</v>
      </c>
      <c r="C387" s="1" t="str">
        <v>m2</v>
      </c>
      <c r="D387" s="5" t="n">
        <v>3</v>
      </c>
      <c r="E387" s="5" t="n">
        <f>G387*$L$2+J387*$M$2*$O$2</f>
        <v>27.053</v>
      </c>
      <c r="F387" s="5" t="n">
        <f>ROUND(D387*E387,2)</f>
        <v>81.16</v>
      </c>
      <c r="G387" s="5" t="n">
        <v>5.81</v>
      </c>
      <c r="H387" s="5" t="n">
        <f>D387*G387</f>
        <v>17.43</v>
      </c>
      <c r="I387" s="5" t="n">
        <v>0.375</v>
      </c>
      <c r="J387" s="5" t="n">
        <f>I387*(1+$N$2)</f>
        <v>0.375</v>
      </c>
      <c r="K387" s="5" t="n">
        <f>D387*J387</f>
        <v>1.125</v>
      </c>
      <c r="L387" s="5"/>
      <c r="M387" s="5"/>
      <c r="N387" s="5"/>
      <c r="O387" s="5"/>
    </row>
    <row r="388">
      <c r="A388" s="1"/>
      <c r="B388" s="1" t="str">
        <v>Sous-total fictif 70</v>
      </c>
      <c r="C388" s="1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>
      <c r="A389" s="1"/>
      <c r="B389" s="6" t="str">
        <v>Section fictive 071</v>
      </c>
      <c r="C389" s="1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>
      <c r="A390" s="1"/>
      <c r="B390" s="1" t="str">
        <v>Ligne fictive 0199</v>
      </c>
      <c r="C390" s="1" t="str">
        <v>u</v>
      </c>
      <c r="D390" s="5" t="n">
        <v>4</v>
      </c>
      <c r="E390" s="5" t="n">
        <f>G390*$L$2+J390*$M$2*$O$2</f>
        <v>34.034</v>
      </c>
      <c r="F390" s="5" t="n">
        <f>ROUND(D390*E390,2)</f>
        <v>136.14</v>
      </c>
      <c r="G390" s="5" t="n">
        <v>6.18</v>
      </c>
      <c r="H390" s="5" t="n">
        <f>D390*G390</f>
        <v>24.72</v>
      </c>
      <c r="I390" s="5" t="n">
        <v>0.5</v>
      </c>
      <c r="J390" s="5" t="n">
        <f>I390*(1+$N$2)</f>
        <v>0.5</v>
      </c>
      <c r="K390" s="5" t="n">
        <f>D390*J390</f>
        <v>2</v>
      </c>
      <c r="L390" s="5"/>
      <c r="M390" s="5"/>
      <c r="N390" s="5"/>
      <c r="O390" s="5"/>
    </row>
    <row r="391">
      <c r="A391" s="1"/>
      <c r="B391" s="1" t="str">
        <v>Ligne fictive 0200</v>
      </c>
      <c r="C391" s="1" t="str">
        <v>ml</v>
      </c>
      <c r="D391" s="5" t="n">
        <v>5</v>
      </c>
      <c r="E391" s="5" t="n">
        <f>G391*$L$2+J391*$M$2*$O$2</f>
        <v>41.015</v>
      </c>
      <c r="F391" s="5" t="n">
        <f>ROUND(D391*E391,2)</f>
        <v>205.08</v>
      </c>
      <c r="G391" s="5" t="n">
        <v>6.55</v>
      </c>
      <c r="H391" s="5" t="n">
        <f>D391*G391</f>
        <v>32.75</v>
      </c>
      <c r="I391" s="5" t="n">
        <v>0.625</v>
      </c>
      <c r="J391" s="5" t="n">
        <f>I391*(1+$N$2)</f>
        <v>0.625</v>
      </c>
      <c r="K391" s="5" t="n">
        <f>D391*J391</f>
        <v>3.125</v>
      </c>
      <c r="L391" s="5"/>
      <c r="M391" s="5"/>
      <c r="N391" s="5"/>
      <c r="O391" s="5"/>
    </row>
    <row r="392">
      <c r="A392" s="1"/>
      <c r="B392" s="1" t="str">
        <v>Ligne fictive 0201</v>
      </c>
      <c r="C392" s="1" t="str">
        <v>m2</v>
      </c>
      <c r="D392" s="5" t="n">
        <v>1</v>
      </c>
      <c r="E392" s="5" t="n">
        <f>G392*$L$2+J392*$M$2*$O$2</f>
        <v>15.496</v>
      </c>
      <c r="F392" s="5" t="n">
        <f>ROUND(D392*E392,2)</f>
        <v>15.5</v>
      </c>
      <c r="G392" s="5" t="n">
        <v>6.92</v>
      </c>
      <c r="H392" s="5" t="n">
        <f>D392*G392</f>
        <v>6.92</v>
      </c>
      <c r="I392" s="5" t="n">
        <v>0.125</v>
      </c>
      <c r="J392" s="5" t="n">
        <f>I392*(1+$N$2)</f>
        <v>0.125</v>
      </c>
      <c r="K392" s="5" t="n">
        <f>D392*J392</f>
        <v>0.125</v>
      </c>
      <c r="L392" s="5"/>
      <c r="M392" s="5"/>
      <c r="N392" s="5"/>
      <c r="O392" s="5"/>
    </row>
    <row r="393">
      <c r="A393" s="1"/>
      <c r="B393" s="1" t="str">
        <v>Statut fictif 025</v>
      </c>
      <c r="C393" s="1" t="str">
        <v>HL</v>
      </c>
      <c r="D393" s="5" t="n">
        <v>1</v>
      </c>
      <c r="E393" s="5" t="n">
        <v>0</v>
      </c>
      <c r="F393" s="5" t="n">
        <v>0</v>
      </c>
      <c r="G393" s="5" t="n">
        <v>7.25</v>
      </c>
      <c r="H393" s="5" t="n">
        <v>0</v>
      </c>
      <c r="I393" s="5" t="n">
        <v>0.375</v>
      </c>
      <c r="J393" s="5" t="n">
        <v>0</v>
      </c>
      <c r="K393" s="5" t="n">
        <v>0</v>
      </c>
      <c r="L393" s="5"/>
      <c r="M393" s="5"/>
      <c r="N393" s="5"/>
      <c r="O393" s="5"/>
    </row>
    <row r="394">
      <c r="A394" s="1"/>
      <c r="B394" s="1" t="str">
        <v>Sous-total fictif 71</v>
      </c>
      <c r="C394" s="1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>
      <c r="A395" s="1"/>
      <c r="B395" s="6" t="str">
        <v>Section fictive 072</v>
      </c>
      <c r="C395" s="1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>
      <c r="A396" s="1"/>
      <c r="B396" s="1" t="str">
        <v>Ligne fictive 0202</v>
      </c>
      <c r="C396" s="1" t="str">
        <v>u</v>
      </c>
      <c r="D396" s="5" t="n">
        <v>2</v>
      </c>
      <c r="E396" s="5" t="n">
        <f>G396*$L$2+J396*$M$2*$O$2</f>
        <v>22.477</v>
      </c>
      <c r="F396" s="5" t="n">
        <f>ROUND(D396*E396,2)</f>
        <v>44.95</v>
      </c>
      <c r="G396" s="5" t="n">
        <v>7.29</v>
      </c>
      <c r="H396" s="5" t="n">
        <f>D396*G396</f>
        <v>14.58</v>
      </c>
      <c r="I396" s="5" t="n">
        <v>0.25</v>
      </c>
      <c r="J396" s="5" t="n">
        <f>I396*(1+$N$2)</f>
        <v>0.25</v>
      </c>
      <c r="K396" s="5" t="n">
        <f>D396*J396</f>
        <v>0.5</v>
      </c>
      <c r="L396" s="5"/>
      <c r="M396" s="5"/>
      <c r="N396" s="5"/>
      <c r="O396" s="5"/>
    </row>
    <row r="397">
      <c r="A397" s="1"/>
      <c r="B397" s="1" t="str">
        <v>Ligne fictive 0203</v>
      </c>
      <c r="C397" s="1" t="str">
        <v>ml</v>
      </c>
      <c r="D397" s="5" t="n">
        <v>3</v>
      </c>
      <c r="E397" s="5" t="n">
        <f>G397*$L$2+J397*$M$2*$O$2</f>
        <v>29.458</v>
      </c>
      <c r="F397" s="5" t="n">
        <f>ROUND(D397*E397,2)</f>
        <v>88.37</v>
      </c>
      <c r="G397" s="5" t="n">
        <v>7.66</v>
      </c>
      <c r="H397" s="5" t="n">
        <f>D397*G397</f>
        <v>22.98</v>
      </c>
      <c r="I397" s="5" t="n">
        <v>0.375</v>
      </c>
      <c r="J397" s="5" t="n">
        <f>I397*(1+$N$2)</f>
        <v>0.375</v>
      </c>
      <c r="K397" s="5" t="n">
        <f>D397*J397</f>
        <v>1.125</v>
      </c>
      <c r="L397" s="5"/>
      <c r="M397" s="5"/>
      <c r="N397" s="5"/>
      <c r="O397" s="5"/>
    </row>
    <row r="398">
      <c r="A398" s="1"/>
      <c r="B398" s="1" t="str">
        <v>Ligne fictive 0204</v>
      </c>
      <c r="C398" s="1" t="str">
        <v>m2</v>
      </c>
      <c r="D398" s="5" t="n">
        <v>4</v>
      </c>
      <c r="E398" s="5" t="n">
        <f>G398*$L$2+J398*$M$2*$O$2</f>
        <v>36.439</v>
      </c>
      <c r="F398" s="5" t="n">
        <f>ROUND(D398*E398,2)</f>
        <v>145.76</v>
      </c>
      <c r="G398" s="5" t="n">
        <v>8.03</v>
      </c>
      <c r="H398" s="5" t="n">
        <f>D398*G398</f>
        <v>32.12</v>
      </c>
      <c r="I398" s="5" t="n">
        <v>0.5</v>
      </c>
      <c r="J398" s="5" t="n">
        <f>I398*(1+$N$2)</f>
        <v>0.5</v>
      </c>
      <c r="K398" s="5" t="n">
        <f>D398*J398</f>
        <v>2</v>
      </c>
      <c r="L398" s="5"/>
      <c r="M398" s="5"/>
      <c r="N398" s="5"/>
      <c r="O398" s="5"/>
    </row>
    <row r="399">
      <c r="A399" s="1"/>
      <c r="B399" s="1" t="str">
        <v>Réserve fictive 0025</v>
      </c>
      <c r="C399" s="1" t="str">
        <v>u</v>
      </c>
      <c r="D399" s="5"/>
      <c r="E399" s="5" t="n">
        <v>0</v>
      </c>
      <c r="F399" s="5" t="n">
        <v>0</v>
      </c>
      <c r="G399" s="5" t="n">
        <v>0</v>
      </c>
      <c r="H399" s="5" t="n">
        <v>0</v>
      </c>
      <c r="I399" s="5" t="n">
        <v>0</v>
      </c>
      <c r="J399" s="5" t="n">
        <v>0</v>
      </c>
      <c r="K399" s="5" t="n">
        <v>0</v>
      </c>
      <c r="L399" s="5"/>
      <c r="M399" s="5"/>
      <c r="N399" s="5"/>
      <c r="O399" s="5"/>
    </row>
    <row r="400">
      <c r="A400" s="1"/>
      <c r="B400" s="1" t="str">
        <v>Sous-total fictif 72</v>
      </c>
      <c r="C400" s="1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>
      <c r="A401" s="1"/>
      <c r="B401" s="6" t="str">
        <v>Section fictive 073</v>
      </c>
      <c r="C401" s="1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>
      <c r="A402" s="1"/>
      <c r="B402" s="1" t="str">
        <v>Ligne fictive 0205</v>
      </c>
      <c r="C402" s="1" t="str">
        <v>u</v>
      </c>
      <c r="D402" s="5" t="n">
        <v>5</v>
      </c>
      <c r="E402" s="5" t="n">
        <f>G402*$L$2+J402*$M$2*$O$2</f>
        <v>35.243</v>
      </c>
      <c r="F402" s="5" t="n">
        <f>ROUND(D402*E402,2)</f>
        <v>176.22</v>
      </c>
      <c r="G402" s="5" t="n">
        <v>2.11</v>
      </c>
      <c r="H402" s="5" t="n">
        <f>D402*G402</f>
        <v>10.549999999999999</v>
      </c>
      <c r="I402" s="5" t="n">
        <v>0.625</v>
      </c>
      <c r="J402" s="5" t="n">
        <f>I402*(1+$N$2)</f>
        <v>0.625</v>
      </c>
      <c r="K402" s="5" t="n">
        <f>D402*J402</f>
        <v>3.125</v>
      </c>
      <c r="L402" s="5"/>
      <c r="M402" s="5"/>
      <c r="N402" s="5"/>
      <c r="O402" s="5"/>
    </row>
    <row r="403">
      <c r="A403" s="1"/>
      <c r="B403" s="1" t="str">
        <v>Ligne fictive 0206</v>
      </c>
      <c r="C403" s="1" t="str">
        <v>ml</v>
      </c>
      <c r="D403" s="5" t="n">
        <v>1</v>
      </c>
      <c r="E403" s="5" t="n">
        <f>G403*$L$2+J403*$M$2*$O$2</f>
        <v>9.724</v>
      </c>
      <c r="F403" s="5" t="n">
        <f>ROUND(D403*E403,2)</f>
        <v>9.72</v>
      </c>
      <c r="G403" s="5" t="n">
        <v>2.48</v>
      </c>
      <c r="H403" s="5" t="n">
        <f>D403*G403</f>
        <v>2.48</v>
      </c>
      <c r="I403" s="5" t="n">
        <v>0.125</v>
      </c>
      <c r="J403" s="5" t="n">
        <f>I403*(1+$N$2)</f>
        <v>0.125</v>
      </c>
      <c r="K403" s="5" t="n">
        <f>D403*J403</f>
        <v>0.125</v>
      </c>
      <c r="L403" s="5"/>
      <c r="M403" s="5"/>
      <c r="N403" s="5"/>
      <c r="O403" s="5"/>
    </row>
    <row r="404">
      <c r="A404" s="1"/>
      <c r="B404" s="1" t="str">
        <v>Ligne fictive 0207</v>
      </c>
      <c r="C404" s="1" t="str">
        <v>m2</v>
      </c>
      <c r="D404" s="5" t="n">
        <v>2</v>
      </c>
      <c r="E404" s="5" t="n">
        <f>G404*$L$2+J404*$M$2*$O$2</f>
        <v>16.705</v>
      </c>
      <c r="F404" s="5" t="n">
        <f>ROUND(D404*E404,2)</f>
        <v>33.41</v>
      </c>
      <c r="G404" s="5" t="n">
        <v>2.85</v>
      </c>
      <c r="H404" s="5" t="n">
        <f>D404*G404</f>
        <v>5.7</v>
      </c>
      <c r="I404" s="5" t="n">
        <v>0.25</v>
      </c>
      <c r="J404" s="5" t="n">
        <f>I404*(1+$N$2)</f>
        <v>0.25</v>
      </c>
      <c r="K404" s="5" t="n">
        <f>D404*J404</f>
        <v>0.5</v>
      </c>
      <c r="L404" s="5"/>
      <c r="M404" s="5"/>
      <c r="N404" s="5"/>
      <c r="O404" s="5"/>
    </row>
    <row r="405">
      <c r="A405" s="1"/>
      <c r="B405" s="1" t="str">
        <v>Sous-total fictif 73</v>
      </c>
      <c r="C405" s="1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>
      <c r="A406" s="1"/>
      <c r="B406" s="6" t="str">
        <v>Section fictive 074</v>
      </c>
      <c r="C406" s="1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>
      <c r="A407" s="1"/>
      <c r="B407" s="1" t="str">
        <v>Ligne fictive 0208</v>
      </c>
      <c r="C407" s="1" t="str">
        <v>u</v>
      </c>
      <c r="D407" s="5" t="n">
        <v>3</v>
      </c>
      <c r="E407" s="5" t="n">
        <f>G407*$L$2+J407*$M$2*$O$2</f>
        <v>23.686</v>
      </c>
      <c r="F407" s="5" t="n">
        <f>ROUND(D407*E407,2)</f>
        <v>71.06</v>
      </c>
      <c r="G407" s="5" t="n">
        <v>3.22</v>
      </c>
      <c r="H407" s="5" t="n">
        <f>D407*G407</f>
        <v>9.66</v>
      </c>
      <c r="I407" s="5" t="n">
        <v>0.375</v>
      </c>
      <c r="J407" s="5" t="n">
        <f>I407*(1+$N$2)</f>
        <v>0.375</v>
      </c>
      <c r="K407" s="5" t="n">
        <f>D407*J407</f>
        <v>1.125</v>
      </c>
      <c r="L407" s="5"/>
      <c r="M407" s="5"/>
      <c r="N407" s="5"/>
      <c r="O407" s="5"/>
    </row>
    <row r="408">
      <c r="A408" s="1"/>
      <c r="B408" s="1" t="str">
        <v>Ligne fictive 0209</v>
      </c>
      <c r="C408" s="1" t="str">
        <v>ml</v>
      </c>
      <c r="D408" s="5" t="n">
        <v>4</v>
      </c>
      <c r="E408" s="5" t="n">
        <f>G408*$L$2+J408*$M$2*$O$2</f>
        <v>30.667</v>
      </c>
      <c r="F408" s="5" t="n">
        <f>ROUND(D408*E408,2)</f>
        <v>122.67</v>
      </c>
      <c r="G408" s="5" t="n">
        <v>3.59</v>
      </c>
      <c r="H408" s="5" t="n">
        <f>D408*G408</f>
        <v>14.36</v>
      </c>
      <c r="I408" s="5" t="n">
        <v>0.5</v>
      </c>
      <c r="J408" s="5" t="n">
        <f>I408*(1+$N$2)</f>
        <v>0.5</v>
      </c>
      <c r="K408" s="5" t="n">
        <f>D408*J408</f>
        <v>2</v>
      </c>
      <c r="L408" s="5"/>
      <c r="M408" s="5"/>
      <c r="N408" s="5"/>
      <c r="O408" s="5"/>
    </row>
    <row r="409">
      <c r="A409" s="1"/>
      <c r="B409" s="1" t="str">
        <v>Ligne fictive 0210</v>
      </c>
      <c r="C409" s="1" t="str">
        <v>m2</v>
      </c>
      <c r="D409" s="5" t="n">
        <v>5</v>
      </c>
      <c r="E409" s="5" t="n">
        <f>G409*$L$2+J409*$M$2*$O$2</f>
        <v>37.647999999999996</v>
      </c>
      <c r="F409" s="5" t="n">
        <f>ROUND(D409*E409,2)</f>
        <v>188.24</v>
      </c>
      <c r="G409" s="5" t="n">
        <v>3.96</v>
      </c>
      <c r="H409" s="5" t="n">
        <f>D409*G409</f>
        <v>19.8</v>
      </c>
      <c r="I409" s="5" t="n">
        <v>0.625</v>
      </c>
      <c r="J409" s="5" t="n">
        <f>I409*(1+$N$2)</f>
        <v>0.625</v>
      </c>
      <c r="K409" s="5" t="n">
        <f>D409*J409</f>
        <v>3.125</v>
      </c>
      <c r="L409" s="5"/>
      <c r="M409" s="5"/>
      <c r="N409" s="5"/>
      <c r="O409" s="5"/>
    </row>
    <row r="410">
      <c r="A410" s="1"/>
      <c r="B410" s="1" t="str">
        <v>Statut fictif 026</v>
      </c>
      <c r="C410" s="1" t="str">
        <v>HL</v>
      </c>
      <c r="D410" s="5" t="n">
        <v>2</v>
      </c>
      <c r="E410" s="5" t="n">
        <v>0</v>
      </c>
      <c r="F410" s="5" t="n">
        <v>0</v>
      </c>
      <c r="G410" s="5" t="n">
        <v>7.25</v>
      </c>
      <c r="H410" s="5" t="n">
        <v>0</v>
      </c>
      <c r="I410" s="5" t="n">
        <v>0.375</v>
      </c>
      <c r="J410" s="5" t="n">
        <v>0</v>
      </c>
      <c r="K410" s="5" t="n">
        <v>0</v>
      </c>
      <c r="L410" s="5"/>
      <c r="M410" s="5"/>
      <c r="N410" s="5"/>
      <c r="O410" s="5"/>
    </row>
    <row r="411">
      <c r="A411" s="1"/>
      <c r="B411" s="1" t="str">
        <v>Sous-total fictif 74</v>
      </c>
      <c r="C411" s="1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>
      <c r="A412" s="1"/>
      <c r="B412" s="6" t="str">
        <v>Section fictive 075</v>
      </c>
      <c r="C412" s="1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>
      <c r="A413" s="1"/>
      <c r="B413" s="1" t="str">
        <v>Ligne fictive 0211</v>
      </c>
      <c r="C413" s="1" t="str">
        <v>u</v>
      </c>
      <c r="D413" s="5" t="n">
        <v>1</v>
      </c>
      <c r="E413" s="5" t="n">
        <f>G413*$L$2+J413*$M$2*$O$2</f>
        <v>12.129000000000001</v>
      </c>
      <c r="F413" s="5" t="n">
        <f>ROUND(D413*E413,2)</f>
        <v>12.13</v>
      </c>
      <c r="G413" s="5" t="n">
        <v>4.33</v>
      </c>
      <c r="H413" s="5" t="n">
        <f>D413*G413</f>
        <v>4.33</v>
      </c>
      <c r="I413" s="5" t="n">
        <v>0.125</v>
      </c>
      <c r="J413" s="5" t="n">
        <f>I413*(1+$N$2)</f>
        <v>0.125</v>
      </c>
      <c r="K413" s="5" t="n">
        <f>D413*J413</f>
        <v>0.125</v>
      </c>
      <c r="L413" s="5"/>
      <c r="M413" s="5"/>
      <c r="N413" s="5"/>
      <c r="O413" s="5"/>
    </row>
    <row r="414">
      <c r="A414" s="1"/>
      <c r="B414" s="1" t="str">
        <v>Ligne fictive 0212</v>
      </c>
      <c r="C414" s="1" t="str">
        <v>ml</v>
      </c>
      <c r="D414" s="5" t="n">
        <v>2</v>
      </c>
      <c r="E414" s="5" t="n">
        <f>G414*$L$2+J414*$M$2*$O$2</f>
        <v>19.11</v>
      </c>
      <c r="F414" s="5" t="n">
        <f>ROUND(D414*E414,2)</f>
        <v>38.22</v>
      </c>
      <c r="G414" s="5" t="n">
        <v>4.7</v>
      </c>
      <c r="H414" s="5" t="n">
        <f>D414*G414</f>
        <v>9.4</v>
      </c>
      <c r="I414" s="5" t="n">
        <v>0.25</v>
      </c>
      <c r="J414" s="5" t="n">
        <f>I414*(1+$N$2)</f>
        <v>0.25</v>
      </c>
      <c r="K414" s="5" t="n">
        <f>D414*J414</f>
        <v>0.5</v>
      </c>
      <c r="L414" s="5"/>
      <c r="M414" s="5"/>
      <c r="N414" s="5"/>
      <c r="O414" s="5"/>
    </row>
    <row r="415">
      <c r="A415" s="1"/>
      <c r="B415" s="1" t="str">
        <v>Réserve fictive 0026</v>
      </c>
      <c r="C415" s="1" t="str">
        <v>u</v>
      </c>
      <c r="D415" s="5"/>
      <c r="E415" s="5" t="n">
        <v>0</v>
      </c>
      <c r="F415" s="5" t="n">
        <v>0</v>
      </c>
      <c r="G415" s="5" t="n">
        <v>0</v>
      </c>
      <c r="H415" s="5" t="n">
        <v>0</v>
      </c>
      <c r="I415" s="5" t="n">
        <v>0</v>
      </c>
      <c r="J415" s="5" t="n">
        <v>0</v>
      </c>
      <c r="K415" s="5" t="n">
        <v>0</v>
      </c>
      <c r="L415" s="5"/>
      <c r="M415" s="5"/>
      <c r="N415" s="5"/>
      <c r="O415" s="5"/>
    </row>
    <row r="416">
      <c r="A416" s="1"/>
      <c r="B416" s="1" t="str">
        <v>Sous-total fictif 75</v>
      </c>
      <c r="C416" s="1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>
      <c r="A417" s="1"/>
      <c r="B417" s="6" t="str">
        <v>Section fictive 076</v>
      </c>
      <c r="C417" s="1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>
      <c r="A418" s="1"/>
      <c r="B418" s="1" t="str">
        <v>Ligne fictive 0213</v>
      </c>
      <c r="C418" s="1" t="str">
        <v>m2</v>
      </c>
      <c r="D418" s="5" t="n">
        <v>3</v>
      </c>
      <c r="E418" s="5" t="n">
        <f>G418*$L$2+J418*$M$2*$O$2</f>
        <v>26.091</v>
      </c>
      <c r="F418" s="5" t="n">
        <f>ROUND(D418*E418,2)</f>
        <v>78.27</v>
      </c>
      <c r="G418" s="5" t="n">
        <v>5.07</v>
      </c>
      <c r="H418" s="5" t="n">
        <f>D418*G418</f>
        <v>15.21</v>
      </c>
      <c r="I418" s="5" t="n">
        <v>0.375</v>
      </c>
      <c r="J418" s="5" t="n">
        <f>I418*(1+$N$2)</f>
        <v>0.375</v>
      </c>
      <c r="K418" s="5" t="n">
        <f>D418*J418</f>
        <v>1.125</v>
      </c>
      <c r="L418" s="5"/>
      <c r="M418" s="5"/>
      <c r="N418" s="5"/>
      <c r="O418" s="5"/>
    </row>
    <row r="419">
      <c r="A419" s="1"/>
      <c r="B419" s="1" t="str">
        <v>Ligne fictive 0214</v>
      </c>
      <c r="C419" s="1" t="str">
        <v>u</v>
      </c>
      <c r="D419" s="5" t="n">
        <v>4</v>
      </c>
      <c r="E419" s="5" t="n">
        <f>G419*$L$2+J419*$M$2*$O$2</f>
        <v>33.072</v>
      </c>
      <c r="F419" s="5" t="n">
        <f>ROUND(D419*E419,2)</f>
        <v>132.29</v>
      </c>
      <c r="G419" s="5" t="n">
        <v>5.44</v>
      </c>
      <c r="H419" s="5" t="n">
        <f>D419*G419</f>
        <v>21.76</v>
      </c>
      <c r="I419" s="5" t="n">
        <v>0.5</v>
      </c>
      <c r="J419" s="5" t="n">
        <f>I419*(1+$N$2)</f>
        <v>0.5</v>
      </c>
      <c r="K419" s="5" t="n">
        <f>D419*J419</f>
        <v>2</v>
      </c>
      <c r="L419" s="5"/>
      <c r="M419" s="5"/>
      <c r="N419" s="5"/>
      <c r="O419" s="5"/>
    </row>
    <row r="420">
      <c r="A420" s="1"/>
      <c r="B420" s="1" t="str">
        <v>Ligne fictive 0215</v>
      </c>
      <c r="C420" s="1" t="str">
        <v>ml</v>
      </c>
      <c r="D420" s="5" t="n">
        <v>5</v>
      </c>
      <c r="E420" s="5" t="n">
        <f>G420*$L$2+J420*$M$2*$O$2</f>
        <v>40.053</v>
      </c>
      <c r="F420" s="5" t="n">
        <f>ROUND(D420*E420,2)</f>
        <v>200.27</v>
      </c>
      <c r="G420" s="5" t="n">
        <v>5.81</v>
      </c>
      <c r="H420" s="5" t="n">
        <f>D420*G420</f>
        <v>29.049999999999997</v>
      </c>
      <c r="I420" s="5" t="n">
        <v>0.625</v>
      </c>
      <c r="J420" s="5" t="n">
        <f>I420*(1+$N$2)</f>
        <v>0.625</v>
      </c>
      <c r="K420" s="5" t="n">
        <f>D420*J420</f>
        <v>3.125</v>
      </c>
      <c r="L420" s="5"/>
      <c r="M420" s="5"/>
      <c r="N420" s="5"/>
      <c r="O420" s="5"/>
    </row>
    <row r="421">
      <c r="A421" s="1"/>
      <c r="B421" s="1" t="str">
        <v>Sous-total fictif 76</v>
      </c>
      <c r="C421" s="1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>
      <c r="A422" s="1"/>
      <c r="B422" s="6" t="str">
        <v>Section fictive 077</v>
      </c>
      <c r="C422" s="1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>
      <c r="A423" s="1"/>
      <c r="B423" s="1" t="str">
        <v>Ligne fictive 0216</v>
      </c>
      <c r="C423" s="1" t="str">
        <v>m2</v>
      </c>
      <c r="D423" s="5" t="n">
        <v>1</v>
      </c>
      <c r="E423" s="5" t="n">
        <f>G423*$L$2+J423*$M$2*$O$2</f>
        <v>14.534</v>
      </c>
      <c r="F423" s="5" t="n">
        <f>ROUND(D423*E423,2)</f>
        <v>14.53</v>
      </c>
      <c r="G423" s="5" t="n">
        <v>6.18</v>
      </c>
      <c r="H423" s="5" t="n">
        <f>D423*G423</f>
        <v>6.18</v>
      </c>
      <c r="I423" s="5" t="n">
        <v>0.125</v>
      </c>
      <c r="J423" s="5" t="n">
        <f>I423*(1+$N$2)</f>
        <v>0.125</v>
      </c>
      <c r="K423" s="5" t="n">
        <f>D423*J423</f>
        <v>0.125</v>
      </c>
      <c r="L423" s="5"/>
      <c r="M423" s="5"/>
      <c r="N423" s="5"/>
      <c r="O423" s="5"/>
    </row>
    <row r="424">
      <c r="A424" s="1"/>
      <c r="B424" s="1" t="str">
        <v>Ligne fictive 0217</v>
      </c>
      <c r="C424" s="1" t="str">
        <v>u</v>
      </c>
      <c r="D424" s="5" t="n">
        <v>2</v>
      </c>
      <c r="E424" s="5" t="n">
        <f>G424*$L$2+J424*$M$2*$O$2</f>
        <v>21.515</v>
      </c>
      <c r="F424" s="5" t="n">
        <f>ROUND(D424*E424,2)</f>
        <v>43.03</v>
      </c>
      <c r="G424" s="5" t="n">
        <v>6.55</v>
      </c>
      <c r="H424" s="5" t="n">
        <f>D424*G424</f>
        <v>13.1</v>
      </c>
      <c r="I424" s="5" t="n">
        <v>0.25</v>
      </c>
      <c r="J424" s="5" t="n">
        <f>I424*(1+$N$2)</f>
        <v>0.25</v>
      </c>
      <c r="K424" s="5" t="n">
        <f>D424*J424</f>
        <v>0.5</v>
      </c>
      <c r="L424" s="5"/>
      <c r="M424" s="5"/>
      <c r="N424" s="5"/>
      <c r="O424" s="5"/>
    </row>
    <row r="425">
      <c r="A425" s="1"/>
      <c r="B425" s="1" t="str">
        <v>Ligne fictive 0218</v>
      </c>
      <c r="C425" s="1" t="str">
        <v>ml</v>
      </c>
      <c r="D425" s="5" t="n">
        <v>3</v>
      </c>
      <c r="E425" s="5" t="n">
        <f>G425*$L$2+J425*$M$2*$O$2</f>
        <v>28.496000000000002</v>
      </c>
      <c r="F425" s="5" t="n">
        <f>ROUND(D425*E425,2)</f>
        <v>85.49</v>
      </c>
      <c r="G425" s="5" t="n">
        <v>6.92</v>
      </c>
      <c r="H425" s="5" t="n">
        <f>D425*G425</f>
        <v>20.759999999999998</v>
      </c>
      <c r="I425" s="5" t="n">
        <v>0.375</v>
      </c>
      <c r="J425" s="5" t="n">
        <f>I425*(1+$N$2)</f>
        <v>0.375</v>
      </c>
      <c r="K425" s="5" t="n">
        <f>D425*J425</f>
        <v>1.125</v>
      </c>
      <c r="L425" s="5"/>
      <c r="M425" s="5"/>
      <c r="N425" s="5"/>
      <c r="O425" s="5"/>
    </row>
    <row r="426">
      <c r="A426" s="1"/>
      <c r="B426" s="1" t="str">
        <v>Statut fictif 027</v>
      </c>
      <c r="C426" s="1" t="str">
        <v>HL</v>
      </c>
      <c r="D426" s="5" t="n">
        <v>3</v>
      </c>
      <c r="E426" s="5" t="n">
        <v>0</v>
      </c>
      <c r="F426" s="5" t="n">
        <v>0</v>
      </c>
      <c r="G426" s="5" t="n">
        <v>7.25</v>
      </c>
      <c r="H426" s="5" t="n">
        <v>0</v>
      </c>
      <c r="I426" s="5" t="n">
        <v>0.375</v>
      </c>
      <c r="J426" s="5" t="n">
        <v>0</v>
      </c>
      <c r="K426" s="5" t="n">
        <v>0</v>
      </c>
      <c r="L426" s="5"/>
      <c r="M426" s="5"/>
      <c r="N426" s="5"/>
      <c r="O426" s="5"/>
    </row>
    <row r="427">
      <c r="A427" s="1"/>
      <c r="B427" s="1" t="str">
        <v>Réserve fictive 0027</v>
      </c>
      <c r="C427" s="1" t="str">
        <v>u</v>
      </c>
      <c r="D427" s="5"/>
      <c r="E427" s="5" t="n">
        <v>0</v>
      </c>
      <c r="F427" s="5" t="n">
        <v>0</v>
      </c>
      <c r="G427" s="5" t="n">
        <v>0</v>
      </c>
      <c r="H427" s="5" t="n">
        <v>0</v>
      </c>
      <c r="I427" s="5" t="n">
        <v>0</v>
      </c>
      <c r="J427" s="5" t="n">
        <v>0</v>
      </c>
      <c r="K427" s="5" t="n">
        <v>0</v>
      </c>
      <c r="L427" s="5"/>
      <c r="M427" s="5"/>
      <c r="N427" s="5"/>
      <c r="O427" s="5"/>
    </row>
    <row r="428">
      <c r="A428" s="1"/>
      <c r="B428" s="1" t="str">
        <v>Sous-total fictif 77</v>
      </c>
      <c r="C428" s="1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>
      <c r="A429" s="1"/>
      <c r="B429" s="6" t="str">
        <v>Section fictive 078</v>
      </c>
      <c r="C429" s="1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>
      <c r="A430" s="1"/>
      <c r="B430" s="1" t="str">
        <v>Ligne fictive 0219</v>
      </c>
      <c r="C430" s="1" t="str">
        <v>m2</v>
      </c>
      <c r="D430" s="5" t="n">
        <v>4</v>
      </c>
      <c r="E430" s="5" t="n">
        <f>G430*$L$2+J430*$M$2*$O$2</f>
        <v>35.477000000000004</v>
      </c>
      <c r="F430" s="5" t="n">
        <f>ROUND(D430*E430,2)</f>
        <v>141.91</v>
      </c>
      <c r="G430" s="5" t="n">
        <v>7.29</v>
      </c>
      <c r="H430" s="5" t="n">
        <f>D430*G430</f>
        <v>29.16</v>
      </c>
      <c r="I430" s="5" t="n">
        <v>0.5</v>
      </c>
      <c r="J430" s="5" t="n">
        <f>I430*(1+$N$2)</f>
        <v>0.5</v>
      </c>
      <c r="K430" s="5" t="n">
        <f>D430*J430</f>
        <v>2</v>
      </c>
      <c r="L430" s="5"/>
      <c r="M430" s="5"/>
      <c r="N430" s="5"/>
      <c r="O430" s="5"/>
    </row>
    <row r="431">
      <c r="A431" s="1"/>
      <c r="B431" s="1" t="str">
        <v>Ligne fictive 0220</v>
      </c>
      <c r="C431" s="1" t="str">
        <v>u</v>
      </c>
      <c r="D431" s="5" t="n">
        <v>5</v>
      </c>
      <c r="E431" s="5" t="n">
        <f>G431*$L$2+J431*$M$2*$O$2</f>
        <v>42.458</v>
      </c>
      <c r="F431" s="5" t="n">
        <f>ROUND(D431*E431,2)</f>
        <v>212.29</v>
      </c>
      <c r="G431" s="5" t="n">
        <v>7.66</v>
      </c>
      <c r="H431" s="5" t="n">
        <f>D431*G431</f>
        <v>38.3</v>
      </c>
      <c r="I431" s="5" t="n">
        <v>0.625</v>
      </c>
      <c r="J431" s="5" t="n">
        <f>I431*(1+$N$2)</f>
        <v>0.625</v>
      </c>
      <c r="K431" s="5" t="n">
        <f>D431*J431</f>
        <v>3.125</v>
      </c>
      <c r="L431" s="5"/>
      <c r="M431" s="5"/>
      <c r="N431" s="5"/>
      <c r="O431" s="5"/>
    </row>
    <row r="432">
      <c r="A432" s="1"/>
      <c r="B432" s="1" t="str">
        <v>Ligne fictive 0221</v>
      </c>
      <c r="C432" s="1" t="str">
        <v>ml</v>
      </c>
      <c r="D432" s="5" t="n">
        <v>1</v>
      </c>
      <c r="E432" s="5" t="n">
        <f>G432*$L$2+J432*$M$2*$O$2</f>
        <v>16.939</v>
      </c>
      <c r="F432" s="5" t="n">
        <f>ROUND(D432*E432,2)</f>
        <v>16.94</v>
      </c>
      <c r="G432" s="5" t="n">
        <v>8.03</v>
      </c>
      <c r="H432" s="5" t="n">
        <f>D432*G432</f>
        <v>8.03</v>
      </c>
      <c r="I432" s="5" t="n">
        <v>0.125</v>
      </c>
      <c r="J432" s="5" t="n">
        <f>I432*(1+$N$2)</f>
        <v>0.125</v>
      </c>
      <c r="K432" s="5" t="n">
        <f>D432*J432</f>
        <v>0.125</v>
      </c>
      <c r="L432" s="5"/>
      <c r="M432" s="5"/>
      <c r="N432" s="5"/>
      <c r="O432" s="5"/>
    </row>
    <row r="433">
      <c r="A433" s="1"/>
      <c r="B433" s="1" t="str">
        <v>Sous-total fictif 78</v>
      </c>
      <c r="C433" s="1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>
      <c r="A434" s="1"/>
      <c r="B434" s="6" t="str">
        <v>Section fictive 079</v>
      </c>
      <c r="C434" s="1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>
      <c r="A435" s="1"/>
      <c r="B435" s="1" t="str">
        <v>Ligne fictive 0222</v>
      </c>
      <c r="C435" s="1" t="str">
        <v>m2</v>
      </c>
      <c r="D435" s="5" t="n">
        <v>2</v>
      </c>
      <c r="E435" s="5" t="n">
        <f>G435*$L$2+J435*$M$2*$O$2</f>
        <v>15.743</v>
      </c>
      <c r="F435" s="5" t="n">
        <f>ROUND(D435*E435,2)</f>
        <v>31.49</v>
      </c>
      <c r="G435" s="5" t="n">
        <v>2.11</v>
      </c>
      <c r="H435" s="5" t="n">
        <f>D435*G435</f>
        <v>4.22</v>
      </c>
      <c r="I435" s="5" t="n">
        <v>0.25</v>
      </c>
      <c r="J435" s="5" t="n">
        <f>I435*(1+$N$2)</f>
        <v>0.25</v>
      </c>
      <c r="K435" s="5" t="n">
        <f>D435*J435</f>
        <v>0.5</v>
      </c>
      <c r="L435" s="5"/>
      <c r="M435" s="5"/>
      <c r="N435" s="5"/>
      <c r="O435" s="5"/>
    </row>
    <row r="436">
      <c r="A436" s="1"/>
      <c r="B436" s="1" t="str">
        <v>Ligne fictive 0223</v>
      </c>
      <c r="C436" s="1" t="str">
        <v>u</v>
      </c>
      <c r="D436" s="5" t="n">
        <v>3</v>
      </c>
      <c r="E436" s="5" t="n">
        <f>G436*$L$2+J436*$M$2*$O$2</f>
        <v>22.724</v>
      </c>
      <c r="F436" s="5" t="n">
        <f>ROUND(D436*E436,2)</f>
        <v>68.17</v>
      </c>
      <c r="G436" s="5" t="n">
        <v>2.48</v>
      </c>
      <c r="H436" s="5" t="n">
        <f>D436*G436</f>
        <v>7.4399999999999995</v>
      </c>
      <c r="I436" s="5" t="n">
        <v>0.375</v>
      </c>
      <c r="J436" s="5" t="n">
        <f>I436*(1+$N$2)</f>
        <v>0.375</v>
      </c>
      <c r="K436" s="5" t="n">
        <f>D436*J436</f>
        <v>1.125</v>
      </c>
      <c r="L436" s="5"/>
      <c r="M436" s="5"/>
      <c r="N436" s="5"/>
      <c r="O436" s="5"/>
    </row>
    <row r="437">
      <c r="A437" s="1"/>
      <c r="B437" s="1" t="str">
        <v>Ligne fictive 0224</v>
      </c>
      <c r="C437" s="1" t="str">
        <v>ml</v>
      </c>
      <c r="D437" s="5" t="n">
        <v>4</v>
      </c>
      <c r="E437" s="5" t="n">
        <f>G437*$L$2+J437*$M$2*$O$2</f>
        <v>29.705</v>
      </c>
      <c r="F437" s="5" t="n">
        <f>ROUND(D437*E437,2)</f>
        <v>118.82</v>
      </c>
      <c r="G437" s="5" t="n">
        <v>2.85</v>
      </c>
      <c r="H437" s="5" t="n">
        <f>D437*G437</f>
        <v>11.4</v>
      </c>
      <c r="I437" s="5" t="n">
        <v>0.5</v>
      </c>
      <c r="J437" s="5" t="n">
        <f>I437*(1+$N$2)</f>
        <v>0.5</v>
      </c>
      <c r="K437" s="5" t="n">
        <f>D437*J437</f>
        <v>2</v>
      </c>
      <c r="L437" s="5"/>
      <c r="M437" s="5"/>
      <c r="N437" s="5"/>
      <c r="O437" s="5"/>
    </row>
    <row r="438">
      <c r="A438" s="1"/>
      <c r="B438" s="1" t="str">
        <v>Statut fictif 028</v>
      </c>
      <c r="C438" s="1" t="str">
        <v>HL</v>
      </c>
      <c r="D438" s="5" t="n">
        <v>1</v>
      </c>
      <c r="E438" s="5" t="n">
        <v>0</v>
      </c>
      <c r="F438" s="5" t="n">
        <v>0</v>
      </c>
      <c r="G438" s="5" t="n">
        <v>7.25</v>
      </c>
      <c r="H438" s="5" t="n">
        <v>0</v>
      </c>
      <c r="I438" s="5" t="n">
        <v>0.375</v>
      </c>
      <c r="J438" s="5" t="n">
        <v>0</v>
      </c>
      <c r="K438" s="5" t="n">
        <v>0</v>
      </c>
      <c r="L438" s="5"/>
      <c r="M438" s="5"/>
      <c r="N438" s="5"/>
      <c r="O438" s="5"/>
    </row>
    <row r="439">
      <c r="A439" s="1"/>
      <c r="B439" s="1" t="str">
        <v>Sous-total fictif 79</v>
      </c>
      <c r="C439" s="1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>
      <c r="A440" s="1"/>
      <c r="B440" s="6" t="str">
        <v>Section fictive 080</v>
      </c>
      <c r="C440" s="1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>
      <c r="A441" s="1"/>
      <c r="B441" s="1" t="str">
        <v>Ligne fictive 0225</v>
      </c>
      <c r="C441" s="1" t="str">
        <v>m2</v>
      </c>
      <c r="D441" s="5" t="n">
        <v>5</v>
      </c>
      <c r="E441" s="5" t="n">
        <f>G441*$L$2+J441*$M$2*$O$2</f>
        <v>36.686</v>
      </c>
      <c r="F441" s="5" t="n">
        <f>ROUND(D441*E441,2)</f>
        <v>183.43</v>
      </c>
      <c r="G441" s="5" t="n">
        <v>3.22</v>
      </c>
      <c r="H441" s="5" t="n">
        <f>D441*G441</f>
        <v>16.1</v>
      </c>
      <c r="I441" s="5" t="n">
        <v>0.625</v>
      </c>
      <c r="J441" s="5" t="n">
        <f>I441*(1+$N$2)</f>
        <v>0.625</v>
      </c>
      <c r="K441" s="5" t="n">
        <f>D441*J441</f>
        <v>3.125</v>
      </c>
      <c r="L441" s="5"/>
      <c r="M441" s="5"/>
      <c r="N441" s="5"/>
      <c r="O441" s="5"/>
    </row>
    <row r="442">
      <c r="A442" s="1"/>
      <c r="B442" s="1" t="str">
        <v>Ligne fictive 0226</v>
      </c>
      <c r="C442" s="1" t="str">
        <v>u</v>
      </c>
      <c r="D442" s="5" t="n">
        <v>1</v>
      </c>
      <c r="E442" s="5" t="n">
        <f>G442*$L$2+J442*$M$2*$O$2</f>
        <v>11.167</v>
      </c>
      <c r="F442" s="5" t="n">
        <f>ROUND(D442*E442,2)</f>
        <v>11.17</v>
      </c>
      <c r="G442" s="5" t="n">
        <v>3.59</v>
      </c>
      <c r="H442" s="5" t="n">
        <f>D442*G442</f>
        <v>3.59</v>
      </c>
      <c r="I442" s="5" t="n">
        <v>0.125</v>
      </c>
      <c r="J442" s="5" t="n">
        <f>I442*(1+$N$2)</f>
        <v>0.125</v>
      </c>
      <c r="K442" s="5" t="n">
        <f>D442*J442</f>
        <v>0.125</v>
      </c>
      <c r="L442" s="5"/>
      <c r="M442" s="5"/>
      <c r="N442" s="5"/>
      <c r="O442" s="5"/>
    </row>
    <row r="443">
      <c r="A443" s="1"/>
      <c r="B443" s="1" t="str">
        <v>Ligne fictive 0227</v>
      </c>
      <c r="C443" s="1" t="str">
        <v>ml</v>
      </c>
      <c r="D443" s="5" t="n">
        <v>2</v>
      </c>
      <c r="E443" s="5" t="n">
        <f>G443*$L$2+J443*$M$2*$O$2</f>
        <v>18.148</v>
      </c>
      <c r="F443" s="5" t="n">
        <f>ROUND(D443*E443,2)</f>
        <v>36.3</v>
      </c>
      <c r="G443" s="5" t="n">
        <v>3.96</v>
      </c>
      <c r="H443" s="5" t="n">
        <f>D443*G443</f>
        <v>7.92</v>
      </c>
      <c r="I443" s="5" t="n">
        <v>0.25</v>
      </c>
      <c r="J443" s="5" t="n">
        <f>I443*(1+$N$2)</f>
        <v>0.25</v>
      </c>
      <c r="K443" s="5" t="n">
        <f>D443*J443</f>
        <v>0.5</v>
      </c>
      <c r="L443" s="5"/>
      <c r="M443" s="5"/>
      <c r="N443" s="5"/>
      <c r="O443" s="5"/>
    </row>
    <row r="444">
      <c r="A444" s="1"/>
      <c r="B444" s="1" t="str">
        <v>Réserve fictive 0028</v>
      </c>
      <c r="C444" s="1" t="str">
        <v>u</v>
      </c>
      <c r="D444" s="5"/>
      <c r="E444" s="5" t="n">
        <v>0</v>
      </c>
      <c r="F444" s="5" t="n">
        <v>0</v>
      </c>
      <c r="G444" s="5" t="n">
        <v>0</v>
      </c>
      <c r="H444" s="5" t="n">
        <v>0</v>
      </c>
      <c r="I444" s="5" t="n">
        <v>0</v>
      </c>
      <c r="J444" s="5" t="n">
        <v>0</v>
      </c>
      <c r="K444" s="5" t="n">
        <v>0</v>
      </c>
      <c r="L444" s="5"/>
      <c r="M444" s="5"/>
      <c r="N444" s="5"/>
      <c r="O444" s="5"/>
    </row>
    <row r="445">
      <c r="A445" s="1"/>
      <c r="B445" s="1" t="str">
        <v>Sous-total fictif 80</v>
      </c>
      <c r="C445" s="1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>
      <c r="A446" s="1"/>
      <c r="B446" s="6" t="str">
        <v>Section fictive 081</v>
      </c>
      <c r="C446" s="1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>
      <c r="A447" s="1"/>
      <c r="B447" s="1" t="str">
        <v>Ligne fictive 0228</v>
      </c>
      <c r="C447" s="1" t="str">
        <v>m2</v>
      </c>
      <c r="D447" s="5" t="n">
        <v>3</v>
      </c>
      <c r="E447" s="5" t="n">
        <f>G447*$L$2+J447*$M$2*$O$2</f>
        <v>25.129</v>
      </c>
      <c r="F447" s="5" t="n">
        <f>ROUND(D447*E447,2)</f>
        <v>75.39</v>
      </c>
      <c r="G447" s="5" t="n">
        <v>4.33</v>
      </c>
      <c r="H447" s="5" t="n">
        <f>D447*G447</f>
        <v>12.99</v>
      </c>
      <c r="I447" s="5" t="n">
        <v>0.375</v>
      </c>
      <c r="J447" s="5" t="n">
        <f>I447*(1+$N$2)</f>
        <v>0.375</v>
      </c>
      <c r="K447" s="5" t="n">
        <f>D447*J447</f>
        <v>1.125</v>
      </c>
      <c r="L447" s="5"/>
      <c r="M447" s="5"/>
      <c r="N447" s="5"/>
      <c r="O447" s="5"/>
    </row>
    <row r="448">
      <c r="A448" s="1"/>
      <c r="B448" s="1" t="str">
        <v>Ligne fictive 0229</v>
      </c>
      <c r="C448" s="1" t="str">
        <v>u</v>
      </c>
      <c r="D448" s="5" t="n">
        <v>4</v>
      </c>
      <c r="E448" s="5" t="n">
        <f>G448*$L$2+J448*$M$2*$O$2</f>
        <v>32.11</v>
      </c>
      <c r="F448" s="5" t="n">
        <f>ROUND(D448*E448,2)</f>
        <v>128.44</v>
      </c>
      <c r="G448" s="5" t="n">
        <v>4.7</v>
      </c>
      <c r="H448" s="5" t="n">
        <f>D448*G448</f>
        <v>18.8</v>
      </c>
      <c r="I448" s="5" t="n">
        <v>0.5</v>
      </c>
      <c r="J448" s="5" t="n">
        <f>I448*(1+$N$2)</f>
        <v>0.5</v>
      </c>
      <c r="K448" s="5" t="n">
        <f>D448*J448</f>
        <v>2</v>
      </c>
      <c r="L448" s="5"/>
      <c r="M448" s="5"/>
      <c r="N448" s="5"/>
      <c r="O448" s="5"/>
    </row>
    <row r="449">
      <c r="A449" s="1"/>
      <c r="B449" s="1" t="str">
        <v>Ligne fictive 0230</v>
      </c>
      <c r="C449" s="1" t="str">
        <v>ml</v>
      </c>
      <c r="D449" s="5" t="n">
        <v>5</v>
      </c>
      <c r="E449" s="5" t="n">
        <f>G449*$L$2+J449*$M$2*$O$2</f>
        <v>39.091</v>
      </c>
      <c r="F449" s="5" t="n">
        <f>ROUND(D449*E449,2)</f>
        <v>195.46</v>
      </c>
      <c r="G449" s="5" t="n">
        <v>5.07</v>
      </c>
      <c r="H449" s="5" t="n">
        <f>D449*G449</f>
        <v>25.35</v>
      </c>
      <c r="I449" s="5" t="n">
        <v>0.625</v>
      </c>
      <c r="J449" s="5" t="n">
        <f>I449*(1+$N$2)</f>
        <v>0.625</v>
      </c>
      <c r="K449" s="5" t="n">
        <f>D449*J449</f>
        <v>3.125</v>
      </c>
      <c r="L449" s="5"/>
      <c r="M449" s="5"/>
      <c r="N449" s="5"/>
      <c r="O449" s="5"/>
    </row>
    <row r="450">
      <c r="A450" s="1"/>
      <c r="B450" s="1" t="str">
        <v>Sous-total fictif 81</v>
      </c>
      <c r="C450" s="1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>
      <c r="A451" s="1"/>
      <c r="B451" s="6" t="str">
        <v>Section fictive 082</v>
      </c>
      <c r="C451" s="1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>
      <c r="A452" s="1"/>
      <c r="B452" s="1" t="str">
        <v>Ligne fictive 0231</v>
      </c>
      <c r="C452" s="1" t="str">
        <v>m2</v>
      </c>
      <c r="D452" s="5" t="n">
        <v>1</v>
      </c>
      <c r="E452" s="5" t="n">
        <f>G452*$L$2+J452*$M$2*$O$2</f>
        <v>13.572000000000001</v>
      </c>
      <c r="F452" s="5" t="n">
        <f>ROUND(D452*E452,2)</f>
        <v>13.57</v>
      </c>
      <c r="G452" s="5" t="n">
        <v>5.44</v>
      </c>
      <c r="H452" s="5" t="n">
        <f>D452*G452</f>
        <v>5.44</v>
      </c>
      <c r="I452" s="5" t="n">
        <v>0.125</v>
      </c>
      <c r="J452" s="5" t="n">
        <f>I452*(1+$N$2)</f>
        <v>0.125</v>
      </c>
      <c r="K452" s="5" t="n">
        <f>D452*J452</f>
        <v>0.125</v>
      </c>
      <c r="L452" s="5"/>
      <c r="M452" s="5"/>
      <c r="N452" s="5"/>
      <c r="O452" s="5"/>
    </row>
    <row r="453">
      <c r="A453" s="1"/>
      <c r="B453" s="1" t="str">
        <v>Ligne fictive 0232</v>
      </c>
      <c r="C453" s="1" t="str">
        <v>u</v>
      </c>
      <c r="D453" s="5" t="n">
        <v>2</v>
      </c>
      <c r="E453" s="5" t="n">
        <f>G453*$L$2+J453*$M$2*$O$2</f>
        <v>20.553</v>
      </c>
      <c r="F453" s="5" t="n">
        <f>ROUND(D453*E453,2)</f>
        <v>41.11</v>
      </c>
      <c r="G453" s="5" t="n">
        <v>5.81</v>
      </c>
      <c r="H453" s="5" t="n">
        <f>D453*G453</f>
        <v>11.62</v>
      </c>
      <c r="I453" s="5" t="n">
        <v>0.25</v>
      </c>
      <c r="J453" s="5" t="n">
        <f>I453*(1+$N$2)</f>
        <v>0.25</v>
      </c>
      <c r="K453" s="5" t="n">
        <f>D453*J453</f>
        <v>0.5</v>
      </c>
      <c r="L453" s="5"/>
      <c r="M453" s="5"/>
      <c r="N453" s="5"/>
      <c r="O453" s="5"/>
    </row>
    <row r="454">
      <c r="A454" s="1"/>
      <c r="B454" s="1" t="str">
        <v>Statut fictif 029</v>
      </c>
      <c r="C454" s="1" t="str">
        <v>HL</v>
      </c>
      <c r="D454" s="5" t="n">
        <v>2</v>
      </c>
      <c r="E454" s="5" t="n">
        <v>0</v>
      </c>
      <c r="F454" s="5" t="n">
        <v>0</v>
      </c>
      <c r="G454" s="5" t="n">
        <v>7.25</v>
      </c>
      <c r="H454" s="5" t="n">
        <v>0</v>
      </c>
      <c r="I454" s="5" t="n">
        <v>0.375</v>
      </c>
      <c r="J454" s="5" t="n">
        <v>0</v>
      </c>
      <c r="K454" s="5" t="n">
        <v>0</v>
      </c>
      <c r="L454" s="5"/>
      <c r="M454" s="5"/>
      <c r="N454" s="5"/>
      <c r="O454" s="5"/>
    </row>
    <row r="455">
      <c r="A455" s="1"/>
      <c r="B455" s="1" t="str">
        <v>Sous-total fictif 82</v>
      </c>
      <c r="C455" s="1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>
      <c r="A456" s="1"/>
      <c r="B456" s="6" t="str">
        <v>Section fictive 083</v>
      </c>
      <c r="C456" s="1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>
      <c r="A457" s="1"/>
      <c r="B457" s="1" t="str">
        <v>Ligne fictive 0233</v>
      </c>
      <c r="C457" s="1" t="str">
        <v>ml</v>
      </c>
      <c r="D457" s="5" t="n">
        <v>3</v>
      </c>
      <c r="E457" s="5" t="n">
        <f>G457*$L$2+J457*$M$2*$O$2</f>
        <v>27.534</v>
      </c>
      <c r="F457" s="5" t="n">
        <f>ROUND(D457*E457,2)</f>
        <v>82.6</v>
      </c>
      <c r="G457" s="5" t="n">
        <v>6.18</v>
      </c>
      <c r="H457" s="5" t="n">
        <f>D457*G457</f>
        <v>18.54</v>
      </c>
      <c r="I457" s="5" t="n">
        <v>0.375</v>
      </c>
      <c r="J457" s="5" t="n">
        <f>I457*(1+$N$2)</f>
        <v>0.375</v>
      </c>
      <c r="K457" s="5" t="n">
        <f>D457*J457</f>
        <v>1.125</v>
      </c>
      <c r="L457" s="5"/>
      <c r="M457" s="5"/>
      <c r="N457" s="5"/>
      <c r="O457" s="5"/>
    </row>
    <row r="458">
      <c r="A458" s="1"/>
      <c r="B458" s="1" t="str">
        <v>Ligne fictive 0234</v>
      </c>
      <c r="C458" s="1" t="str">
        <v>m2</v>
      </c>
      <c r="D458" s="5" t="n">
        <v>4</v>
      </c>
      <c r="E458" s="5" t="n">
        <f>G458*$L$2+J458*$M$2*$O$2</f>
        <v>34.515</v>
      </c>
      <c r="F458" s="5" t="n">
        <f>ROUND(D458*E458,2)</f>
        <v>138.06</v>
      </c>
      <c r="G458" s="5" t="n">
        <v>6.55</v>
      </c>
      <c r="H458" s="5" t="n">
        <f>D458*G458</f>
        <v>26.2</v>
      </c>
      <c r="I458" s="5" t="n">
        <v>0.5</v>
      </c>
      <c r="J458" s="5" t="n">
        <f>I458*(1+$N$2)</f>
        <v>0.5</v>
      </c>
      <c r="K458" s="5" t="n">
        <f>D458*J458</f>
        <v>2</v>
      </c>
      <c r="L458" s="5"/>
      <c r="M458" s="5"/>
      <c r="N458" s="5"/>
      <c r="O458" s="5"/>
    </row>
    <row r="459">
      <c r="A459" s="1"/>
      <c r="B459" s="1" t="str">
        <v>Ligne fictive 0235</v>
      </c>
      <c r="C459" s="1" t="str">
        <v>u</v>
      </c>
      <c r="D459" s="5" t="n">
        <v>5</v>
      </c>
      <c r="E459" s="5" t="n">
        <f>G459*$L$2+J459*$M$2*$O$2</f>
        <v>41.496</v>
      </c>
      <c r="F459" s="5" t="n">
        <f>ROUND(D459*E459,2)</f>
        <v>207.48</v>
      </c>
      <c r="G459" s="5" t="n">
        <v>6.92</v>
      </c>
      <c r="H459" s="5" t="n">
        <f>D459*G459</f>
        <v>34.6</v>
      </c>
      <c r="I459" s="5" t="n">
        <v>0.625</v>
      </c>
      <c r="J459" s="5" t="n">
        <f>I459*(1+$N$2)</f>
        <v>0.625</v>
      </c>
      <c r="K459" s="5" t="n">
        <f>D459*J459</f>
        <v>3.125</v>
      </c>
      <c r="L459" s="5"/>
      <c r="M459" s="5"/>
      <c r="N459" s="5"/>
      <c r="O459" s="5"/>
    </row>
    <row r="460">
      <c r="A460" s="1"/>
      <c r="B460" s="1" t="str">
        <v>Réserve fictive 0029</v>
      </c>
      <c r="C460" s="1" t="str">
        <v>u</v>
      </c>
      <c r="D460" s="5"/>
      <c r="E460" s="5" t="n">
        <v>0</v>
      </c>
      <c r="F460" s="5" t="n">
        <v>0</v>
      </c>
      <c r="G460" s="5" t="n">
        <v>0</v>
      </c>
      <c r="H460" s="5" t="n">
        <v>0</v>
      </c>
      <c r="I460" s="5" t="n">
        <v>0</v>
      </c>
      <c r="J460" s="5" t="n">
        <v>0</v>
      </c>
      <c r="K460" s="5" t="n">
        <v>0</v>
      </c>
      <c r="L460" s="5"/>
      <c r="M460" s="5"/>
      <c r="N460" s="5"/>
      <c r="O460" s="5"/>
    </row>
    <row r="461">
      <c r="A461" s="1"/>
      <c r="B461" s="1" t="str">
        <v>Sous-total fictif 83</v>
      </c>
      <c r="C461" s="1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>
      <c r="A462" s="1"/>
      <c r="B462" s="6" t="str">
        <v>Section fictive 084</v>
      </c>
      <c r="C462" s="1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>
      <c r="A463" s="1"/>
      <c r="B463" s="1" t="str">
        <v>Ligne fictive 0236</v>
      </c>
      <c r="C463" s="1" t="str">
        <v>ml</v>
      </c>
      <c r="D463" s="5" t="n">
        <v>1</v>
      </c>
      <c r="E463" s="5" t="n">
        <f>G463*$L$2+J463*$M$2*$O$2</f>
        <v>15.977</v>
      </c>
      <c r="F463" s="5" t="n">
        <f>ROUND(D463*E463,2)</f>
        <v>15.98</v>
      </c>
      <c r="G463" s="5" t="n">
        <v>7.29</v>
      </c>
      <c r="H463" s="5" t="n">
        <f>D463*G463</f>
        <v>7.29</v>
      </c>
      <c r="I463" s="5" t="n">
        <v>0.125</v>
      </c>
      <c r="J463" s="5" t="n">
        <f>I463*(1+$N$2)</f>
        <v>0.125</v>
      </c>
      <c r="K463" s="5" t="n">
        <f>D463*J463</f>
        <v>0.125</v>
      </c>
      <c r="L463" s="5"/>
      <c r="M463" s="5"/>
      <c r="N463" s="5"/>
      <c r="O463" s="5"/>
    </row>
    <row r="464">
      <c r="A464" s="1"/>
      <c r="B464" s="1" t="str">
        <v>Ligne fictive 0237</v>
      </c>
      <c r="C464" s="1" t="str">
        <v>m2</v>
      </c>
      <c r="D464" s="5" t="n">
        <v>2</v>
      </c>
      <c r="E464" s="5" t="n">
        <f>G464*$L$2+J464*$M$2*$O$2</f>
        <v>22.958</v>
      </c>
      <c r="F464" s="5" t="n">
        <f>ROUND(D464*E464,2)</f>
        <v>45.92</v>
      </c>
      <c r="G464" s="5" t="n">
        <v>7.66</v>
      </c>
      <c r="H464" s="5" t="n">
        <f>D464*G464</f>
        <v>15.32</v>
      </c>
      <c r="I464" s="5" t="n">
        <v>0.25</v>
      </c>
      <c r="J464" s="5" t="n">
        <f>I464*(1+$N$2)</f>
        <v>0.25</v>
      </c>
      <c r="K464" s="5" t="n">
        <f>D464*J464</f>
        <v>0.5</v>
      </c>
      <c r="L464" s="5"/>
      <c r="M464" s="5"/>
      <c r="N464" s="5"/>
      <c r="O464" s="5"/>
    </row>
    <row r="465">
      <c r="A465" s="1"/>
      <c r="B465" s="1" t="str">
        <v>Ligne fictive 0238</v>
      </c>
      <c r="C465" s="1" t="str">
        <v>u</v>
      </c>
      <c r="D465" s="5" t="n">
        <v>3</v>
      </c>
      <c r="E465" s="5" t="n">
        <f>G465*$L$2+J465*$M$2*$O$2</f>
        <v>29.939</v>
      </c>
      <c r="F465" s="5" t="n">
        <f>ROUND(D465*E465,2)</f>
        <v>89.82</v>
      </c>
      <c r="G465" s="5" t="n">
        <v>8.03</v>
      </c>
      <c r="H465" s="5" t="n">
        <f>D465*G465</f>
        <v>24.089999999999996</v>
      </c>
      <c r="I465" s="5" t="n">
        <v>0.375</v>
      </c>
      <c r="J465" s="5" t="n">
        <f>I465*(1+$N$2)</f>
        <v>0.375</v>
      </c>
      <c r="K465" s="5" t="n">
        <f>D465*J465</f>
        <v>1.125</v>
      </c>
      <c r="L465" s="5"/>
      <c r="M465" s="5"/>
      <c r="N465" s="5"/>
      <c r="O465" s="5"/>
    </row>
    <row r="466">
      <c r="A466" s="1"/>
      <c r="B466" s="1" t="str">
        <v>Sous-total fictif 84</v>
      </c>
      <c r="C466" s="1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>
      <c r="A467" s="1"/>
      <c r="B467" s="6" t="str">
        <v>Section fictive 085</v>
      </c>
      <c r="C467" s="1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>
      <c r="A468" s="1"/>
      <c r="B468" s="1" t="str">
        <v>Ligne fictive 0239</v>
      </c>
      <c r="C468" s="1" t="str">
        <v>ml</v>
      </c>
      <c r="D468" s="5" t="n">
        <v>4</v>
      </c>
      <c r="E468" s="5" t="n">
        <f>G468*$L$2+J468*$M$2*$O$2</f>
        <v>28.743</v>
      </c>
      <c r="F468" s="5" t="n">
        <f>ROUND(D468*E468,2)</f>
        <v>114.97</v>
      </c>
      <c r="G468" s="5" t="n">
        <v>2.11</v>
      </c>
      <c r="H468" s="5" t="n">
        <f>D468*G468</f>
        <v>8.44</v>
      </c>
      <c r="I468" s="5" t="n">
        <v>0.5</v>
      </c>
      <c r="J468" s="5" t="n">
        <f>I468*(1+$N$2)</f>
        <v>0.5</v>
      </c>
      <c r="K468" s="5" t="n">
        <f>D468*J468</f>
        <v>2</v>
      </c>
      <c r="L468" s="5"/>
      <c r="M468" s="5"/>
      <c r="N468" s="5"/>
      <c r="O468" s="5"/>
    </row>
    <row r="469">
      <c r="A469" s="1"/>
      <c r="B469" s="1" t="str">
        <v>Ligne fictive 0240</v>
      </c>
      <c r="C469" s="1" t="str">
        <v>m2</v>
      </c>
      <c r="D469" s="5" t="n">
        <v>5</v>
      </c>
      <c r="E469" s="5" t="n">
        <f>G469*$L$2+J469*$M$2*$O$2</f>
        <v>35.724000000000004</v>
      </c>
      <c r="F469" s="5" t="n">
        <f>ROUND(D469*E469,2)</f>
        <v>178.62</v>
      </c>
      <c r="G469" s="5" t="n">
        <v>2.48</v>
      </c>
      <c r="H469" s="5" t="n">
        <f>D469*G469</f>
        <v>12.4</v>
      </c>
      <c r="I469" s="5" t="n">
        <v>0.625</v>
      </c>
      <c r="J469" s="5" t="n">
        <f>I469*(1+$N$2)</f>
        <v>0.625</v>
      </c>
      <c r="K469" s="5" t="n">
        <f>D469*J469</f>
        <v>3.125</v>
      </c>
      <c r="L469" s="5"/>
      <c r="M469" s="5"/>
      <c r="N469" s="5"/>
      <c r="O469" s="5"/>
    </row>
    <row r="470">
      <c r="A470" s="1"/>
      <c r="B470" s="1" t="str">
        <v>Ligne fictive 0241</v>
      </c>
      <c r="C470" s="1" t="str">
        <v>u</v>
      </c>
      <c r="D470" s="5" t="n">
        <v>1</v>
      </c>
      <c r="E470" s="5" t="n">
        <f>G470*$L$2+J470*$M$2*$O$2</f>
        <v>10.205</v>
      </c>
      <c r="F470" s="5" t="n">
        <f>ROUND(D470*E470,2)</f>
        <v>10.21</v>
      </c>
      <c r="G470" s="5" t="n">
        <v>2.85</v>
      </c>
      <c r="H470" s="5" t="n">
        <f>D470*G470</f>
        <v>2.85</v>
      </c>
      <c r="I470" s="5" t="n">
        <v>0.125</v>
      </c>
      <c r="J470" s="5" t="n">
        <f>I470*(1+$N$2)</f>
        <v>0.125</v>
      </c>
      <c r="K470" s="5" t="n">
        <f>D470*J470</f>
        <v>0.125</v>
      </c>
      <c r="L470" s="5"/>
      <c r="M470" s="5"/>
      <c r="N470" s="5"/>
      <c r="O470" s="5"/>
    </row>
    <row r="471">
      <c r="A471" s="1"/>
      <c r="B471" s="1" t="str">
        <v>Statut fictif 030</v>
      </c>
      <c r="C471" s="1" t="str">
        <v>HL</v>
      </c>
      <c r="D471" s="5" t="n">
        <v>3</v>
      </c>
      <c r="E471" s="5" t="n">
        <v>0</v>
      </c>
      <c r="F471" s="5" t="n">
        <v>0</v>
      </c>
      <c r="G471" s="5" t="n">
        <v>7.25</v>
      </c>
      <c r="H471" s="5" t="n">
        <v>0</v>
      </c>
      <c r="I471" s="5" t="n">
        <v>0.375</v>
      </c>
      <c r="J471" s="5" t="n">
        <v>0</v>
      </c>
      <c r="K471" s="5" t="n">
        <v>0</v>
      </c>
      <c r="L471" s="5"/>
      <c r="M471" s="5"/>
      <c r="N471" s="5"/>
      <c r="O471" s="5"/>
    </row>
    <row r="472">
      <c r="A472" s="1"/>
      <c r="B472" s="1" t="str">
        <v>Sous-total fictif 85</v>
      </c>
      <c r="C472" s="1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>
      <c r="A473" s="1"/>
      <c r="B473" s="6" t="str">
        <v>Section fictive 086</v>
      </c>
      <c r="C473" s="1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>
      <c r="A474" s="1"/>
      <c r="B474" s="1" t="str">
        <v>Ligne fictive 0242</v>
      </c>
      <c r="C474" s="1" t="str">
        <v>ml</v>
      </c>
      <c r="D474" s="5" t="n">
        <v>2</v>
      </c>
      <c r="E474" s="5" t="n">
        <f>G474*$L$2+J474*$M$2*$O$2</f>
        <v>17.186</v>
      </c>
      <c r="F474" s="5" t="n">
        <f>ROUND(D474*E474,2)</f>
        <v>34.37</v>
      </c>
      <c r="G474" s="5" t="n">
        <v>3.22</v>
      </c>
      <c r="H474" s="5" t="n">
        <f>D474*G474</f>
        <v>6.44</v>
      </c>
      <c r="I474" s="5" t="n">
        <v>0.25</v>
      </c>
      <c r="J474" s="5" t="n">
        <f>I474*(1+$N$2)</f>
        <v>0.25</v>
      </c>
      <c r="K474" s="5" t="n">
        <f>D474*J474</f>
        <v>0.5</v>
      </c>
      <c r="L474" s="5"/>
      <c r="M474" s="5"/>
      <c r="N474" s="5"/>
      <c r="O474" s="5"/>
    </row>
    <row r="475">
      <c r="A475" s="1"/>
      <c r="B475" s="1" t="str">
        <v>Ligne fictive 0243</v>
      </c>
      <c r="C475" s="1" t="str">
        <v>m2</v>
      </c>
      <c r="D475" s="5" t="n">
        <v>3</v>
      </c>
      <c r="E475" s="5" t="n">
        <f>G475*$L$2+J475*$M$2*$O$2</f>
        <v>24.167</v>
      </c>
      <c r="F475" s="5" t="n">
        <f>ROUND(D475*E475,2)</f>
        <v>72.5</v>
      </c>
      <c r="G475" s="5" t="n">
        <v>3.59</v>
      </c>
      <c r="H475" s="5" t="n">
        <f>D475*G475</f>
        <v>10.77</v>
      </c>
      <c r="I475" s="5" t="n">
        <v>0.375</v>
      </c>
      <c r="J475" s="5" t="n">
        <f>I475*(1+$N$2)</f>
        <v>0.375</v>
      </c>
      <c r="K475" s="5" t="n">
        <f>D475*J475</f>
        <v>1.125</v>
      </c>
      <c r="L475" s="5"/>
      <c r="M475" s="5"/>
      <c r="N475" s="5"/>
      <c r="O475" s="5"/>
    </row>
    <row r="476">
      <c r="A476" s="1"/>
      <c r="B476" s="1" t="str">
        <v>Ligne fictive 0244</v>
      </c>
      <c r="C476" s="1" t="str">
        <v>u</v>
      </c>
      <c r="D476" s="5" t="n">
        <v>4</v>
      </c>
      <c r="E476" s="5" t="n">
        <f>G476*$L$2+J476*$M$2*$O$2</f>
        <v>31.148</v>
      </c>
      <c r="F476" s="5" t="n">
        <f>ROUND(D476*E476,2)</f>
        <v>124.59</v>
      </c>
      <c r="G476" s="5" t="n">
        <v>3.96</v>
      </c>
      <c r="H476" s="5" t="n">
        <f>D476*G476</f>
        <v>15.84</v>
      </c>
      <c r="I476" s="5" t="n">
        <v>0.5</v>
      </c>
      <c r="J476" s="5" t="n">
        <f>I476*(1+$N$2)</f>
        <v>0.5</v>
      </c>
      <c r="K476" s="5" t="n">
        <f>D476*J476</f>
        <v>2</v>
      </c>
      <c r="L476" s="5"/>
      <c r="M476" s="5"/>
      <c r="N476" s="5"/>
      <c r="O476" s="5"/>
    </row>
    <row r="477">
      <c r="A477" s="1"/>
      <c r="B477" s="1" t="str">
        <v>Réserve fictive 0030</v>
      </c>
      <c r="C477" s="1" t="str">
        <v>u</v>
      </c>
      <c r="D477" s="5"/>
      <c r="E477" s="5" t="n">
        <v>0</v>
      </c>
      <c r="F477" s="5" t="n">
        <v>0</v>
      </c>
      <c r="G477" s="5" t="n">
        <v>0</v>
      </c>
      <c r="H477" s="5" t="n">
        <v>0</v>
      </c>
      <c r="I477" s="5" t="n">
        <v>0</v>
      </c>
      <c r="J477" s="5" t="n">
        <v>0</v>
      </c>
      <c r="K477" s="5" t="n">
        <v>0</v>
      </c>
      <c r="L477" s="5"/>
      <c r="M477" s="5"/>
      <c r="N477" s="5"/>
      <c r="O477" s="5"/>
    </row>
    <row r="478">
      <c r="A478" s="1"/>
      <c r="B478" s="1" t="str">
        <v>Sous-total fictif 86</v>
      </c>
      <c r="C478" s="1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>
      <c r="A479" s="1"/>
      <c r="B479" s="6" t="str">
        <v>Section fictive 087</v>
      </c>
      <c r="C479" s="1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>
      <c r="A480" s="1"/>
      <c r="B480" s="1" t="str">
        <v>Ligne fictive 0245</v>
      </c>
      <c r="C480" s="1" t="str">
        <v>ml</v>
      </c>
      <c r="D480" s="5" t="n">
        <v>5</v>
      </c>
      <c r="E480" s="5" t="n">
        <f>G480*$L$2+J480*$M$2*$O$2</f>
        <v>38.129</v>
      </c>
      <c r="F480" s="5" t="n">
        <f>ROUND(D480*E480,2)</f>
        <v>190.65</v>
      </c>
      <c r="G480" s="5" t="n">
        <v>4.33</v>
      </c>
      <c r="H480" s="5" t="n">
        <f>D480*G480</f>
        <v>21.65</v>
      </c>
      <c r="I480" s="5" t="n">
        <v>0.625</v>
      </c>
      <c r="J480" s="5" t="n">
        <f>I480*(1+$N$2)</f>
        <v>0.625</v>
      </c>
      <c r="K480" s="5" t="n">
        <f>D480*J480</f>
        <v>3.125</v>
      </c>
      <c r="L480" s="5"/>
      <c r="M480" s="5"/>
      <c r="N480" s="5"/>
      <c r="O480" s="5"/>
    </row>
    <row r="481">
      <c r="A481" s="1"/>
      <c r="B481" s="1" t="str">
        <v>Ligne fictive 0246</v>
      </c>
      <c r="C481" s="1" t="str">
        <v>m2</v>
      </c>
      <c r="D481" s="5" t="n">
        <v>1</v>
      </c>
      <c r="E481" s="5" t="n">
        <f>G481*$L$2+J481*$M$2*$O$2</f>
        <v>12.61</v>
      </c>
      <c r="F481" s="5" t="n">
        <f>ROUND(D481*E481,2)</f>
        <v>12.61</v>
      </c>
      <c r="G481" s="5" t="n">
        <v>4.7</v>
      </c>
      <c r="H481" s="5" t="n">
        <f>D481*G481</f>
        <v>4.7</v>
      </c>
      <c r="I481" s="5" t="n">
        <v>0.125</v>
      </c>
      <c r="J481" s="5" t="n">
        <f>I481*(1+$N$2)</f>
        <v>0.125</v>
      </c>
      <c r="K481" s="5" t="n">
        <f>D481*J481</f>
        <v>0.125</v>
      </c>
      <c r="L481" s="5"/>
      <c r="M481" s="5"/>
      <c r="N481" s="5"/>
      <c r="O481" s="5"/>
    </row>
    <row r="482">
      <c r="A482" s="1"/>
      <c r="B482" s="1" t="str">
        <v>Ligne fictive 0247</v>
      </c>
      <c r="C482" s="1" t="str">
        <v>u</v>
      </c>
      <c r="D482" s="5" t="n">
        <v>2</v>
      </c>
      <c r="E482" s="5" t="n">
        <f>G482*$L$2+J482*$M$2*$O$2</f>
        <v>19.591</v>
      </c>
      <c r="F482" s="5" t="n">
        <f>ROUND(D482*E482,2)</f>
        <v>39.18</v>
      </c>
      <c r="G482" s="5" t="n">
        <v>5.07</v>
      </c>
      <c r="H482" s="5" t="n">
        <f>D482*G482</f>
        <v>10.14</v>
      </c>
      <c r="I482" s="5" t="n">
        <v>0.25</v>
      </c>
      <c r="J482" s="5" t="n">
        <f>I482*(1+$N$2)</f>
        <v>0.25</v>
      </c>
      <c r="K482" s="5" t="n">
        <f>D482*J482</f>
        <v>0.5</v>
      </c>
      <c r="L482" s="5"/>
      <c r="M482" s="5"/>
      <c r="N482" s="5"/>
      <c r="O482" s="5"/>
    </row>
    <row r="483">
      <c r="A483" s="1"/>
      <c r="B483" s="1" t="str">
        <v>Sous-total fictif 87</v>
      </c>
      <c r="C483" s="1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>
      <c r="A484" s="1"/>
      <c r="B484" s="6" t="str">
        <v>Section fictive 088</v>
      </c>
      <c r="C484" s="1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>
      <c r="A485" s="1"/>
      <c r="B485" s="1" t="str">
        <v>Ligne fictive 0248</v>
      </c>
      <c r="C485" s="1" t="str">
        <v>ml</v>
      </c>
      <c r="D485" s="5" t="n">
        <v>3</v>
      </c>
      <c r="E485" s="5" t="n">
        <f>G485*$L$2+J485*$M$2*$O$2</f>
        <v>26.572000000000003</v>
      </c>
      <c r="F485" s="5" t="n">
        <f>ROUND(D485*E485,2)</f>
        <v>79.72</v>
      </c>
      <c r="G485" s="5" t="n">
        <v>5.44</v>
      </c>
      <c r="H485" s="5" t="n">
        <f>D485*G485</f>
        <v>16.32</v>
      </c>
      <c r="I485" s="5" t="n">
        <v>0.375</v>
      </c>
      <c r="J485" s="5" t="n">
        <f>I485*(1+$N$2)</f>
        <v>0.375</v>
      </c>
      <c r="K485" s="5" t="n">
        <f>D485*J485</f>
        <v>1.125</v>
      </c>
      <c r="L485" s="5"/>
      <c r="M485" s="5"/>
      <c r="N485" s="5"/>
      <c r="O485" s="5"/>
    </row>
    <row r="486">
      <c r="A486" s="1"/>
      <c r="B486" s="1" t="str">
        <v>Ligne fictive 0249</v>
      </c>
      <c r="C486" s="1" t="str">
        <v>m2</v>
      </c>
      <c r="D486" s="5" t="n">
        <v>4</v>
      </c>
      <c r="E486" s="5" t="n">
        <f>G486*$L$2+J486*$M$2*$O$2</f>
        <v>33.553</v>
      </c>
      <c r="F486" s="5" t="n">
        <f>ROUND(D486*E486,2)</f>
        <v>134.21</v>
      </c>
      <c r="G486" s="5" t="n">
        <v>5.81</v>
      </c>
      <c r="H486" s="5" t="n">
        <f>D486*G486</f>
        <v>23.24</v>
      </c>
      <c r="I486" s="5" t="n">
        <v>0.5</v>
      </c>
      <c r="J486" s="5" t="n">
        <f>I486*(1+$N$2)</f>
        <v>0.5</v>
      </c>
      <c r="K486" s="5" t="n">
        <f>D486*J486</f>
        <v>2</v>
      </c>
      <c r="L486" s="5"/>
      <c r="M486" s="5"/>
      <c r="N486" s="5"/>
      <c r="O486" s="5"/>
    </row>
    <row r="487">
      <c r="A487" s="1"/>
      <c r="B487" s="1" t="str">
        <v>Statut fictif 031</v>
      </c>
      <c r="C487" s="1" t="str">
        <v>HL</v>
      </c>
      <c r="D487" s="5" t="n">
        <v>1</v>
      </c>
      <c r="E487" s="5" t="n">
        <v>0</v>
      </c>
      <c r="F487" s="5" t="n">
        <v>0</v>
      </c>
      <c r="G487" s="5" t="n">
        <v>7.25</v>
      </c>
      <c r="H487" s="5" t="n">
        <v>0</v>
      </c>
      <c r="I487" s="5" t="n">
        <v>0.375</v>
      </c>
      <c r="J487" s="5" t="n">
        <v>0</v>
      </c>
      <c r="K487" s="5" t="n">
        <v>0</v>
      </c>
      <c r="L487" s="5"/>
      <c r="M487" s="5"/>
      <c r="N487" s="5"/>
      <c r="O487" s="5"/>
    </row>
    <row r="488">
      <c r="A488" s="1"/>
      <c r="B488" s="1" t="str">
        <v>Sous-total fictif 88</v>
      </c>
      <c r="C488" s="1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>
      <c r="A489" s="1"/>
      <c r="B489" s="6" t="str">
        <v>Section fictive 089</v>
      </c>
      <c r="C489" s="1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>
      <c r="A490" s="1"/>
      <c r="B490" s="1" t="str">
        <v>Ligne fictive 0250</v>
      </c>
      <c r="C490" s="1" t="str">
        <v>u</v>
      </c>
      <c r="D490" s="5" t="n">
        <v>5</v>
      </c>
      <c r="E490" s="5" t="n">
        <f>G490*$L$2+J490*$M$2*$O$2</f>
        <v>40.534</v>
      </c>
      <c r="F490" s="5" t="n">
        <f>ROUND(D490*E490,2)</f>
        <v>202.67</v>
      </c>
      <c r="G490" s="5" t="n">
        <v>6.18</v>
      </c>
      <c r="H490" s="5" t="n">
        <f>D490*G490</f>
        <v>30.9</v>
      </c>
      <c r="I490" s="5" t="n">
        <v>0.625</v>
      </c>
      <c r="J490" s="5" t="n">
        <f>I490*(1+$N$2)</f>
        <v>0.625</v>
      </c>
      <c r="K490" s="5" t="n">
        <f>D490*J490</f>
        <v>3.125</v>
      </c>
      <c r="L490" s="5"/>
      <c r="M490" s="5"/>
      <c r="N490" s="5"/>
      <c r="O490" s="5"/>
    </row>
    <row r="491">
      <c r="A491" s="1"/>
      <c r="B491" s="1" t="str">
        <v>Ligne fictive 0251</v>
      </c>
      <c r="C491" s="1" t="str">
        <v>ml</v>
      </c>
      <c r="D491" s="5" t="n">
        <v>1</v>
      </c>
      <c r="E491" s="5" t="n">
        <f>G491*$L$2+J491*$M$2*$O$2</f>
        <v>15.015</v>
      </c>
      <c r="F491" s="5" t="n">
        <f>ROUND(D491*E491,2)</f>
        <v>15.02</v>
      </c>
      <c r="G491" s="5" t="n">
        <v>6.55</v>
      </c>
      <c r="H491" s="5" t="n">
        <f>D491*G491</f>
        <v>6.55</v>
      </c>
      <c r="I491" s="5" t="n">
        <v>0.125</v>
      </c>
      <c r="J491" s="5" t="n">
        <f>I491*(1+$N$2)</f>
        <v>0.125</v>
      </c>
      <c r="K491" s="5" t="n">
        <f>D491*J491</f>
        <v>0.125</v>
      </c>
      <c r="L491" s="5"/>
      <c r="M491" s="5"/>
      <c r="N491" s="5"/>
      <c r="O491" s="5"/>
    </row>
    <row r="492">
      <c r="A492" s="1"/>
      <c r="B492" s="1" t="str">
        <v>Ligne fictive 0252</v>
      </c>
      <c r="C492" s="1" t="str">
        <v>m2</v>
      </c>
      <c r="D492" s="5" t="n">
        <v>2</v>
      </c>
      <c r="E492" s="5" t="n">
        <f>G492*$L$2+J492*$M$2*$O$2</f>
        <v>21.996000000000002</v>
      </c>
      <c r="F492" s="5" t="n">
        <f>ROUND(D492*E492,2)</f>
        <v>43.99</v>
      </c>
      <c r="G492" s="5" t="n">
        <v>6.92</v>
      </c>
      <c r="H492" s="5" t="n">
        <f>D492*G492</f>
        <v>13.84</v>
      </c>
      <c r="I492" s="5" t="n">
        <v>0.25</v>
      </c>
      <c r="J492" s="5" t="n">
        <f>I492*(1+$N$2)</f>
        <v>0.25</v>
      </c>
      <c r="K492" s="5" t="n">
        <f>D492*J492</f>
        <v>0.5</v>
      </c>
      <c r="L492" s="5"/>
      <c r="M492" s="5"/>
      <c r="N492" s="5"/>
      <c r="O492" s="5"/>
    </row>
    <row r="493">
      <c r="A493" s="1"/>
      <c r="B493" s="1" t="str">
        <v>Réserve fictive 0031</v>
      </c>
      <c r="C493" s="1" t="str">
        <v>u</v>
      </c>
      <c r="D493" s="5"/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/>
      <c r="M493" s="5"/>
      <c r="N493" s="5"/>
      <c r="O493" s="5"/>
    </row>
    <row r="494">
      <c r="A494" s="1"/>
      <c r="B494" s="1" t="str">
        <v>Sous-total fictif 89</v>
      </c>
      <c r="C494" s="1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>
      <c r="A495" s="1"/>
      <c r="B495" s="6" t="str">
        <v>Section fictive 090</v>
      </c>
      <c r="C495" s="1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>
      <c r="A496" s="1"/>
      <c r="B496" s="1" t="str">
        <v>Ligne fictive 0253</v>
      </c>
      <c r="C496" s="1" t="str">
        <v>u</v>
      </c>
      <c r="D496" s="5" t="n">
        <v>3</v>
      </c>
      <c r="E496" s="5" t="n">
        <f>G496*$L$2+J496*$M$2*$O$2</f>
        <v>28.977</v>
      </c>
      <c r="F496" s="5" t="n">
        <f>ROUND(D496*E496,2)</f>
        <v>86.93</v>
      </c>
      <c r="G496" s="5" t="n">
        <v>7.29</v>
      </c>
      <c r="H496" s="5" t="n">
        <f>D496*G496</f>
        <v>21.87</v>
      </c>
      <c r="I496" s="5" t="n">
        <v>0.375</v>
      </c>
      <c r="J496" s="5" t="n">
        <f>I496*(1+$N$2)</f>
        <v>0.375</v>
      </c>
      <c r="K496" s="5" t="n">
        <f>D496*J496</f>
        <v>1.125</v>
      </c>
      <c r="L496" s="5"/>
      <c r="M496" s="5"/>
      <c r="N496" s="5"/>
      <c r="O496" s="5"/>
    </row>
    <row r="497">
      <c r="A497" s="1"/>
      <c r="B497" s="1" t="str">
        <v>Ligne fictive 0254</v>
      </c>
      <c r="C497" s="1" t="str">
        <v>ml</v>
      </c>
      <c r="D497" s="5" t="n">
        <v>4</v>
      </c>
      <c r="E497" s="5" t="n">
        <f>G497*$L$2+J497*$M$2*$O$2</f>
        <v>35.958</v>
      </c>
      <c r="F497" s="5" t="n">
        <f>ROUND(D497*E497,2)</f>
        <v>143.83</v>
      </c>
      <c r="G497" s="5" t="n">
        <v>7.66</v>
      </c>
      <c r="H497" s="5" t="n">
        <f>D497*G497</f>
        <v>30.64</v>
      </c>
      <c r="I497" s="5" t="n">
        <v>0.5</v>
      </c>
      <c r="J497" s="5" t="n">
        <f>I497*(1+$N$2)</f>
        <v>0.5</v>
      </c>
      <c r="K497" s="5" t="n">
        <f>D497*J497</f>
        <v>2</v>
      </c>
      <c r="L497" s="5"/>
      <c r="M497" s="5"/>
      <c r="N497" s="5"/>
      <c r="O497" s="5"/>
    </row>
    <row r="498">
      <c r="A498" s="1"/>
      <c r="B498" s="1" t="str">
        <v>Ligne fictive 0255</v>
      </c>
      <c r="C498" s="1" t="str">
        <v>m2</v>
      </c>
      <c r="D498" s="5" t="n">
        <v>5</v>
      </c>
      <c r="E498" s="5" t="n">
        <f>G498*$L$2+J498*$M$2*$O$2</f>
        <v>42.939</v>
      </c>
      <c r="F498" s="5" t="n">
        <f>ROUND(D498*E498,2)</f>
        <v>214.7</v>
      </c>
      <c r="G498" s="5" t="n">
        <v>8.03</v>
      </c>
      <c r="H498" s="5" t="n">
        <f>D498*G498</f>
        <v>40.15</v>
      </c>
      <c r="I498" s="5" t="n">
        <v>0.625</v>
      </c>
      <c r="J498" s="5" t="n">
        <f>I498*(1+$N$2)</f>
        <v>0.625</v>
      </c>
      <c r="K498" s="5" t="n">
        <f>D498*J498</f>
        <v>3.125</v>
      </c>
      <c r="L498" s="5"/>
      <c r="M498" s="5"/>
      <c r="N498" s="5"/>
      <c r="O498" s="5"/>
    </row>
    <row r="499">
      <c r="A499" s="1"/>
      <c r="B499" s="1" t="str">
        <v>Sous-total fictif 90</v>
      </c>
      <c r="C499" s="1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>
      <c r="A500" s="1"/>
      <c r="B500" s="6" t="str">
        <v>Section fictive 091</v>
      </c>
      <c r="C500" s="1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>
      <c r="A501" s="1"/>
      <c r="B501" s="1" t="str">
        <v>Ligne fictive 0256</v>
      </c>
      <c r="C501" s="1" t="str">
        <v>u</v>
      </c>
      <c r="D501" s="5" t="n">
        <v>1</v>
      </c>
      <c r="E501" s="5" t="n">
        <f>G501*$L$2+J501*$M$2*$O$2</f>
        <v>9.243</v>
      </c>
      <c r="F501" s="5" t="n">
        <f>ROUND(D501*E501,2)</f>
        <v>9.24</v>
      </c>
      <c r="G501" s="5" t="n">
        <v>2.11</v>
      </c>
      <c r="H501" s="5" t="n">
        <f>D501*G501</f>
        <v>2.11</v>
      </c>
      <c r="I501" s="5" t="n">
        <v>0.125</v>
      </c>
      <c r="J501" s="5" t="n">
        <f>I501*(1+$N$2)</f>
        <v>0.125</v>
      </c>
      <c r="K501" s="5" t="n">
        <f>D501*J501</f>
        <v>0.125</v>
      </c>
      <c r="L501" s="5"/>
      <c r="M501" s="5"/>
      <c r="N501" s="5"/>
      <c r="O501" s="5"/>
    </row>
    <row r="502">
      <c r="A502" s="1"/>
      <c r="B502" s="1" t="str">
        <v>Ligne fictive 0257</v>
      </c>
      <c r="C502" s="1" t="str">
        <v>ml</v>
      </c>
      <c r="D502" s="5" t="n">
        <v>2</v>
      </c>
      <c r="E502" s="5" t="n">
        <f>G502*$L$2+J502*$M$2*$O$2</f>
        <v>16.224</v>
      </c>
      <c r="F502" s="5" t="n">
        <f>ROUND(D502*E502,2)</f>
        <v>32.45</v>
      </c>
      <c r="G502" s="5" t="n">
        <v>2.48</v>
      </c>
      <c r="H502" s="5" t="n">
        <f>D502*G502</f>
        <v>4.96</v>
      </c>
      <c r="I502" s="5" t="n">
        <v>0.25</v>
      </c>
      <c r="J502" s="5" t="n">
        <f>I502*(1+$N$2)</f>
        <v>0.25</v>
      </c>
      <c r="K502" s="5" t="n">
        <f>D502*J502</f>
        <v>0.5</v>
      </c>
      <c r="L502" s="5"/>
      <c r="M502" s="5"/>
      <c r="N502" s="5"/>
      <c r="O502" s="5"/>
    </row>
    <row r="503">
      <c r="A503" s="1"/>
      <c r="B503" s="1" t="str">
        <v>Ligne fictive 0258</v>
      </c>
      <c r="C503" s="1" t="str">
        <v>m2</v>
      </c>
      <c r="D503" s="5" t="n">
        <v>3</v>
      </c>
      <c r="E503" s="5" t="n">
        <f>G503*$L$2+J503*$M$2*$O$2</f>
        <v>23.205</v>
      </c>
      <c r="F503" s="5" t="n">
        <f>ROUND(D503*E503,2)</f>
        <v>69.61</v>
      </c>
      <c r="G503" s="5" t="n">
        <v>2.85</v>
      </c>
      <c r="H503" s="5" t="n">
        <f>D503*G503</f>
        <v>8.55</v>
      </c>
      <c r="I503" s="5" t="n">
        <v>0.375</v>
      </c>
      <c r="J503" s="5" t="n">
        <f>I503*(1+$N$2)</f>
        <v>0.375</v>
      </c>
      <c r="K503" s="5" t="n">
        <f>D503*J503</f>
        <v>1.125</v>
      </c>
      <c r="L503" s="5"/>
      <c r="M503" s="5"/>
      <c r="N503" s="5"/>
      <c r="O503" s="5"/>
    </row>
    <row r="504">
      <c r="A504" s="1"/>
      <c r="B504" s="1" t="str">
        <v>Statut fictif 032</v>
      </c>
      <c r="C504" s="1" t="str">
        <v>HL</v>
      </c>
      <c r="D504" s="5" t="n">
        <v>2</v>
      </c>
      <c r="E504" s="5" t="n">
        <v>0</v>
      </c>
      <c r="F504" s="5" t="n">
        <v>0</v>
      </c>
      <c r="G504" s="5" t="n">
        <v>7.25</v>
      </c>
      <c r="H504" s="5" t="n">
        <v>0</v>
      </c>
      <c r="I504" s="5" t="n">
        <v>0.375</v>
      </c>
      <c r="J504" s="5" t="n">
        <v>0</v>
      </c>
      <c r="K504" s="5" t="n">
        <v>0</v>
      </c>
      <c r="L504" s="5"/>
      <c r="M504" s="5"/>
      <c r="N504" s="5"/>
      <c r="O504" s="5"/>
    </row>
    <row r="505">
      <c r="A505" s="1"/>
      <c r="B505" s="1" t="str">
        <v>Sous-total fictif 91</v>
      </c>
      <c r="C505" s="1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>
      <c r="A506" s="1"/>
      <c r="B506" s="6" t="str">
        <v>Section fictive 092</v>
      </c>
      <c r="C506" s="1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>
      <c r="A507" s="1"/>
      <c r="B507" s="1" t="str">
        <v>Ligne fictive 0259</v>
      </c>
      <c r="C507" s="1" t="str">
        <v>u</v>
      </c>
      <c r="D507" s="5" t="n">
        <v>4</v>
      </c>
      <c r="E507" s="5" t="n">
        <f>G507*$L$2+J507*$M$2*$O$2</f>
        <v>30.186</v>
      </c>
      <c r="F507" s="5" t="n">
        <f>ROUND(D507*E507,2)</f>
        <v>120.74</v>
      </c>
      <c r="G507" s="5" t="n">
        <v>3.22</v>
      </c>
      <c r="H507" s="5" t="n">
        <f>D507*G507</f>
        <v>12.88</v>
      </c>
      <c r="I507" s="5" t="n">
        <v>0.5</v>
      </c>
      <c r="J507" s="5" t="n">
        <f>I507*(1+$N$2)</f>
        <v>0.5</v>
      </c>
      <c r="K507" s="5" t="n">
        <f>D507*J507</f>
        <v>2</v>
      </c>
      <c r="L507" s="5"/>
      <c r="M507" s="5"/>
      <c r="N507" s="5"/>
      <c r="O507" s="5"/>
    </row>
    <row r="508">
      <c r="A508" s="1"/>
      <c r="B508" s="1" t="str">
        <v>Ligne fictive 0260</v>
      </c>
      <c r="C508" s="1" t="str">
        <v>ml</v>
      </c>
      <c r="D508" s="5" t="n">
        <v>5</v>
      </c>
      <c r="E508" s="5" t="n">
        <f>G508*$L$2+J508*$M$2*$O$2</f>
        <v>37.167</v>
      </c>
      <c r="F508" s="5" t="n">
        <f>ROUND(D508*E508,2)</f>
        <v>185.84</v>
      </c>
      <c r="G508" s="5" t="n">
        <v>3.59</v>
      </c>
      <c r="H508" s="5" t="n">
        <f>D508*G508</f>
        <v>17.95</v>
      </c>
      <c r="I508" s="5" t="n">
        <v>0.625</v>
      </c>
      <c r="J508" s="5" t="n">
        <f>I508*(1+$N$2)</f>
        <v>0.625</v>
      </c>
      <c r="K508" s="5" t="n">
        <f>D508*J508</f>
        <v>3.125</v>
      </c>
      <c r="L508" s="5"/>
      <c r="M508" s="5"/>
      <c r="N508" s="5"/>
      <c r="O508" s="5"/>
    </row>
    <row r="509">
      <c r="A509" s="1"/>
      <c r="B509" s="1" t="str">
        <v>Ligne fictive 0261</v>
      </c>
      <c r="C509" s="1" t="str">
        <v>m2</v>
      </c>
      <c r="D509" s="5" t="n">
        <v>1</v>
      </c>
      <c r="E509" s="5" t="n">
        <f>G509*$L$2+J509*$M$2*$O$2</f>
        <v>11.648</v>
      </c>
      <c r="F509" s="5" t="n">
        <f>ROUND(D509*E509,2)</f>
        <v>11.65</v>
      </c>
      <c r="G509" s="5" t="n">
        <v>3.96</v>
      </c>
      <c r="H509" s="5" t="n">
        <f>D509*G509</f>
        <v>3.96</v>
      </c>
      <c r="I509" s="5" t="n">
        <v>0.125</v>
      </c>
      <c r="J509" s="5" t="n">
        <f>I509*(1+$N$2)</f>
        <v>0.125</v>
      </c>
      <c r="K509" s="5" t="n">
        <f>D509*J509</f>
        <v>0.125</v>
      </c>
      <c r="L509" s="5"/>
      <c r="M509" s="5"/>
      <c r="N509" s="5"/>
      <c r="O509" s="5"/>
    </row>
    <row r="510">
      <c r="A510" s="1"/>
      <c r="B510" s="1" t="str">
        <v>Réserve fictive 0032</v>
      </c>
      <c r="C510" s="1" t="str">
        <v>u</v>
      </c>
      <c r="D510" s="5"/>
      <c r="E510" s="5" t="n">
        <v>0</v>
      </c>
      <c r="F510" s="5" t="n">
        <v>0</v>
      </c>
      <c r="G510" s="5" t="n">
        <v>0</v>
      </c>
      <c r="H510" s="5" t="n">
        <v>0</v>
      </c>
      <c r="I510" s="5" t="n">
        <v>0</v>
      </c>
      <c r="J510" s="5" t="n">
        <v>0</v>
      </c>
      <c r="K510" s="5" t="n">
        <v>0</v>
      </c>
      <c r="L510" s="5"/>
      <c r="M510" s="5"/>
      <c r="N510" s="5"/>
      <c r="O510" s="5"/>
    </row>
    <row r="511">
      <c r="A511" s="1"/>
      <c r="B511" s="1" t="str">
        <v>Sous-total fictif 92</v>
      </c>
      <c r="C511" s="1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>
      <c r="A512" s="1"/>
      <c r="B512" s="6" t="str">
        <v>Section fictive 093</v>
      </c>
      <c r="C512" s="1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>
      <c r="A513" s="1"/>
      <c r="B513" s="1" t="str">
        <v>Ligne fictive 0262</v>
      </c>
      <c r="C513" s="1" t="str">
        <v>u</v>
      </c>
      <c r="D513" s="5" t="n">
        <v>2</v>
      </c>
      <c r="E513" s="5" t="n">
        <f>G513*$L$2+J513*$M$2*$O$2</f>
        <v>18.629</v>
      </c>
      <c r="F513" s="5" t="n">
        <f>ROUND(D513*E513,2)</f>
        <v>37.26</v>
      </c>
      <c r="G513" s="5" t="n">
        <v>4.33</v>
      </c>
      <c r="H513" s="5" t="n">
        <f>D513*G513</f>
        <v>8.66</v>
      </c>
      <c r="I513" s="5" t="n">
        <v>0.25</v>
      </c>
      <c r="J513" s="5" t="n">
        <f>I513*(1+$N$2)</f>
        <v>0.25</v>
      </c>
      <c r="K513" s="5" t="n">
        <f>D513*J513</f>
        <v>0.5</v>
      </c>
      <c r="L513" s="5"/>
      <c r="M513" s="5"/>
      <c r="N513" s="5"/>
      <c r="O513" s="5"/>
    </row>
    <row r="514">
      <c r="A514" s="1"/>
      <c r="B514" s="1" t="str">
        <v>Ligne fictive 0263</v>
      </c>
      <c r="C514" s="1" t="str">
        <v>ml</v>
      </c>
      <c r="D514" s="5" t="n">
        <v>3</v>
      </c>
      <c r="E514" s="5" t="n">
        <f>G514*$L$2+J514*$M$2*$O$2</f>
        <v>25.61</v>
      </c>
      <c r="F514" s="5" t="n">
        <f>ROUND(D514*E514,2)</f>
        <v>76.83</v>
      </c>
      <c r="G514" s="5" t="n">
        <v>4.7</v>
      </c>
      <c r="H514" s="5" t="n">
        <f>D514*G514</f>
        <v>14.100000000000001</v>
      </c>
      <c r="I514" s="5" t="n">
        <v>0.375</v>
      </c>
      <c r="J514" s="5" t="n">
        <f>I514*(1+$N$2)</f>
        <v>0.375</v>
      </c>
      <c r="K514" s="5" t="n">
        <f>D514*J514</f>
        <v>1.125</v>
      </c>
      <c r="L514" s="5"/>
      <c r="M514" s="5"/>
      <c r="N514" s="5"/>
      <c r="O514" s="5"/>
    </row>
    <row r="515">
      <c r="A515" s="1"/>
      <c r="B515" s="1" t="str">
        <v>Ligne fictive 0264</v>
      </c>
      <c r="C515" s="1" t="str">
        <v>m2</v>
      </c>
      <c r="D515" s="5" t="n">
        <v>4</v>
      </c>
      <c r="E515" s="5" t="n">
        <f>G515*$L$2+J515*$M$2*$O$2</f>
        <v>32.591</v>
      </c>
      <c r="F515" s="5" t="n">
        <f>ROUND(D515*E515,2)</f>
        <v>130.36</v>
      </c>
      <c r="G515" s="5" t="n">
        <v>5.07</v>
      </c>
      <c r="H515" s="5" t="n">
        <f>D515*G515</f>
        <v>20.28</v>
      </c>
      <c r="I515" s="5" t="n">
        <v>0.5</v>
      </c>
      <c r="J515" s="5" t="n">
        <f>I515*(1+$N$2)</f>
        <v>0.5</v>
      </c>
      <c r="K515" s="5" t="n">
        <f>D515*J515</f>
        <v>2</v>
      </c>
      <c r="L515" s="5"/>
      <c r="M515" s="5"/>
      <c r="N515" s="5"/>
      <c r="O515" s="5"/>
    </row>
    <row r="516">
      <c r="A516" s="1"/>
      <c r="B516" s="1" t="str">
        <v>Statut fictif 033</v>
      </c>
      <c r="C516" s="1" t="str">
        <v>HL</v>
      </c>
      <c r="D516" s="5" t="n">
        <v>3</v>
      </c>
      <c r="E516" s="5" t="n">
        <v>0</v>
      </c>
      <c r="F516" s="5" t="n">
        <v>0</v>
      </c>
      <c r="G516" s="5" t="n">
        <v>7.25</v>
      </c>
      <c r="H516" s="5" t="n">
        <v>0</v>
      </c>
      <c r="I516" s="5" t="n">
        <v>0.375</v>
      </c>
      <c r="J516" s="5" t="n">
        <v>0</v>
      </c>
      <c r="K516" s="5" t="n">
        <v>0</v>
      </c>
      <c r="L516" s="5"/>
      <c r="M516" s="5"/>
      <c r="N516" s="5"/>
      <c r="O516" s="5"/>
    </row>
    <row r="517">
      <c r="A517" s="1"/>
      <c r="B517" s="1" t="str">
        <v>Sous-total fictif 93</v>
      </c>
      <c r="C517" s="1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>
      <c r="A518" s="1"/>
      <c r="B518" s="6" t="str">
        <v>Section fictive 094</v>
      </c>
      <c r="C518" s="1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>
      <c r="A519" s="1"/>
      <c r="B519" s="1" t="str">
        <v>Ligne fictive 0265</v>
      </c>
      <c r="C519" s="1" t="str">
        <v>u</v>
      </c>
      <c r="D519" s="5" t="n">
        <v>5</v>
      </c>
      <c r="E519" s="5" t="n">
        <f>G519*$L$2+J519*$M$2*$O$2</f>
        <v>39.572</v>
      </c>
      <c r="F519" s="5" t="n">
        <f>ROUND(D519*E519,2)</f>
        <v>197.86</v>
      </c>
      <c r="G519" s="5" t="n">
        <v>5.44</v>
      </c>
      <c r="H519" s="5" t="n">
        <f>D519*G519</f>
        <v>27.200000000000003</v>
      </c>
      <c r="I519" s="5" t="n">
        <v>0.625</v>
      </c>
      <c r="J519" s="5" t="n">
        <f>I519*(1+$N$2)</f>
        <v>0.625</v>
      </c>
      <c r="K519" s="5" t="n">
        <f>D519*J519</f>
        <v>3.125</v>
      </c>
      <c r="L519" s="5"/>
      <c r="M519" s="5"/>
      <c r="N519" s="5"/>
      <c r="O519" s="5"/>
    </row>
    <row r="520">
      <c r="A520" s="1"/>
      <c r="B520" s="1" t="str">
        <v>Ligne fictive 0266</v>
      </c>
      <c r="C520" s="1" t="str">
        <v>ml</v>
      </c>
      <c r="D520" s="5" t="n">
        <v>1</v>
      </c>
      <c r="E520" s="5" t="n">
        <f>G520*$L$2+J520*$M$2*$O$2</f>
        <v>14.053</v>
      </c>
      <c r="F520" s="5" t="n">
        <f>ROUND(D520*E520,2)</f>
        <v>14.05</v>
      </c>
      <c r="G520" s="5" t="n">
        <v>5.81</v>
      </c>
      <c r="H520" s="5" t="n">
        <f>D520*G520</f>
        <v>5.81</v>
      </c>
      <c r="I520" s="5" t="n">
        <v>0.125</v>
      </c>
      <c r="J520" s="5" t="n">
        <f>I520*(1+$N$2)</f>
        <v>0.125</v>
      </c>
      <c r="K520" s="5" t="n">
        <f>D520*J520</f>
        <v>0.125</v>
      </c>
      <c r="L520" s="5"/>
      <c r="M520" s="5"/>
      <c r="N520" s="5"/>
      <c r="O520" s="5"/>
    </row>
    <row r="521">
      <c r="A521" s="1"/>
      <c r="B521" s="1" t="str">
        <v>Sous-total fictif 94</v>
      </c>
      <c r="C521" s="1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>
      <c r="A522" s="1"/>
      <c r="B522" s="6" t="str">
        <v>Section fictive 095</v>
      </c>
      <c r="C522" s="1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>
      <c r="A523" s="1"/>
      <c r="B523" s="1" t="str">
        <v>Ligne fictive 0267</v>
      </c>
      <c r="C523" s="1" t="str">
        <v>m2</v>
      </c>
      <c r="D523" s="5" t="n">
        <v>2</v>
      </c>
      <c r="E523" s="5" t="n">
        <f>G523*$L$2+J523*$M$2*$O$2</f>
        <v>21.034</v>
      </c>
      <c r="F523" s="5" t="n">
        <f>ROUND(D523*E523,2)</f>
        <v>42.07</v>
      </c>
      <c r="G523" s="5" t="n">
        <v>6.18</v>
      </c>
      <c r="H523" s="5" t="n">
        <f>D523*G523</f>
        <v>12.36</v>
      </c>
      <c r="I523" s="5" t="n">
        <v>0.25</v>
      </c>
      <c r="J523" s="5" t="n">
        <f>I523*(1+$N$2)</f>
        <v>0.25</v>
      </c>
      <c r="K523" s="5" t="n">
        <f>D523*J523</f>
        <v>0.5</v>
      </c>
      <c r="L523" s="5"/>
      <c r="M523" s="5"/>
      <c r="N523" s="5"/>
      <c r="O523" s="5"/>
    </row>
    <row r="524">
      <c r="A524" s="1"/>
      <c r="B524" s="1" t="str">
        <v>Ligne fictive 0268</v>
      </c>
      <c r="C524" s="1" t="str">
        <v>u</v>
      </c>
      <c r="D524" s="5" t="n">
        <v>3</v>
      </c>
      <c r="E524" s="5" t="n">
        <f>G524*$L$2+J524*$M$2*$O$2</f>
        <v>28.015</v>
      </c>
      <c r="F524" s="5" t="n">
        <f>ROUND(D524*E524,2)</f>
        <v>84.05</v>
      </c>
      <c r="G524" s="5" t="n">
        <v>6.55</v>
      </c>
      <c r="H524" s="5" t="n">
        <f>D524*G524</f>
        <v>19.65</v>
      </c>
      <c r="I524" s="5" t="n">
        <v>0.375</v>
      </c>
      <c r="J524" s="5" t="n">
        <f>I524*(1+$N$2)</f>
        <v>0.375</v>
      </c>
      <c r="K524" s="5" t="n">
        <f>D524*J524</f>
        <v>1.125</v>
      </c>
      <c r="L524" s="5"/>
      <c r="M524" s="5"/>
      <c r="N524" s="5"/>
      <c r="O524" s="5"/>
    </row>
    <row r="525">
      <c r="A525" s="1"/>
      <c r="B525" s="1" t="str">
        <v>Ligne fictive 0269</v>
      </c>
      <c r="C525" s="1" t="str">
        <v>ml</v>
      </c>
      <c r="D525" s="5" t="n">
        <v>4</v>
      </c>
      <c r="E525" s="5" t="n">
        <f>G525*$L$2+J525*$M$2*$O$2</f>
        <v>34.996</v>
      </c>
      <c r="F525" s="5" t="n">
        <f>ROUND(D525*E525,2)</f>
        <v>139.98</v>
      </c>
      <c r="G525" s="5" t="n">
        <v>6.92</v>
      </c>
      <c r="H525" s="5" t="n">
        <f>D525*G525</f>
        <v>27.68</v>
      </c>
      <c r="I525" s="5" t="n">
        <v>0.5</v>
      </c>
      <c r="J525" s="5" t="n">
        <f>I525*(1+$N$2)</f>
        <v>0.5</v>
      </c>
      <c r="K525" s="5" t="n">
        <f>D525*J525</f>
        <v>2</v>
      </c>
      <c r="L525" s="5"/>
      <c r="M525" s="5"/>
      <c r="N525" s="5"/>
      <c r="O525" s="5"/>
    </row>
    <row r="526">
      <c r="A526" s="1"/>
      <c r="B526" s="1" t="str">
        <v>Réserve fictive 0033</v>
      </c>
      <c r="C526" s="1" t="str">
        <v>u</v>
      </c>
      <c r="D526" s="5"/>
      <c r="E526" s="5" t="n">
        <v>0</v>
      </c>
      <c r="F526" s="5" t="n">
        <v>0</v>
      </c>
      <c r="G526" s="5" t="n">
        <v>0</v>
      </c>
      <c r="H526" s="5" t="n">
        <v>0</v>
      </c>
      <c r="I526" s="5" t="n">
        <v>0</v>
      </c>
      <c r="J526" s="5" t="n">
        <v>0</v>
      </c>
      <c r="K526" s="5" t="n">
        <v>0</v>
      </c>
      <c r="L526" s="5"/>
      <c r="M526" s="5"/>
      <c r="N526" s="5"/>
      <c r="O526" s="5"/>
    </row>
    <row r="527">
      <c r="A527" s="1"/>
      <c r="B527" s="1" t="str">
        <v>Sous-total fictif 95</v>
      </c>
      <c r="C527" s="1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>
      <c r="A528" s="1"/>
      <c r="B528" s="6" t="str">
        <v>Section fictive 096</v>
      </c>
      <c r="C528" s="1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>
      <c r="A529" s="1"/>
      <c r="B529" s="1" t="str">
        <v>Ligne fictive 0270</v>
      </c>
      <c r="C529" s="1" t="str">
        <v>m2</v>
      </c>
      <c r="D529" s="5" t="n">
        <v>5</v>
      </c>
      <c r="E529" s="5" t="n">
        <f>G529*$L$2+J529*$M$2*$O$2</f>
        <v>41.977000000000004</v>
      </c>
      <c r="F529" s="5" t="n">
        <f>ROUND(D529*E529,2)</f>
        <v>209.89</v>
      </c>
      <c r="G529" s="5" t="n">
        <v>7.29</v>
      </c>
      <c r="H529" s="5" t="n">
        <f>D529*G529</f>
        <v>36.45</v>
      </c>
      <c r="I529" s="5" t="n">
        <v>0.625</v>
      </c>
      <c r="J529" s="5" t="n">
        <f>I529*(1+$N$2)</f>
        <v>0.625</v>
      </c>
      <c r="K529" s="5" t="n">
        <f>D529*J529</f>
        <v>3.125</v>
      </c>
      <c r="L529" s="5"/>
      <c r="M529" s="5"/>
      <c r="N529" s="5"/>
      <c r="O529" s="5"/>
    </row>
    <row r="530">
      <c r="A530" s="1"/>
      <c r="B530" s="1" t="str">
        <v>Ligne fictive 0271</v>
      </c>
      <c r="C530" s="1" t="str">
        <v>u</v>
      </c>
      <c r="D530" s="5" t="n">
        <v>1</v>
      </c>
      <c r="E530" s="5" t="n">
        <f>G530*$L$2+J530*$M$2*$O$2</f>
        <v>16.458</v>
      </c>
      <c r="F530" s="5" t="n">
        <f>ROUND(D530*E530,2)</f>
        <v>16.46</v>
      </c>
      <c r="G530" s="5" t="n">
        <v>7.66</v>
      </c>
      <c r="H530" s="5" t="n">
        <f>D530*G530</f>
        <v>7.66</v>
      </c>
      <c r="I530" s="5" t="n">
        <v>0.125</v>
      </c>
      <c r="J530" s="5" t="n">
        <f>I530*(1+$N$2)</f>
        <v>0.125</v>
      </c>
      <c r="K530" s="5" t="n">
        <f>D530*J530</f>
        <v>0.125</v>
      </c>
      <c r="L530" s="5"/>
      <c r="M530" s="5"/>
      <c r="N530" s="5"/>
      <c r="O530" s="5"/>
    </row>
    <row r="531">
      <c r="A531" s="1"/>
      <c r="B531" s="1" t="str">
        <v>Ligne fictive 0272</v>
      </c>
      <c r="C531" s="1" t="str">
        <v>ml</v>
      </c>
      <c r="D531" s="5" t="n">
        <v>2</v>
      </c>
      <c r="E531" s="5" t="n">
        <f>G531*$L$2+J531*$M$2*$O$2</f>
        <v>23.439</v>
      </c>
      <c r="F531" s="5" t="n">
        <f>ROUND(D531*E531,2)</f>
        <v>46.88</v>
      </c>
      <c r="G531" s="5" t="n">
        <v>8.03</v>
      </c>
      <c r="H531" s="5" t="n">
        <f>D531*G531</f>
        <v>16.06</v>
      </c>
      <c r="I531" s="5" t="n">
        <v>0.25</v>
      </c>
      <c r="J531" s="5" t="n">
        <f>I531*(1+$N$2)</f>
        <v>0.25</v>
      </c>
      <c r="K531" s="5" t="n">
        <f>D531*J531</f>
        <v>0.5</v>
      </c>
      <c r="L531" s="5"/>
      <c r="M531" s="5"/>
      <c r="N531" s="5"/>
      <c r="O531" s="5"/>
    </row>
    <row r="532">
      <c r="A532" s="1"/>
      <c r="B532" s="1" t="str">
        <v>Statut fictif 034</v>
      </c>
      <c r="C532" s="1" t="str">
        <v>HL</v>
      </c>
      <c r="D532" s="5" t="n">
        <v>1</v>
      </c>
      <c r="E532" s="5" t="n">
        <v>0</v>
      </c>
      <c r="F532" s="5" t="n">
        <v>0</v>
      </c>
      <c r="G532" s="5" t="n">
        <v>7.25</v>
      </c>
      <c r="H532" s="5" t="n">
        <v>0</v>
      </c>
      <c r="I532" s="5" t="n">
        <v>0.375</v>
      </c>
      <c r="J532" s="5" t="n">
        <v>0</v>
      </c>
      <c r="K532" s="5" t="n">
        <v>0</v>
      </c>
      <c r="L532" s="5"/>
      <c r="M532" s="5"/>
      <c r="N532" s="5"/>
      <c r="O532" s="5"/>
    </row>
    <row r="533">
      <c r="A533" s="1"/>
      <c r="B533" s="1" t="str">
        <v>Sous-total fictif 96</v>
      </c>
      <c r="C533" s="1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>
      <c r="A534" s="1"/>
      <c r="B534" s="6" t="str">
        <v>Section fictive 097</v>
      </c>
      <c r="C534" s="1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>
      <c r="A535" s="1"/>
      <c r="B535" s="1" t="str">
        <v>Ligne fictive 0273</v>
      </c>
      <c r="C535" s="1" t="str">
        <v>m2</v>
      </c>
      <c r="D535" s="5" t="n">
        <v>3</v>
      </c>
      <c r="E535" s="5" t="n">
        <f>G535*$L$2+J535*$M$2*$O$2</f>
        <v>22.243</v>
      </c>
      <c r="F535" s="5" t="n">
        <f>ROUND(D535*E535,2)</f>
        <v>66.73</v>
      </c>
      <c r="G535" s="5" t="n">
        <v>2.11</v>
      </c>
      <c r="H535" s="5" t="n">
        <f>D535*G535</f>
        <v>6.33</v>
      </c>
      <c r="I535" s="5" t="n">
        <v>0.375</v>
      </c>
      <c r="J535" s="5" t="n">
        <f>I535*(1+$N$2)</f>
        <v>0.375</v>
      </c>
      <c r="K535" s="5" t="n">
        <f>D535*J535</f>
        <v>1.125</v>
      </c>
      <c r="L535" s="5"/>
      <c r="M535" s="5"/>
      <c r="N535" s="5"/>
      <c r="O535" s="5"/>
    </row>
    <row r="536">
      <c r="A536" s="1"/>
      <c r="B536" s="1" t="str">
        <v>Ligne fictive 0274</v>
      </c>
      <c r="C536" s="1" t="str">
        <v>u</v>
      </c>
      <c r="D536" s="5" t="n">
        <v>4</v>
      </c>
      <c r="E536" s="5" t="n">
        <f>G536*$L$2+J536*$M$2*$O$2</f>
        <v>29.224</v>
      </c>
      <c r="F536" s="5" t="n">
        <f>ROUND(D536*E536,2)</f>
        <v>116.9</v>
      </c>
      <c r="G536" s="5" t="n">
        <v>2.48</v>
      </c>
      <c r="H536" s="5" t="n">
        <f>D536*G536</f>
        <v>9.92</v>
      </c>
      <c r="I536" s="5" t="n">
        <v>0.5</v>
      </c>
      <c r="J536" s="5" t="n">
        <f>I536*(1+$N$2)</f>
        <v>0.5</v>
      </c>
      <c r="K536" s="5" t="n">
        <f>D536*J536</f>
        <v>2</v>
      </c>
      <c r="L536" s="5"/>
      <c r="M536" s="5"/>
      <c r="N536" s="5"/>
      <c r="O536" s="5"/>
    </row>
    <row r="537">
      <c r="A537" s="1"/>
      <c r="B537" s="1" t="str">
        <v>Ligne fictive 0275</v>
      </c>
      <c r="C537" s="1" t="str">
        <v>ml</v>
      </c>
      <c r="D537" s="5" t="n">
        <v>5</v>
      </c>
      <c r="E537" s="5" t="n">
        <f>G537*$L$2+J537*$M$2*$O$2</f>
        <v>36.205</v>
      </c>
      <c r="F537" s="5" t="n">
        <f>ROUND(D537*E537,2)</f>
        <v>181.02</v>
      </c>
      <c r="G537" s="5" t="n">
        <v>2.85</v>
      </c>
      <c r="H537" s="5" t="n">
        <f>D537*G537</f>
        <v>14.25</v>
      </c>
      <c r="I537" s="5" t="n">
        <v>0.625</v>
      </c>
      <c r="J537" s="5" t="n">
        <f>I537*(1+$N$2)</f>
        <v>0.625</v>
      </c>
      <c r="K537" s="5" t="n">
        <f>D537*J537</f>
        <v>3.125</v>
      </c>
      <c r="L537" s="5"/>
      <c r="M537" s="5"/>
      <c r="N537" s="5"/>
      <c r="O537" s="5"/>
    </row>
    <row r="538">
      <c r="A538" s="1"/>
      <c r="B538" s="1" t="str">
        <v>Réserve fictive 0034</v>
      </c>
      <c r="C538" s="1" t="str">
        <v>u</v>
      </c>
      <c r="D538" s="5"/>
      <c r="E538" s="5" t="n">
        <v>0</v>
      </c>
      <c r="F538" s="5" t="n">
        <v>0</v>
      </c>
      <c r="G538" s="5" t="n">
        <v>0</v>
      </c>
      <c r="H538" s="5" t="n">
        <v>0</v>
      </c>
      <c r="I538" s="5" t="n">
        <v>0</v>
      </c>
      <c r="J538" s="5" t="n">
        <v>0</v>
      </c>
      <c r="K538" s="5" t="n">
        <v>0</v>
      </c>
      <c r="L538" s="5"/>
      <c r="M538" s="5"/>
      <c r="N538" s="5"/>
      <c r="O538" s="5"/>
    </row>
    <row r="539">
      <c r="A539" s="1"/>
      <c r="B539" s="1" t="str">
        <v>Sous-total fictif 97</v>
      </c>
      <c r="C539" s="1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>
      <c r="A540" s="1"/>
      <c r="B540" s="6" t="str">
        <v>Section fictive 098</v>
      </c>
      <c r="C540" s="1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>
      <c r="A541" s="1"/>
      <c r="B541" s="1" t="str">
        <v>Ligne fictive 0276</v>
      </c>
      <c r="C541" s="1" t="str">
        <v>m2</v>
      </c>
      <c r="D541" s="5" t="n">
        <v>1</v>
      </c>
      <c r="E541" s="5" t="n">
        <f>G541*$L$2+J541*$M$2*$O$2</f>
        <v>10.686</v>
      </c>
      <c r="F541" s="5" t="n">
        <f>ROUND(D541*E541,2)</f>
        <v>10.69</v>
      </c>
      <c r="G541" s="5" t="n">
        <v>3.22</v>
      </c>
      <c r="H541" s="5" t="n">
        <f>D541*G541</f>
        <v>3.22</v>
      </c>
      <c r="I541" s="5" t="n">
        <v>0.125</v>
      </c>
      <c r="J541" s="5" t="n">
        <f>I541*(1+$N$2)</f>
        <v>0.125</v>
      </c>
      <c r="K541" s="5" t="n">
        <f>D541*J541</f>
        <v>0.125</v>
      </c>
      <c r="L541" s="5"/>
      <c r="M541" s="5"/>
      <c r="N541" s="5"/>
      <c r="O541" s="5"/>
    </row>
    <row r="542">
      <c r="A542" s="1"/>
      <c r="B542" s="1" t="str">
        <v>Ligne fictive 0277</v>
      </c>
      <c r="C542" s="1" t="str">
        <v>u</v>
      </c>
      <c r="D542" s="5" t="n">
        <v>2</v>
      </c>
      <c r="E542" s="5" t="n">
        <f>G542*$L$2+J542*$M$2*$O$2</f>
        <v>17.667</v>
      </c>
      <c r="F542" s="5" t="n">
        <f>ROUND(D542*E542,2)</f>
        <v>35.33</v>
      </c>
      <c r="G542" s="5" t="n">
        <v>3.59</v>
      </c>
      <c r="H542" s="5" t="n">
        <f>D542*G542</f>
        <v>7.18</v>
      </c>
      <c r="I542" s="5" t="n">
        <v>0.25</v>
      </c>
      <c r="J542" s="5" t="n">
        <f>I542*(1+$N$2)</f>
        <v>0.25</v>
      </c>
      <c r="K542" s="5" t="n">
        <f>D542*J542</f>
        <v>0.5</v>
      </c>
      <c r="L542" s="5"/>
      <c r="M542" s="5"/>
      <c r="N542" s="5"/>
      <c r="O542" s="5"/>
    </row>
    <row r="543">
      <c r="A543" s="1"/>
      <c r="B543" s="1" t="str">
        <v>Ligne fictive 0278</v>
      </c>
      <c r="C543" s="1" t="str">
        <v>ml</v>
      </c>
      <c r="D543" s="5" t="n">
        <v>3</v>
      </c>
      <c r="E543" s="5" t="n">
        <f>G543*$L$2+J543*$M$2*$O$2</f>
        <v>24.648</v>
      </c>
      <c r="F543" s="5" t="n">
        <f>ROUND(D543*E543,2)</f>
        <v>73.94</v>
      </c>
      <c r="G543" s="5" t="n">
        <v>3.96</v>
      </c>
      <c r="H543" s="5" t="n">
        <f>D543*G543</f>
        <v>11.879999999999999</v>
      </c>
      <c r="I543" s="5" t="n">
        <v>0.375</v>
      </c>
      <c r="J543" s="5" t="n">
        <f>I543*(1+$N$2)</f>
        <v>0.375</v>
      </c>
      <c r="K543" s="5" t="n">
        <f>D543*J543</f>
        <v>1.125</v>
      </c>
      <c r="L543" s="5"/>
      <c r="M543" s="5"/>
      <c r="N543" s="5"/>
      <c r="O543" s="5"/>
    </row>
    <row r="544">
      <c r="A544" s="1"/>
      <c r="B544" s="1" t="str">
        <v>Sous-total fictif 98</v>
      </c>
      <c r="C544" s="1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>
      <c r="A545" s="1"/>
      <c r="B545" s="6" t="str">
        <v>Section fictive 099</v>
      </c>
      <c r="C545" s="1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>
      <c r="A546" s="1"/>
      <c r="B546" s="1" t="str">
        <v>Ligne fictive 0279</v>
      </c>
      <c r="C546" s="1" t="str">
        <v>m2</v>
      </c>
      <c r="D546" s="5" t="n">
        <v>4</v>
      </c>
      <c r="E546" s="5" t="n">
        <f>G546*$L$2+J546*$M$2*$O$2</f>
        <v>31.629</v>
      </c>
      <c r="F546" s="5" t="n">
        <f>ROUND(D546*E546,2)</f>
        <v>126.52</v>
      </c>
      <c r="G546" s="5" t="n">
        <v>4.33</v>
      </c>
      <c r="H546" s="5" t="n">
        <f>D546*G546</f>
        <v>17.32</v>
      </c>
      <c r="I546" s="5" t="n">
        <v>0.5</v>
      </c>
      <c r="J546" s="5" t="n">
        <f>I546*(1+$N$2)</f>
        <v>0.5</v>
      </c>
      <c r="K546" s="5" t="n">
        <f>D546*J546</f>
        <v>2</v>
      </c>
      <c r="L546" s="5"/>
      <c r="M546" s="5"/>
      <c r="N546" s="5"/>
      <c r="O546" s="5"/>
    </row>
    <row r="547">
      <c r="A547" s="1"/>
      <c r="B547" s="1" t="str">
        <v>Ligne fictive 0280</v>
      </c>
      <c r="C547" s="1" t="str">
        <v>u</v>
      </c>
      <c r="D547" s="5" t="n">
        <v>5</v>
      </c>
      <c r="E547" s="5" t="n">
        <f>G547*$L$2+J547*$M$2*$O$2</f>
        <v>38.61</v>
      </c>
      <c r="F547" s="5" t="n">
        <f>ROUND(D547*E547,2)</f>
        <v>193.05</v>
      </c>
      <c r="G547" s="5" t="n">
        <v>4.7</v>
      </c>
      <c r="H547" s="5" t="n">
        <f>D547*G547</f>
        <v>23.5</v>
      </c>
      <c r="I547" s="5" t="n">
        <v>0.625</v>
      </c>
      <c r="J547" s="5" t="n">
        <f>I547*(1+$N$2)</f>
        <v>0.625</v>
      </c>
      <c r="K547" s="5" t="n">
        <f>D547*J547</f>
        <v>3.125</v>
      </c>
      <c r="L547" s="5"/>
      <c r="M547" s="5"/>
      <c r="N547" s="5"/>
      <c r="O547" s="5"/>
    </row>
    <row r="548">
      <c r="A548" s="1"/>
      <c r="B548" s="1" t="str">
        <v>Ligne fictive 0281</v>
      </c>
      <c r="C548" s="1" t="str">
        <v>ml</v>
      </c>
      <c r="D548" s="5" t="n">
        <v>1</v>
      </c>
      <c r="E548" s="5" t="n">
        <f>G548*$L$2+J548*$M$2*$O$2</f>
        <v>13.091000000000001</v>
      </c>
      <c r="F548" s="5" t="n">
        <f>ROUND(D548*E548,2)</f>
        <v>13.09</v>
      </c>
      <c r="G548" s="5" t="n">
        <v>5.07</v>
      </c>
      <c r="H548" s="5" t="n">
        <f>D548*G548</f>
        <v>5.07</v>
      </c>
      <c r="I548" s="5" t="n">
        <v>0.125</v>
      </c>
      <c r="J548" s="5" t="n">
        <f>I548*(1+$N$2)</f>
        <v>0.125</v>
      </c>
      <c r="K548" s="5" t="n">
        <f>D548*J548</f>
        <v>0.125</v>
      </c>
      <c r="L548" s="5"/>
      <c r="M548" s="5"/>
      <c r="N548" s="5"/>
      <c r="O548" s="5"/>
    </row>
    <row r="549">
      <c r="A549" s="1"/>
      <c r="B549" s="1" t="str">
        <v>Statut fictif 035</v>
      </c>
      <c r="C549" s="1" t="str">
        <v>HL</v>
      </c>
      <c r="D549" s="5" t="n">
        <v>2</v>
      </c>
      <c r="E549" s="5" t="n">
        <v>0</v>
      </c>
      <c r="F549" s="5" t="n">
        <v>0</v>
      </c>
      <c r="G549" s="5" t="n">
        <v>7.25</v>
      </c>
      <c r="H549" s="5" t="n">
        <v>0</v>
      </c>
      <c r="I549" s="5" t="n">
        <v>0.375</v>
      </c>
      <c r="J549" s="5" t="n">
        <v>0</v>
      </c>
      <c r="K549" s="5" t="n">
        <v>0</v>
      </c>
      <c r="L549" s="5"/>
      <c r="M549" s="5"/>
      <c r="N549" s="5"/>
      <c r="O549" s="5"/>
    </row>
    <row r="550">
      <c r="A550" s="1"/>
      <c r="B550" s="1" t="str">
        <v>Sous-total fictif 99</v>
      </c>
      <c r="C550" s="1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>
      <c r="A551" s="1"/>
      <c r="B551" s="6" t="str">
        <v>Section fictive 100</v>
      </c>
      <c r="C551" s="1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>
      <c r="A552" s="1"/>
      <c r="B552" s="1" t="str">
        <v>Ligne fictive 0282</v>
      </c>
      <c r="C552" s="1" t="str">
        <v>m2</v>
      </c>
      <c r="D552" s="5" t="n">
        <v>2</v>
      </c>
      <c r="E552" s="5" t="n">
        <f>G552*$L$2+J552*$M$2*$O$2</f>
        <v>20.072000000000003</v>
      </c>
      <c r="F552" s="5" t="n">
        <f>ROUND(D552*E552,2)</f>
        <v>40.14</v>
      </c>
      <c r="G552" s="5" t="n">
        <v>5.44</v>
      </c>
      <c r="H552" s="5" t="n">
        <f>D552*G552</f>
        <v>10.88</v>
      </c>
      <c r="I552" s="5" t="n">
        <v>0.25</v>
      </c>
      <c r="J552" s="5" t="n">
        <f>I552*(1+$N$2)</f>
        <v>0.25</v>
      </c>
      <c r="K552" s="5" t="n">
        <f>D552*J552</f>
        <v>0.5</v>
      </c>
      <c r="L552" s="5"/>
      <c r="M552" s="5"/>
      <c r="N552" s="5"/>
      <c r="O552" s="5"/>
    </row>
    <row r="553">
      <c r="A553" s="1"/>
      <c r="B553" s="1" t="str">
        <v>Ligne fictive 0283</v>
      </c>
      <c r="C553" s="1" t="str">
        <v>u</v>
      </c>
      <c r="D553" s="5" t="n">
        <v>3</v>
      </c>
      <c r="E553" s="5" t="n">
        <f>G553*$L$2+J553*$M$2*$O$2</f>
        <v>27.053</v>
      </c>
      <c r="F553" s="5" t="n">
        <f>ROUND(D553*E553,2)</f>
        <v>81.16</v>
      </c>
      <c r="G553" s="5" t="n">
        <v>5.81</v>
      </c>
      <c r="H553" s="5" t="n">
        <f>D553*G553</f>
        <v>17.43</v>
      </c>
      <c r="I553" s="5" t="n">
        <v>0.375</v>
      </c>
      <c r="J553" s="5" t="n">
        <f>I553*(1+$N$2)</f>
        <v>0.375</v>
      </c>
      <c r="K553" s="5" t="n">
        <f>D553*J553</f>
        <v>1.125</v>
      </c>
      <c r="L553" s="5"/>
      <c r="M553" s="5"/>
      <c r="N553" s="5"/>
      <c r="O553" s="5"/>
    </row>
    <row r="554">
      <c r="A554" s="1"/>
      <c r="B554" s="1" t="str">
        <v>Réserve fictive 0035</v>
      </c>
      <c r="C554" s="1" t="str">
        <v>u</v>
      </c>
      <c r="D554" s="5"/>
      <c r="E554" s="5" t="n">
        <v>0</v>
      </c>
      <c r="F554" s="5" t="n">
        <v>0</v>
      </c>
      <c r="G554" s="5" t="n">
        <v>0</v>
      </c>
      <c r="H554" s="5" t="n">
        <v>0</v>
      </c>
      <c r="I554" s="5" t="n">
        <v>0</v>
      </c>
      <c r="J554" s="5" t="n">
        <v>0</v>
      </c>
      <c r="K554" s="5" t="n">
        <v>0</v>
      </c>
      <c r="L554" s="5"/>
      <c r="M554" s="5"/>
      <c r="N554" s="5"/>
      <c r="O554" s="5"/>
    </row>
    <row r="555">
      <c r="A555" s="1"/>
      <c r="B555" s="1" t="str">
        <v>Sous-total fictif 100</v>
      </c>
      <c r="C555" s="1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>
      <c r="A556" s="1"/>
      <c r="B556" s="6" t="str">
        <v>Section fictive 101</v>
      </c>
      <c r="C556" s="1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>
      <c r="A557" s="1"/>
      <c r="B557" s="1" t="str">
        <v>Ligne fictive 0284</v>
      </c>
      <c r="C557" s="1" t="str">
        <v>ml</v>
      </c>
      <c r="D557" s="5" t="n">
        <v>4</v>
      </c>
      <c r="E557" s="5" t="n">
        <f>G557*$L$2+J557*$M$2*$O$2</f>
        <v>34.034</v>
      </c>
      <c r="F557" s="5" t="n">
        <f>ROUND(D557*E557,2)</f>
        <v>136.14</v>
      </c>
      <c r="G557" s="5" t="n">
        <v>6.18</v>
      </c>
      <c r="H557" s="5" t="n">
        <f>D557*G557</f>
        <v>24.72</v>
      </c>
      <c r="I557" s="5" t="n">
        <v>0.5</v>
      </c>
      <c r="J557" s="5" t="n">
        <f>I557*(1+$N$2)</f>
        <v>0.5</v>
      </c>
      <c r="K557" s="5" t="n">
        <f>D557*J557</f>
        <v>2</v>
      </c>
      <c r="L557" s="5"/>
      <c r="M557" s="5"/>
      <c r="N557" s="5"/>
      <c r="O557" s="5"/>
    </row>
    <row r="558">
      <c r="A558" s="1"/>
      <c r="B558" s="1" t="str">
        <v>Ligne fictive 0285</v>
      </c>
      <c r="C558" s="1" t="str">
        <v>m2</v>
      </c>
      <c r="D558" s="5" t="n">
        <v>5</v>
      </c>
      <c r="E558" s="5" t="n">
        <f>G558*$L$2+J558*$M$2*$O$2</f>
        <v>41.015</v>
      </c>
      <c r="F558" s="5" t="n">
        <f>ROUND(D558*E558,2)</f>
        <v>205.08</v>
      </c>
      <c r="G558" s="5" t="n">
        <v>6.55</v>
      </c>
      <c r="H558" s="5" t="n">
        <f>D558*G558</f>
        <v>32.75</v>
      </c>
      <c r="I558" s="5" t="n">
        <v>0.625</v>
      </c>
      <c r="J558" s="5" t="n">
        <f>I558*(1+$N$2)</f>
        <v>0.625</v>
      </c>
      <c r="K558" s="5" t="n">
        <f>D558*J558</f>
        <v>3.125</v>
      </c>
      <c r="L558" s="5"/>
      <c r="M558" s="5"/>
      <c r="N558" s="5"/>
      <c r="O558" s="5"/>
    </row>
    <row r="559">
      <c r="A559" s="1"/>
      <c r="B559" s="1" t="str">
        <v>Ligne fictive 0286</v>
      </c>
      <c r="C559" s="1" t="str">
        <v>u</v>
      </c>
      <c r="D559" s="5" t="n">
        <v>1</v>
      </c>
      <c r="E559" s="5" t="n">
        <f>G559*$L$2+J559*$M$2*$O$2</f>
        <v>15.496</v>
      </c>
      <c r="F559" s="5" t="n">
        <f>ROUND(D559*E559,2)</f>
        <v>15.5</v>
      </c>
      <c r="G559" s="5" t="n">
        <v>6.92</v>
      </c>
      <c r="H559" s="5" t="n">
        <f>D559*G559</f>
        <v>6.92</v>
      </c>
      <c r="I559" s="5" t="n">
        <v>0.125</v>
      </c>
      <c r="J559" s="5" t="n">
        <f>I559*(1+$N$2)</f>
        <v>0.125</v>
      </c>
      <c r="K559" s="5" t="n">
        <f>D559*J559</f>
        <v>0.125</v>
      </c>
      <c r="L559" s="5"/>
      <c r="M559" s="5"/>
      <c r="N559" s="5"/>
      <c r="O559" s="5"/>
    </row>
    <row r="560">
      <c r="A560" s="1"/>
      <c r="B560" s="1" t="str">
        <v>Sous-total fictif 101</v>
      </c>
      <c r="C560" s="1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>
      <c r="A561" s="1"/>
      <c r="B561" s="6" t="str">
        <v>Section fictive 102</v>
      </c>
      <c r="C561" s="1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>
      <c r="A562" s="1"/>
      <c r="B562" s="1" t="str">
        <v>Ligne fictive 0287</v>
      </c>
      <c r="C562" s="1" t="str">
        <v>ml</v>
      </c>
      <c r="D562" s="5" t="n">
        <v>2</v>
      </c>
      <c r="E562" s="5" t="n">
        <f>G562*$L$2+J562*$M$2*$O$2</f>
        <v>22.477</v>
      </c>
      <c r="F562" s="5" t="n">
        <f>ROUND(D562*E562,2)</f>
        <v>44.95</v>
      </c>
      <c r="G562" s="5" t="n">
        <v>7.29</v>
      </c>
      <c r="H562" s="5" t="n">
        <f>D562*G562</f>
        <v>14.58</v>
      </c>
      <c r="I562" s="5" t="n">
        <v>0.25</v>
      </c>
      <c r="J562" s="5" t="n">
        <f>I562*(1+$N$2)</f>
        <v>0.25</v>
      </c>
      <c r="K562" s="5" t="n">
        <f>D562*J562</f>
        <v>0.5</v>
      </c>
      <c r="L562" s="5"/>
      <c r="M562" s="5"/>
      <c r="N562" s="5"/>
      <c r="O562" s="5"/>
    </row>
    <row r="563">
      <c r="A563" s="1"/>
      <c r="B563" s="1" t="str">
        <v>Ligne fictive 0288</v>
      </c>
      <c r="C563" s="1" t="str">
        <v>m2</v>
      </c>
      <c r="D563" s="5" t="n">
        <v>3</v>
      </c>
      <c r="E563" s="5" t="n">
        <f>G563*$L$2+J563*$M$2*$O$2</f>
        <v>29.458</v>
      </c>
      <c r="F563" s="5" t="n">
        <f>ROUND(D563*E563,2)</f>
        <v>88.37</v>
      </c>
      <c r="G563" s="5" t="n">
        <v>7.66</v>
      </c>
      <c r="H563" s="5" t="n">
        <f>D563*G563</f>
        <v>22.98</v>
      </c>
      <c r="I563" s="5" t="n">
        <v>0.375</v>
      </c>
      <c r="J563" s="5" t="n">
        <f>I563*(1+$N$2)</f>
        <v>0.375</v>
      </c>
      <c r="K563" s="5" t="n">
        <f>D563*J563</f>
        <v>1.125</v>
      </c>
      <c r="L563" s="5"/>
      <c r="M563" s="5"/>
      <c r="N563" s="5"/>
      <c r="O563" s="5"/>
    </row>
    <row r="564">
      <c r="A564" s="1"/>
      <c r="B564" s="1" t="str">
        <v>Ligne fictive 0289</v>
      </c>
      <c r="C564" s="1" t="str">
        <v>u</v>
      </c>
      <c r="D564" s="5" t="n">
        <v>4</v>
      </c>
      <c r="E564" s="5" t="n">
        <f>G564*$L$2+J564*$M$2*$O$2</f>
        <v>36.439</v>
      </c>
      <c r="F564" s="5" t="n">
        <f>ROUND(D564*E564,2)</f>
        <v>145.76</v>
      </c>
      <c r="G564" s="5" t="n">
        <v>8.03</v>
      </c>
      <c r="H564" s="5" t="n">
        <f>D564*G564</f>
        <v>32.12</v>
      </c>
      <c r="I564" s="5" t="n">
        <v>0.5</v>
      </c>
      <c r="J564" s="5" t="n">
        <f>I564*(1+$N$2)</f>
        <v>0.5</v>
      </c>
      <c r="K564" s="5" t="n">
        <f>D564*J564</f>
        <v>2</v>
      </c>
      <c r="L564" s="5"/>
      <c r="M564" s="5"/>
      <c r="N564" s="5"/>
      <c r="O564" s="5"/>
    </row>
    <row r="565">
      <c r="A565" s="1"/>
      <c r="B565" s="1" t="str">
        <v>Statut fictif 036</v>
      </c>
      <c r="C565" s="1" t="str">
        <v>HL</v>
      </c>
      <c r="D565" s="5" t="n">
        <v>3</v>
      </c>
      <c r="E565" s="5" t="n">
        <v>0</v>
      </c>
      <c r="F565" s="5" t="n">
        <v>0</v>
      </c>
      <c r="G565" s="5" t="n">
        <v>7.25</v>
      </c>
      <c r="H565" s="5" t="n">
        <v>0</v>
      </c>
      <c r="I565" s="5" t="n">
        <v>0.375</v>
      </c>
      <c r="J565" s="5" t="n">
        <v>0</v>
      </c>
      <c r="K565" s="5" t="n">
        <v>0</v>
      </c>
      <c r="L565" s="5"/>
      <c r="M565" s="5"/>
      <c r="N565" s="5"/>
      <c r="O565" s="5"/>
    </row>
    <row r="566">
      <c r="A566" s="1"/>
      <c r="B566" s="1" t="str">
        <v>Sous-total fictif 102</v>
      </c>
      <c r="C566" s="1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>
      <c r="A567" s="1"/>
      <c r="B567" s="6" t="str">
        <v>Section fictive 103</v>
      </c>
      <c r="C567" s="1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>
      <c r="A568" s="1"/>
      <c r="B568" s="1" t="str">
        <v>Ligne fictive 0290</v>
      </c>
      <c r="C568" s="1" t="str">
        <v>ml</v>
      </c>
      <c r="D568" s="5" t="n">
        <v>5</v>
      </c>
      <c r="E568" s="5" t="n">
        <f>G568*$L$2+J568*$M$2*$O$2</f>
        <v>35.243</v>
      </c>
      <c r="F568" s="5" t="n">
        <f>ROUND(D568*E568,2)</f>
        <v>176.22</v>
      </c>
      <c r="G568" s="5" t="n">
        <v>2.11</v>
      </c>
      <c r="H568" s="5" t="n">
        <f>D568*G568</f>
        <v>10.549999999999999</v>
      </c>
      <c r="I568" s="5" t="n">
        <v>0.625</v>
      </c>
      <c r="J568" s="5" t="n">
        <f>I568*(1+$N$2)</f>
        <v>0.625</v>
      </c>
      <c r="K568" s="5" t="n">
        <f>D568*J568</f>
        <v>3.125</v>
      </c>
      <c r="L568" s="5"/>
      <c r="M568" s="5"/>
      <c r="N568" s="5"/>
      <c r="O568" s="5"/>
    </row>
    <row r="569">
      <c r="A569" s="1"/>
      <c r="B569" s="1" t="str">
        <v>Ligne fictive 0291</v>
      </c>
      <c r="C569" s="1" t="str">
        <v>m2</v>
      </c>
      <c r="D569" s="5" t="n">
        <v>1</v>
      </c>
      <c r="E569" s="5" t="n">
        <f>G569*$L$2+J569*$M$2*$O$2</f>
        <v>9.724</v>
      </c>
      <c r="F569" s="5" t="n">
        <f>ROUND(D569*E569,2)</f>
        <v>9.72</v>
      </c>
      <c r="G569" s="5" t="n">
        <v>2.48</v>
      </c>
      <c r="H569" s="5" t="n">
        <f>D569*G569</f>
        <v>2.48</v>
      </c>
      <c r="I569" s="5" t="n">
        <v>0.125</v>
      </c>
      <c r="J569" s="5" t="n">
        <f>I569*(1+$N$2)</f>
        <v>0.125</v>
      </c>
      <c r="K569" s="5" t="n">
        <f>D569*J569</f>
        <v>0.125</v>
      </c>
      <c r="L569" s="5"/>
      <c r="M569" s="5"/>
      <c r="N569" s="5"/>
      <c r="O569" s="5"/>
    </row>
    <row r="570">
      <c r="A570" s="1"/>
      <c r="B570" s="1" t="str">
        <v>Ligne fictive 0292</v>
      </c>
      <c r="C570" s="1" t="str">
        <v>u</v>
      </c>
      <c r="D570" s="5" t="n">
        <v>2</v>
      </c>
      <c r="E570" s="5" t="n">
        <f>G570*$L$2+J570*$M$2*$O$2</f>
        <v>16.705</v>
      </c>
      <c r="F570" s="5" t="n">
        <f>ROUND(D570*E570,2)</f>
        <v>33.41</v>
      </c>
      <c r="G570" s="5" t="n">
        <v>2.85</v>
      </c>
      <c r="H570" s="5" t="n">
        <f>D570*G570</f>
        <v>5.7</v>
      </c>
      <c r="I570" s="5" t="n">
        <v>0.25</v>
      </c>
      <c r="J570" s="5" t="n">
        <f>I570*(1+$N$2)</f>
        <v>0.25</v>
      </c>
      <c r="K570" s="5" t="n">
        <f>D570*J570</f>
        <v>0.5</v>
      </c>
      <c r="L570" s="5"/>
      <c r="M570" s="5"/>
      <c r="N570" s="5"/>
      <c r="O570" s="5"/>
    </row>
    <row r="571">
      <c r="A571" s="1"/>
      <c r="B571" s="1" t="str">
        <v>Réserve fictive 0036</v>
      </c>
      <c r="C571" s="1" t="str">
        <v>u</v>
      </c>
      <c r="D571" s="5"/>
      <c r="E571" s="5" t="n">
        <v>0</v>
      </c>
      <c r="F571" s="5" t="n">
        <v>0</v>
      </c>
      <c r="G571" s="5" t="n">
        <v>0</v>
      </c>
      <c r="H571" s="5" t="n">
        <v>0</v>
      </c>
      <c r="I571" s="5" t="n">
        <v>0</v>
      </c>
      <c r="J571" s="5" t="n">
        <v>0</v>
      </c>
      <c r="K571" s="5" t="n">
        <v>0</v>
      </c>
      <c r="L571" s="5"/>
      <c r="M571" s="5"/>
      <c r="N571" s="5"/>
      <c r="O571" s="5"/>
    </row>
    <row r="572">
      <c r="A572" s="1"/>
      <c r="B572" s="1" t="str">
        <v>Sous-total fictif 103</v>
      </c>
      <c r="C572" s="1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>
      <c r="A573" s="1"/>
      <c r="B573" s="6" t="str">
        <v>Section fictive 104</v>
      </c>
      <c r="C573" s="1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>
      <c r="A574" s="1"/>
      <c r="B574" s="1" t="str">
        <v>Ligne fictive 0293</v>
      </c>
      <c r="C574" s="1" t="str">
        <v>ml</v>
      </c>
      <c r="D574" s="5" t="n">
        <v>3</v>
      </c>
      <c r="E574" s="5" t="n">
        <f>G574*$L$2+J574*$M$2*$O$2</f>
        <v>23.686</v>
      </c>
      <c r="F574" s="5" t="n">
        <f>ROUND(D574*E574,2)</f>
        <v>71.06</v>
      </c>
      <c r="G574" s="5" t="n">
        <v>3.22</v>
      </c>
      <c r="H574" s="5" t="n">
        <f>D574*G574</f>
        <v>9.66</v>
      </c>
      <c r="I574" s="5" t="n">
        <v>0.375</v>
      </c>
      <c r="J574" s="5" t="n">
        <f>I574*(1+$N$2)</f>
        <v>0.375</v>
      </c>
      <c r="K574" s="5" t="n">
        <f>D574*J574</f>
        <v>1.125</v>
      </c>
      <c r="L574" s="5"/>
      <c r="M574" s="5"/>
      <c r="N574" s="5"/>
      <c r="O574" s="5"/>
    </row>
    <row r="575">
      <c r="A575" s="1"/>
      <c r="B575" s="1" t="str">
        <v>Ligne fictive 0294</v>
      </c>
      <c r="C575" s="1" t="str">
        <v>m2</v>
      </c>
      <c r="D575" s="5" t="n">
        <v>4</v>
      </c>
      <c r="E575" s="5" t="n">
        <f>G575*$L$2+J575*$M$2*$O$2</f>
        <v>30.667</v>
      </c>
      <c r="F575" s="5" t="n">
        <f>ROUND(D575*E575,2)</f>
        <v>122.67</v>
      </c>
      <c r="G575" s="5" t="n">
        <v>3.59</v>
      </c>
      <c r="H575" s="5" t="n">
        <f>D575*G575</f>
        <v>14.36</v>
      </c>
      <c r="I575" s="5" t="n">
        <v>0.5</v>
      </c>
      <c r="J575" s="5" t="n">
        <f>I575*(1+$N$2)</f>
        <v>0.5</v>
      </c>
      <c r="K575" s="5" t="n">
        <f>D575*J575</f>
        <v>2</v>
      </c>
      <c r="L575" s="5"/>
      <c r="M575" s="5"/>
      <c r="N575" s="5"/>
      <c r="O575" s="5"/>
    </row>
    <row r="576">
      <c r="A576" s="1"/>
      <c r="B576" s="1" t="str">
        <v>Ligne fictive 0295</v>
      </c>
      <c r="C576" s="1" t="str">
        <v>u</v>
      </c>
      <c r="D576" s="5" t="n">
        <v>5</v>
      </c>
      <c r="E576" s="5" t="n">
        <f>G576*$L$2+J576*$M$2*$O$2</f>
        <v>37.647999999999996</v>
      </c>
      <c r="F576" s="5" t="n">
        <f>ROUND(D576*E576,2)</f>
        <v>188.24</v>
      </c>
      <c r="G576" s="5" t="n">
        <v>3.96</v>
      </c>
      <c r="H576" s="5" t="n">
        <f>D576*G576</f>
        <v>19.8</v>
      </c>
      <c r="I576" s="5" t="n">
        <v>0.625</v>
      </c>
      <c r="J576" s="5" t="n">
        <f>I576*(1+$N$2)</f>
        <v>0.625</v>
      </c>
      <c r="K576" s="5" t="n">
        <f>D576*J576</f>
        <v>3.125</v>
      </c>
      <c r="L576" s="5"/>
      <c r="M576" s="5"/>
      <c r="N576" s="5"/>
      <c r="O576" s="5"/>
    </row>
    <row r="577">
      <c r="A577" s="1"/>
      <c r="B577" s="1" t="str">
        <v>Sous-total fictif 104</v>
      </c>
      <c r="C577" s="1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>
      <c r="A578" s="1"/>
      <c r="B578" s="6" t="str">
        <v>Section fictive 105</v>
      </c>
      <c r="C578" s="1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>
      <c r="A579" s="1"/>
      <c r="B579" s="1" t="str">
        <v>Ligne fictive 0296</v>
      </c>
      <c r="C579" s="1" t="str">
        <v>ml</v>
      </c>
      <c r="D579" s="5" t="n">
        <v>1</v>
      </c>
      <c r="E579" s="5" t="n">
        <f>G579*$L$2+J579*$M$2*$O$2</f>
        <v>12.129000000000001</v>
      </c>
      <c r="F579" s="5" t="n">
        <f>ROUND(D579*E579,2)</f>
        <v>12.13</v>
      </c>
      <c r="G579" s="5" t="n">
        <v>4.33</v>
      </c>
      <c r="H579" s="5" t="n">
        <f>D579*G579</f>
        <v>4.33</v>
      </c>
      <c r="I579" s="5" t="n">
        <v>0.125</v>
      </c>
      <c r="J579" s="5" t="n">
        <f>I579*(1+$N$2)</f>
        <v>0.125</v>
      </c>
      <c r="K579" s="5" t="n">
        <f>D579*J579</f>
        <v>0.125</v>
      </c>
      <c r="L579" s="5"/>
      <c r="M579" s="5"/>
      <c r="N579" s="5"/>
      <c r="O579" s="5"/>
    </row>
    <row r="580">
      <c r="A580" s="1"/>
      <c r="B580" s="1" t="str">
        <v>Ligne fictive 0297</v>
      </c>
      <c r="C580" s="1" t="str">
        <v>m2</v>
      </c>
      <c r="D580" s="5" t="n">
        <v>2</v>
      </c>
      <c r="E580" s="5" t="n">
        <f>G580*$L$2+J580*$M$2*$O$2</f>
        <v>19.11</v>
      </c>
      <c r="F580" s="5" t="n">
        <f>ROUND(D580*E580,2)</f>
        <v>38.22</v>
      </c>
      <c r="G580" s="5" t="n">
        <v>4.7</v>
      </c>
      <c r="H580" s="5" t="n">
        <f>D580*G580</f>
        <v>9.4</v>
      </c>
      <c r="I580" s="5" t="n">
        <v>0.25</v>
      </c>
      <c r="J580" s="5" t="n">
        <f>I580*(1+$N$2)</f>
        <v>0.25</v>
      </c>
      <c r="K580" s="5" t="n">
        <f>D580*J580</f>
        <v>0.5</v>
      </c>
      <c r="L580" s="5"/>
      <c r="M580" s="5"/>
      <c r="N580" s="5"/>
      <c r="O580" s="5"/>
    </row>
    <row r="581">
      <c r="A581" s="1"/>
      <c r="B581" s="1" t="str">
        <v>Ligne fictive 0298</v>
      </c>
      <c r="C581" s="1" t="str">
        <v>u</v>
      </c>
      <c r="D581" s="5" t="n">
        <v>3</v>
      </c>
      <c r="E581" s="5" t="n">
        <f>G581*$L$2+J581*$M$2*$O$2</f>
        <v>26.091</v>
      </c>
      <c r="F581" s="5" t="n">
        <f>ROUND(D581*E581,2)</f>
        <v>78.27</v>
      </c>
      <c r="G581" s="5" t="n">
        <v>5.07</v>
      </c>
      <c r="H581" s="5" t="n">
        <f>D581*G581</f>
        <v>15.21</v>
      </c>
      <c r="I581" s="5" t="n">
        <v>0.375</v>
      </c>
      <c r="J581" s="5" t="n">
        <f>I581*(1+$N$2)</f>
        <v>0.375</v>
      </c>
      <c r="K581" s="5" t="n">
        <f>D581*J581</f>
        <v>1.125</v>
      </c>
      <c r="L581" s="5"/>
      <c r="M581" s="5"/>
      <c r="N581" s="5"/>
      <c r="O581" s="5"/>
    </row>
    <row r="582">
      <c r="A582" s="1"/>
      <c r="B582" s="1" t="str">
        <v>Statut fictif 037</v>
      </c>
      <c r="C582" s="1" t="str">
        <v>HL</v>
      </c>
      <c r="D582" s="5" t="n">
        <v>1</v>
      </c>
      <c r="E582" s="5" t="n">
        <v>0</v>
      </c>
      <c r="F582" s="5" t="n">
        <v>0</v>
      </c>
      <c r="G582" s="5" t="n">
        <v>7.25</v>
      </c>
      <c r="H582" s="5" t="n">
        <v>0</v>
      </c>
      <c r="I582" s="5" t="n">
        <v>0.375</v>
      </c>
      <c r="J582" s="5" t="n">
        <v>0</v>
      </c>
      <c r="K582" s="5" t="n">
        <v>0</v>
      </c>
      <c r="L582" s="5"/>
      <c r="M582" s="5"/>
      <c r="N582" s="5"/>
      <c r="O582" s="5"/>
    </row>
    <row r="583">
      <c r="A583" s="1"/>
      <c r="B583" s="1" t="str">
        <v>Sous-total fictif 105</v>
      </c>
      <c r="C583" s="1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>
      <c r="A584" s="1"/>
      <c r="B584" s="6" t="str">
        <v>Section fictive 106</v>
      </c>
      <c r="C584" s="1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>
      <c r="A585" s="1"/>
      <c r="B585" s="1" t="str">
        <v>Ligne fictive 0299</v>
      </c>
      <c r="C585" s="1" t="str">
        <v>ml</v>
      </c>
      <c r="D585" s="5" t="n">
        <v>4</v>
      </c>
      <c r="E585" s="5" t="n">
        <f>G585*$L$2+J585*$M$2*$O$2</f>
        <v>33.072</v>
      </c>
      <c r="F585" s="5" t="n">
        <f>ROUND(D585*E585,2)</f>
        <v>132.29</v>
      </c>
      <c r="G585" s="5" t="n">
        <v>5.44</v>
      </c>
      <c r="H585" s="5" t="n">
        <f>D585*G585</f>
        <v>21.76</v>
      </c>
      <c r="I585" s="5" t="n">
        <v>0.5</v>
      </c>
      <c r="J585" s="5" t="n">
        <f>I585*(1+$N$2)</f>
        <v>0.5</v>
      </c>
      <c r="K585" s="5" t="n">
        <f>D585*J585</f>
        <v>2</v>
      </c>
      <c r="L585" s="5"/>
      <c r="M585" s="5"/>
      <c r="N585" s="5"/>
      <c r="O585" s="5"/>
    </row>
    <row r="586">
      <c r="A586" s="1"/>
      <c r="B586" s="1" t="str">
        <v>Ligne fictive 0300</v>
      </c>
      <c r="C586" s="1" t="str">
        <v>m2</v>
      </c>
      <c r="D586" s="5" t="n">
        <v>5</v>
      </c>
      <c r="E586" s="5" t="n">
        <f>G586*$L$2+J586*$M$2*$O$2</f>
        <v>40.053</v>
      </c>
      <c r="F586" s="5" t="n">
        <f>ROUND(D586*E586,2)</f>
        <v>200.27</v>
      </c>
      <c r="G586" s="5" t="n">
        <v>5.81</v>
      </c>
      <c r="H586" s="5" t="n">
        <f>D586*G586</f>
        <v>29.049999999999997</v>
      </c>
      <c r="I586" s="5" t="n">
        <v>0.625</v>
      </c>
      <c r="J586" s="5" t="n">
        <f>I586*(1+$N$2)</f>
        <v>0.625</v>
      </c>
      <c r="K586" s="5" t="n">
        <f>D586*J586</f>
        <v>3.125</v>
      </c>
      <c r="L586" s="5"/>
      <c r="M586" s="5"/>
      <c r="N586" s="5"/>
      <c r="O586" s="5"/>
    </row>
    <row r="587">
      <c r="A587" s="1"/>
      <c r="B587" s="1" t="str">
        <v>Ligne fictive 0301</v>
      </c>
      <c r="C587" s="1" t="str">
        <v>u</v>
      </c>
      <c r="D587" s="5" t="n">
        <v>1</v>
      </c>
      <c r="E587" s="5" t="n">
        <f>G587*$L$2+J587*$M$2*$O$2</f>
        <v>14.534</v>
      </c>
      <c r="F587" s="5" t="n">
        <f>ROUND(D587*E587,2)</f>
        <v>14.53</v>
      </c>
      <c r="G587" s="5" t="n">
        <v>6.18</v>
      </c>
      <c r="H587" s="5" t="n">
        <f>D587*G587</f>
        <v>6.18</v>
      </c>
      <c r="I587" s="5" t="n">
        <v>0.125</v>
      </c>
      <c r="J587" s="5" t="n">
        <f>I587*(1+$N$2)</f>
        <v>0.125</v>
      </c>
      <c r="K587" s="5" t="n">
        <f>D587*J587</f>
        <v>0.125</v>
      </c>
      <c r="L587" s="5"/>
      <c r="M587" s="5"/>
      <c r="N587" s="5"/>
      <c r="O587" s="5"/>
    </row>
    <row r="588">
      <c r="A588" s="1"/>
      <c r="B588" s="1" t="str">
        <v>Réserve fictive 0037</v>
      </c>
      <c r="C588" s="1" t="str">
        <v>u</v>
      </c>
      <c r="D588" s="5"/>
      <c r="E588" s="5" t="n">
        <v>0</v>
      </c>
      <c r="F588" s="5" t="n">
        <v>0</v>
      </c>
      <c r="G588" s="5" t="n">
        <v>0</v>
      </c>
      <c r="H588" s="5" t="n">
        <v>0</v>
      </c>
      <c r="I588" s="5" t="n">
        <v>0</v>
      </c>
      <c r="J588" s="5" t="n">
        <v>0</v>
      </c>
      <c r="K588" s="5" t="n">
        <v>0</v>
      </c>
      <c r="L588" s="5"/>
      <c r="M588" s="5"/>
      <c r="N588" s="5"/>
      <c r="O588" s="5"/>
    </row>
    <row r="589">
      <c r="A589" s="1"/>
      <c r="B589" s="1" t="str">
        <v>Sous-total fictif 106</v>
      </c>
      <c r="C589" s="1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>
      <c r="A590" s="1"/>
      <c r="B590" s="6" t="str">
        <v>Section fictive 107</v>
      </c>
      <c r="C590" s="1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>
      <c r="A591" s="1"/>
      <c r="B591" s="1" t="str">
        <v>Ligne fictive 0302</v>
      </c>
      <c r="C591" s="1" t="str">
        <v>ml</v>
      </c>
      <c r="D591" s="5" t="n">
        <v>2</v>
      </c>
      <c r="E591" s="5" t="n">
        <f>G591*$L$2+J591*$M$2*$O$2</f>
        <v>21.515</v>
      </c>
      <c r="F591" s="5" t="n">
        <f>ROUND(D591*E591,2)</f>
        <v>43.03</v>
      </c>
      <c r="G591" s="5" t="n">
        <v>6.55</v>
      </c>
      <c r="H591" s="5" t="n">
        <f>D591*G591</f>
        <v>13.1</v>
      </c>
      <c r="I591" s="5" t="n">
        <v>0.25</v>
      </c>
      <c r="J591" s="5" t="n">
        <f>I591*(1+$N$2)</f>
        <v>0.25</v>
      </c>
      <c r="K591" s="5" t="n">
        <f>D591*J591</f>
        <v>0.5</v>
      </c>
      <c r="L591" s="5"/>
      <c r="M591" s="5"/>
      <c r="N591" s="5"/>
      <c r="O591" s="5"/>
    </row>
    <row r="592">
      <c r="A592" s="1"/>
      <c r="B592" s="1" t="str">
        <v>Ligne fictive 0303</v>
      </c>
      <c r="C592" s="1" t="str">
        <v>m2</v>
      </c>
      <c r="D592" s="5" t="n">
        <v>3</v>
      </c>
      <c r="E592" s="5" t="n">
        <f>G592*$L$2+J592*$M$2*$O$2</f>
        <v>28.496000000000002</v>
      </c>
      <c r="F592" s="5" t="n">
        <f>ROUND(D592*E592,2)</f>
        <v>85.49</v>
      </c>
      <c r="G592" s="5" t="n">
        <v>6.92</v>
      </c>
      <c r="H592" s="5" t="n">
        <f>D592*G592</f>
        <v>20.759999999999998</v>
      </c>
      <c r="I592" s="5" t="n">
        <v>0.375</v>
      </c>
      <c r="J592" s="5" t="n">
        <f>I592*(1+$N$2)</f>
        <v>0.375</v>
      </c>
      <c r="K592" s="5" t="n">
        <f>D592*J592</f>
        <v>1.125</v>
      </c>
      <c r="L592" s="5"/>
      <c r="M592" s="5"/>
      <c r="N592" s="5"/>
      <c r="O592" s="5"/>
    </row>
    <row r="593">
      <c r="A593" s="1"/>
      <c r="B593" s="1" t="str">
        <v>Sous-total fictif 107</v>
      </c>
      <c r="C593" s="1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>
      <c r="A594" s="1"/>
      <c r="B594" s="6" t="str">
        <v>Section fictive 108</v>
      </c>
      <c r="C594" s="1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>
      <c r="A595" s="1"/>
      <c r="B595" s="1" t="str">
        <v>Ligne fictive 0304</v>
      </c>
      <c r="C595" s="1" t="str">
        <v>u</v>
      </c>
      <c r="D595" s="5" t="n">
        <v>4</v>
      </c>
      <c r="E595" s="5" t="n">
        <f>G595*$L$2+J595*$M$2*$O$2</f>
        <v>35.477000000000004</v>
      </c>
      <c r="F595" s="5" t="n">
        <f>ROUND(D595*E595,2)</f>
        <v>141.91</v>
      </c>
      <c r="G595" s="5" t="n">
        <v>7.29</v>
      </c>
      <c r="H595" s="5" t="n">
        <f>D595*G595</f>
        <v>29.16</v>
      </c>
      <c r="I595" s="5" t="n">
        <v>0.5</v>
      </c>
      <c r="J595" s="5" t="n">
        <f>I595*(1+$N$2)</f>
        <v>0.5</v>
      </c>
      <c r="K595" s="5" t="n">
        <f>D595*J595</f>
        <v>2</v>
      </c>
      <c r="L595" s="5"/>
      <c r="M595" s="5"/>
      <c r="N595" s="5"/>
      <c r="O595" s="5"/>
    </row>
    <row r="596">
      <c r="A596" s="1"/>
      <c r="B596" s="1" t="str">
        <v>Ligne fictive 0305</v>
      </c>
      <c r="C596" s="1" t="str">
        <v>ml</v>
      </c>
      <c r="D596" s="5" t="n">
        <v>5</v>
      </c>
      <c r="E596" s="5" t="n">
        <f>G596*$L$2+J596*$M$2*$O$2</f>
        <v>42.458</v>
      </c>
      <c r="F596" s="5" t="n">
        <f>ROUND(D596*E596,2)</f>
        <v>212.29</v>
      </c>
      <c r="G596" s="5" t="n">
        <v>7.66</v>
      </c>
      <c r="H596" s="5" t="n">
        <f>D596*G596</f>
        <v>38.3</v>
      </c>
      <c r="I596" s="5" t="n">
        <v>0.625</v>
      </c>
      <c r="J596" s="5" t="n">
        <f>I596*(1+$N$2)</f>
        <v>0.625</v>
      </c>
      <c r="K596" s="5" t="n">
        <f>D596*J596</f>
        <v>3.125</v>
      </c>
      <c r="L596" s="5"/>
      <c r="M596" s="5"/>
      <c r="N596" s="5"/>
      <c r="O596" s="5"/>
    </row>
    <row r="597">
      <c r="A597" s="1"/>
      <c r="B597" s="1" t="str">
        <v>Ligne fictive 0306</v>
      </c>
      <c r="C597" s="1" t="str">
        <v>m2</v>
      </c>
      <c r="D597" s="5" t="n">
        <v>1</v>
      </c>
      <c r="E597" s="5" t="n">
        <f>G597*$L$2+J597*$M$2*$O$2</f>
        <v>16.939</v>
      </c>
      <c r="F597" s="5" t="n">
        <f>ROUND(D597*E597,2)</f>
        <v>16.94</v>
      </c>
      <c r="G597" s="5" t="n">
        <v>8.03</v>
      </c>
      <c r="H597" s="5" t="n">
        <f>D597*G597</f>
        <v>8.03</v>
      </c>
      <c r="I597" s="5" t="n">
        <v>0.125</v>
      </c>
      <c r="J597" s="5" t="n">
        <f>I597*(1+$N$2)</f>
        <v>0.125</v>
      </c>
      <c r="K597" s="5" t="n">
        <f>D597*J597</f>
        <v>0.125</v>
      </c>
      <c r="L597" s="5"/>
      <c r="M597" s="5"/>
      <c r="N597" s="5"/>
      <c r="O597" s="5"/>
    </row>
    <row r="598">
      <c r="A598" s="1"/>
      <c r="B598" s="1" t="str">
        <v>Statut fictif 038</v>
      </c>
      <c r="C598" s="1" t="str">
        <v>HL</v>
      </c>
      <c r="D598" s="5" t="n">
        <v>2</v>
      </c>
      <c r="E598" s="5" t="n">
        <v>0</v>
      </c>
      <c r="F598" s="5" t="n">
        <v>0</v>
      </c>
      <c r="G598" s="5" t="n">
        <v>7.25</v>
      </c>
      <c r="H598" s="5" t="n">
        <v>0</v>
      </c>
      <c r="I598" s="5" t="n">
        <v>0.375</v>
      </c>
      <c r="J598" s="5" t="n">
        <v>0</v>
      </c>
      <c r="K598" s="5" t="n">
        <v>0</v>
      </c>
      <c r="L598" s="5"/>
      <c r="M598" s="5"/>
      <c r="N598" s="5"/>
      <c r="O598" s="5"/>
    </row>
    <row r="599">
      <c r="A599" s="1"/>
      <c r="B599" s="1" t="str">
        <v>Sous-total fictif 108</v>
      </c>
      <c r="C599" s="1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>
      <c r="A600" s="1"/>
      <c r="B600" s="6" t="str">
        <v>Section fictive 109</v>
      </c>
      <c r="C600" s="1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>
      <c r="A601" s="1"/>
      <c r="B601" s="1" t="str">
        <v>Ligne fictive 0307</v>
      </c>
      <c r="C601" s="1" t="str">
        <v>u</v>
      </c>
      <c r="D601" s="5" t="n">
        <v>2</v>
      </c>
      <c r="E601" s="5" t="n">
        <f>G601*$L$2+J601*$M$2*$O$2</f>
        <v>15.743</v>
      </c>
      <c r="F601" s="5" t="n">
        <f>ROUND(D601*E601,2)</f>
        <v>31.49</v>
      </c>
      <c r="G601" s="5" t="n">
        <v>2.11</v>
      </c>
      <c r="H601" s="5" t="n">
        <f>D601*G601</f>
        <v>4.22</v>
      </c>
      <c r="I601" s="5" t="n">
        <v>0.25</v>
      </c>
      <c r="J601" s="5" t="n">
        <f>I601*(1+$N$2)</f>
        <v>0.25</v>
      </c>
      <c r="K601" s="5" t="n">
        <f>D601*J601</f>
        <v>0.5</v>
      </c>
      <c r="L601" s="5"/>
      <c r="M601" s="5"/>
      <c r="N601" s="5"/>
      <c r="O601" s="5"/>
    </row>
    <row r="602">
      <c r="A602" s="1"/>
      <c r="B602" s="1" t="str">
        <v>Ligne fictive 0308</v>
      </c>
      <c r="C602" s="1" t="str">
        <v>ml</v>
      </c>
      <c r="D602" s="5" t="n">
        <v>3</v>
      </c>
      <c r="E602" s="5" t="n">
        <f>G602*$L$2+J602*$M$2*$O$2</f>
        <v>22.724</v>
      </c>
      <c r="F602" s="5" t="n">
        <f>ROUND(D602*E602,2)</f>
        <v>68.17</v>
      </c>
      <c r="G602" s="5" t="n">
        <v>2.48</v>
      </c>
      <c r="H602" s="5" t="n">
        <f>D602*G602</f>
        <v>7.4399999999999995</v>
      </c>
      <c r="I602" s="5" t="n">
        <v>0.375</v>
      </c>
      <c r="J602" s="5" t="n">
        <f>I602*(1+$N$2)</f>
        <v>0.375</v>
      </c>
      <c r="K602" s="5" t="n">
        <f>D602*J602</f>
        <v>1.125</v>
      </c>
      <c r="L602" s="5"/>
      <c r="M602" s="5"/>
      <c r="N602" s="5"/>
      <c r="O602" s="5"/>
    </row>
    <row r="603">
      <c r="A603" s="1"/>
      <c r="B603" s="1" t="str">
        <v>Ligne fictive 0309</v>
      </c>
      <c r="C603" s="1" t="str">
        <v>m2</v>
      </c>
      <c r="D603" s="5" t="n">
        <v>4</v>
      </c>
      <c r="E603" s="5" t="n">
        <f>G603*$L$2+J603*$M$2*$O$2</f>
        <v>29.705</v>
      </c>
      <c r="F603" s="5" t="n">
        <f>ROUND(D603*E603,2)</f>
        <v>118.82</v>
      </c>
      <c r="G603" s="5" t="n">
        <v>2.85</v>
      </c>
      <c r="H603" s="5" t="n">
        <f>D603*G603</f>
        <v>11.4</v>
      </c>
      <c r="I603" s="5" t="n">
        <v>0.5</v>
      </c>
      <c r="J603" s="5" t="n">
        <f>I603*(1+$N$2)</f>
        <v>0.5</v>
      </c>
      <c r="K603" s="5" t="n">
        <f>D603*J603</f>
        <v>2</v>
      </c>
      <c r="L603" s="5"/>
      <c r="M603" s="5"/>
      <c r="N603" s="5"/>
      <c r="O603" s="5"/>
    </row>
    <row r="604">
      <c r="A604" s="1"/>
      <c r="B604" s="1" t="str">
        <v>Réserve fictive 0038</v>
      </c>
      <c r="C604" s="1" t="str">
        <v>u</v>
      </c>
      <c r="D604" s="5"/>
      <c r="E604" s="5" t="n">
        <v>0</v>
      </c>
      <c r="F604" s="5" t="n">
        <v>0</v>
      </c>
      <c r="G604" s="5" t="n">
        <v>0</v>
      </c>
      <c r="H604" s="5" t="n">
        <v>0</v>
      </c>
      <c r="I604" s="5" t="n">
        <v>0</v>
      </c>
      <c r="J604" s="5" t="n">
        <v>0</v>
      </c>
      <c r="K604" s="5" t="n">
        <v>0</v>
      </c>
      <c r="L604" s="5"/>
      <c r="M604" s="5"/>
      <c r="N604" s="5"/>
      <c r="O604" s="5"/>
    </row>
    <row r="605">
      <c r="A605" s="1"/>
      <c r="B605" s="1" t="str">
        <v>Sous-total fictif 109</v>
      </c>
      <c r="C605" s="1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>
      <c r="A606" s="1"/>
      <c r="B606" s="6" t="str">
        <v>Section fictive 110</v>
      </c>
      <c r="C606" s="1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>
      <c r="A607" s="1"/>
      <c r="B607" s="1" t="str">
        <v>Ligne fictive 0310</v>
      </c>
      <c r="C607" s="1" t="str">
        <v>u</v>
      </c>
      <c r="D607" s="5" t="n">
        <v>5</v>
      </c>
      <c r="E607" s="5" t="n">
        <f>G607*$L$2+J607*$M$2*$O$2</f>
        <v>36.686</v>
      </c>
      <c r="F607" s="5" t="n">
        <f>ROUND(D607*E607,2)</f>
        <v>183.43</v>
      </c>
      <c r="G607" s="5" t="n">
        <v>3.22</v>
      </c>
      <c r="H607" s="5" t="n">
        <f>D607*G607</f>
        <v>16.1</v>
      </c>
      <c r="I607" s="5" t="n">
        <v>0.625</v>
      </c>
      <c r="J607" s="5" t="n">
        <f>I607*(1+$N$2)</f>
        <v>0.625</v>
      </c>
      <c r="K607" s="5" t="n">
        <f>D607*J607</f>
        <v>3.125</v>
      </c>
      <c r="L607" s="5"/>
      <c r="M607" s="5"/>
      <c r="N607" s="5"/>
      <c r="O607" s="5"/>
    </row>
    <row r="608">
      <c r="A608" s="1"/>
      <c r="B608" s="1" t="str">
        <v>Ligne fictive 0311</v>
      </c>
      <c r="C608" s="1" t="str">
        <v>ml</v>
      </c>
      <c r="D608" s="5" t="n">
        <v>1</v>
      </c>
      <c r="E608" s="5" t="n">
        <f>G608*$L$2+J608*$M$2*$O$2</f>
        <v>11.167</v>
      </c>
      <c r="F608" s="5" t="n">
        <f>ROUND(D608*E608,2)</f>
        <v>11.17</v>
      </c>
      <c r="G608" s="5" t="n">
        <v>3.59</v>
      </c>
      <c r="H608" s="5" t="n">
        <f>D608*G608</f>
        <v>3.59</v>
      </c>
      <c r="I608" s="5" t="n">
        <v>0.125</v>
      </c>
      <c r="J608" s="5" t="n">
        <f>I608*(1+$N$2)</f>
        <v>0.125</v>
      </c>
      <c r="K608" s="5" t="n">
        <f>D608*J608</f>
        <v>0.125</v>
      </c>
      <c r="L608" s="5"/>
      <c r="M608" s="5"/>
      <c r="N608" s="5"/>
      <c r="O608" s="5"/>
    </row>
    <row r="609">
      <c r="A609" s="1"/>
      <c r="B609" s="1" t="str">
        <v>Ligne fictive 0312</v>
      </c>
      <c r="C609" s="1" t="str">
        <v>m2</v>
      </c>
      <c r="D609" s="5" t="n">
        <v>2</v>
      </c>
      <c r="E609" s="5" t="n">
        <f>G609*$L$2+J609*$M$2*$O$2</f>
        <v>18.148</v>
      </c>
      <c r="F609" s="5" t="n">
        <f>ROUND(D609*E609,2)</f>
        <v>36.3</v>
      </c>
      <c r="G609" s="5" t="n">
        <v>3.96</v>
      </c>
      <c r="H609" s="5" t="n">
        <f>D609*G609</f>
        <v>7.92</v>
      </c>
      <c r="I609" s="5" t="n">
        <v>0.25</v>
      </c>
      <c r="J609" s="5" t="n">
        <f>I609*(1+$N$2)</f>
        <v>0.25</v>
      </c>
      <c r="K609" s="5" t="n">
        <f>D609*J609</f>
        <v>0.5</v>
      </c>
      <c r="L609" s="5"/>
      <c r="M609" s="5"/>
      <c r="N609" s="5"/>
      <c r="O609" s="5"/>
    </row>
    <row r="610">
      <c r="A610" s="1"/>
      <c r="B610" s="1" t="str">
        <v>Statut fictif 039</v>
      </c>
      <c r="C610" s="1" t="str">
        <v>HL</v>
      </c>
      <c r="D610" s="5" t="n">
        <v>3</v>
      </c>
      <c r="E610" s="5" t="n">
        <v>0</v>
      </c>
      <c r="F610" s="5" t="n">
        <v>0</v>
      </c>
      <c r="G610" s="5" t="n">
        <v>7.25</v>
      </c>
      <c r="H610" s="5" t="n">
        <v>0</v>
      </c>
      <c r="I610" s="5" t="n">
        <v>0.375</v>
      </c>
      <c r="J610" s="5" t="n">
        <v>0</v>
      </c>
      <c r="K610" s="5" t="n">
        <v>0</v>
      </c>
      <c r="L610" s="5"/>
      <c r="M610" s="5"/>
      <c r="N610" s="5"/>
      <c r="O610" s="5"/>
    </row>
    <row r="611">
      <c r="A611" s="1"/>
      <c r="B611" s="1" t="str">
        <v>Sous-total fictif 110</v>
      </c>
      <c r="C611" s="1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>
      <c r="A612" s="1"/>
      <c r="B612" s="6" t="str">
        <v>Section fictive 111</v>
      </c>
      <c r="C612" s="1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>
      <c r="A613" s="1"/>
      <c r="B613" s="1" t="str">
        <v>Ligne fictive 0313</v>
      </c>
      <c r="C613" s="1" t="str">
        <v>u</v>
      </c>
      <c r="D613" s="5" t="n">
        <v>3</v>
      </c>
      <c r="E613" s="5" t="n">
        <f>G613*$L$2+J613*$M$2*$O$2</f>
        <v>25.129</v>
      </c>
      <c r="F613" s="5" t="n">
        <f>ROUND(D613*E613,2)</f>
        <v>75.39</v>
      </c>
      <c r="G613" s="5" t="n">
        <v>4.33</v>
      </c>
      <c r="H613" s="5" t="n">
        <f>D613*G613</f>
        <v>12.99</v>
      </c>
      <c r="I613" s="5" t="n">
        <v>0.375</v>
      </c>
      <c r="J613" s="5" t="n">
        <f>I613*(1+$N$2)</f>
        <v>0.375</v>
      </c>
      <c r="K613" s="5" t="n">
        <f>D613*J613</f>
        <v>1.125</v>
      </c>
      <c r="L613" s="5"/>
      <c r="M613" s="5"/>
      <c r="N613" s="5"/>
      <c r="O613" s="5"/>
    </row>
    <row r="614">
      <c r="A614" s="1"/>
      <c r="B614" s="1" t="str">
        <v>Ligne fictive 0314</v>
      </c>
      <c r="C614" s="1" t="str">
        <v>ml</v>
      </c>
      <c r="D614" s="5" t="n">
        <v>4</v>
      </c>
      <c r="E614" s="5" t="n">
        <f>G614*$L$2+J614*$M$2*$O$2</f>
        <v>32.11</v>
      </c>
      <c r="F614" s="5" t="n">
        <f>ROUND(D614*E614,2)</f>
        <v>128.44</v>
      </c>
      <c r="G614" s="5" t="n">
        <v>4.7</v>
      </c>
      <c r="H614" s="5" t="n">
        <f>D614*G614</f>
        <v>18.8</v>
      </c>
      <c r="I614" s="5" t="n">
        <v>0.5</v>
      </c>
      <c r="J614" s="5" t="n">
        <f>I614*(1+$N$2)</f>
        <v>0.5</v>
      </c>
      <c r="K614" s="5" t="n">
        <f>D614*J614</f>
        <v>2</v>
      </c>
      <c r="L614" s="5"/>
      <c r="M614" s="5"/>
      <c r="N614" s="5"/>
      <c r="O614" s="5"/>
    </row>
    <row r="615">
      <c r="A615" s="1"/>
      <c r="B615" s="1" t="str">
        <v>Ligne fictive 0315</v>
      </c>
      <c r="C615" s="1" t="str">
        <v>m2</v>
      </c>
      <c r="D615" s="5" t="n">
        <v>5</v>
      </c>
      <c r="E615" s="5" t="n">
        <f>G615*$L$2+J615*$M$2*$O$2</f>
        <v>39.091</v>
      </c>
      <c r="F615" s="5" t="n">
        <f>ROUND(D615*E615,2)</f>
        <v>195.46</v>
      </c>
      <c r="G615" s="5" t="n">
        <v>5.07</v>
      </c>
      <c r="H615" s="5" t="n">
        <f>D615*G615</f>
        <v>25.35</v>
      </c>
      <c r="I615" s="5" t="n">
        <v>0.625</v>
      </c>
      <c r="J615" s="5" t="n">
        <f>I615*(1+$N$2)</f>
        <v>0.625</v>
      </c>
      <c r="K615" s="5" t="n">
        <f>D615*J615</f>
        <v>3.125</v>
      </c>
      <c r="L615" s="5"/>
      <c r="M615" s="5"/>
      <c r="N615" s="5"/>
      <c r="O615" s="5"/>
    </row>
    <row r="616">
      <c r="A616" s="1"/>
      <c r="B616" s="1" t="str">
        <v>Sous-total fictif 111</v>
      </c>
      <c r="C616" s="1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>
      <c r="A617" s="1"/>
      <c r="B617" s="6" t="str">
        <v>Section fictive 112</v>
      </c>
      <c r="C617" s="1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>
      <c r="A618" s="1"/>
      <c r="B618" s="1" t="str">
        <v>Ligne fictive 0316</v>
      </c>
      <c r="C618" s="1" t="str">
        <v>u</v>
      </c>
      <c r="D618" s="5" t="n">
        <v>1</v>
      </c>
      <c r="E618" s="5" t="n">
        <f>G618*$L$2+J618*$M$2*$O$2</f>
        <v>13.572000000000001</v>
      </c>
      <c r="F618" s="5" t="n">
        <f>ROUND(D618*E618,2)</f>
        <v>13.57</v>
      </c>
      <c r="G618" s="5" t="n">
        <v>5.44</v>
      </c>
      <c r="H618" s="5" t="n">
        <f>D618*G618</f>
        <v>5.44</v>
      </c>
      <c r="I618" s="5" t="n">
        <v>0.125</v>
      </c>
      <c r="J618" s="5" t="n">
        <f>I618*(1+$N$2)</f>
        <v>0.125</v>
      </c>
      <c r="K618" s="5" t="n">
        <f>D618*J618</f>
        <v>0.125</v>
      </c>
      <c r="L618" s="5"/>
      <c r="M618" s="5"/>
      <c r="N618" s="5"/>
      <c r="O618" s="5"/>
    </row>
    <row r="619">
      <c r="A619" s="1"/>
      <c r="B619" s="1" t="str">
        <v>Ligne fictive 0317</v>
      </c>
      <c r="C619" s="1" t="str">
        <v>ml</v>
      </c>
      <c r="D619" s="5" t="n">
        <v>2</v>
      </c>
      <c r="E619" s="5" t="n">
        <f>G619*$L$2+J619*$M$2*$O$2</f>
        <v>20.553</v>
      </c>
      <c r="F619" s="5" t="n">
        <f>ROUND(D619*E619,2)</f>
        <v>41.11</v>
      </c>
      <c r="G619" s="5" t="n">
        <v>5.81</v>
      </c>
      <c r="H619" s="5" t="n">
        <f>D619*G619</f>
        <v>11.62</v>
      </c>
      <c r="I619" s="5" t="n">
        <v>0.25</v>
      </c>
      <c r="J619" s="5" t="n">
        <f>I619*(1+$N$2)</f>
        <v>0.25</v>
      </c>
      <c r="K619" s="5" t="n">
        <f>D619*J619</f>
        <v>0.5</v>
      </c>
      <c r="L619" s="5"/>
      <c r="M619" s="5"/>
      <c r="N619" s="5"/>
      <c r="O619" s="5"/>
    </row>
    <row r="620">
      <c r="A620" s="1"/>
      <c r="B620" s="1" t="str">
        <v>Ligne fictive 0318</v>
      </c>
      <c r="C620" s="1" t="str">
        <v>m2</v>
      </c>
      <c r="D620" s="5" t="n">
        <v>3</v>
      </c>
      <c r="E620" s="5" t="n">
        <f>G620*$L$2+J620*$M$2*$O$2</f>
        <v>27.534</v>
      </c>
      <c r="F620" s="5" t="n">
        <f>ROUND(D620*E620,2)</f>
        <v>82.6</v>
      </c>
      <c r="G620" s="5" t="n">
        <v>6.18</v>
      </c>
      <c r="H620" s="5" t="n">
        <f>D620*G620</f>
        <v>18.54</v>
      </c>
      <c r="I620" s="5" t="n">
        <v>0.375</v>
      </c>
      <c r="J620" s="5" t="n">
        <f>I620*(1+$N$2)</f>
        <v>0.375</v>
      </c>
      <c r="K620" s="5" t="n">
        <f>D620*J620</f>
        <v>1.125</v>
      </c>
      <c r="L620" s="5"/>
      <c r="M620" s="5"/>
      <c r="N620" s="5"/>
      <c r="O620" s="5"/>
    </row>
    <row r="621">
      <c r="A621" s="1"/>
      <c r="B621" s="1" t="str">
        <v>Réserve fictive 0039</v>
      </c>
      <c r="C621" s="1" t="str">
        <v>u</v>
      </c>
      <c r="D621" s="5"/>
      <c r="E621" s="5" t="n">
        <v>0</v>
      </c>
      <c r="F621" s="5" t="n">
        <v>0</v>
      </c>
      <c r="G621" s="5" t="n">
        <v>0</v>
      </c>
      <c r="H621" s="5" t="n">
        <v>0</v>
      </c>
      <c r="I621" s="5" t="n">
        <v>0</v>
      </c>
      <c r="J621" s="5" t="n">
        <v>0</v>
      </c>
      <c r="K621" s="5" t="n">
        <v>0</v>
      </c>
      <c r="L621" s="5"/>
      <c r="M621" s="5"/>
      <c r="N621" s="5"/>
      <c r="O621" s="5"/>
    </row>
    <row r="622">
      <c r="A622" s="1"/>
      <c r="B622" s="1" t="str">
        <v>Sous-total fictif 112</v>
      </c>
      <c r="C622" s="1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>
      <c r="A623" s="1"/>
      <c r="B623" s="6" t="str">
        <v>Section fictive 113</v>
      </c>
      <c r="C623" s="1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>
      <c r="A624" s="1"/>
      <c r="B624" s="1" t="str">
        <v>Ligne fictive 0319</v>
      </c>
      <c r="C624" s="1" t="str">
        <v>u</v>
      </c>
      <c r="D624" s="5" t="n">
        <v>4</v>
      </c>
      <c r="E624" s="5" t="n">
        <f>G624*$L$2+J624*$M$2*$O$2</f>
        <v>34.515</v>
      </c>
      <c r="F624" s="5" t="n">
        <f>ROUND(D624*E624,2)</f>
        <v>138.06</v>
      </c>
      <c r="G624" s="5" t="n">
        <v>6.55</v>
      </c>
      <c r="H624" s="5" t="n">
        <f>D624*G624</f>
        <v>26.2</v>
      </c>
      <c r="I624" s="5" t="n">
        <v>0.5</v>
      </c>
      <c r="J624" s="5" t="n">
        <f>I624*(1+$N$2)</f>
        <v>0.5</v>
      </c>
      <c r="K624" s="5" t="n">
        <f>D624*J624</f>
        <v>2</v>
      </c>
      <c r="L624" s="5"/>
      <c r="M624" s="5"/>
      <c r="N624" s="5"/>
      <c r="O624" s="5"/>
    </row>
    <row r="625">
      <c r="A625" s="1"/>
      <c r="B625" s="1" t="str">
        <v>Ligne fictive 0320</v>
      </c>
      <c r="C625" s="1" t="str">
        <v>ml</v>
      </c>
      <c r="D625" s="5" t="n">
        <v>5</v>
      </c>
      <c r="E625" s="5" t="n">
        <f>G625*$L$2+J625*$M$2*$O$2</f>
        <v>41.496</v>
      </c>
      <c r="F625" s="5" t="n">
        <f>ROUND(D625*E625,2)</f>
        <v>207.48</v>
      </c>
      <c r="G625" s="5" t="n">
        <v>6.92</v>
      </c>
      <c r="H625" s="5" t="n">
        <f>D625*G625</f>
        <v>34.6</v>
      </c>
      <c r="I625" s="5" t="n">
        <v>0.625</v>
      </c>
      <c r="J625" s="5" t="n">
        <f>I625*(1+$N$2)</f>
        <v>0.625</v>
      </c>
      <c r="K625" s="5" t="n">
        <f>D625*J625</f>
        <v>3.125</v>
      </c>
      <c r="L625" s="5"/>
      <c r="M625" s="5"/>
      <c r="N625" s="5"/>
      <c r="O625" s="5"/>
    </row>
    <row r="626">
      <c r="A626" s="1"/>
      <c r="B626" s="1" t="str">
        <v>Statut fictif 040</v>
      </c>
      <c r="C626" s="1" t="str">
        <v>HL</v>
      </c>
      <c r="D626" s="5" t="n">
        <v>1</v>
      </c>
      <c r="E626" s="5" t="n">
        <v>0</v>
      </c>
      <c r="F626" s="5" t="n">
        <v>0</v>
      </c>
      <c r="G626" s="5" t="n">
        <v>7.25</v>
      </c>
      <c r="H626" s="5" t="n">
        <v>0</v>
      </c>
      <c r="I626" s="5" t="n">
        <v>0.375</v>
      </c>
      <c r="J626" s="5" t="n">
        <v>0</v>
      </c>
      <c r="K626" s="5" t="n">
        <v>0</v>
      </c>
      <c r="L626" s="5"/>
      <c r="M626" s="5"/>
      <c r="N626" s="5"/>
      <c r="O626" s="5"/>
    </row>
    <row r="627">
      <c r="A627" s="1"/>
      <c r="B627" s="1" t="str">
        <v>Sous-total fictif 113</v>
      </c>
      <c r="C627" s="1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>
      <c r="A628" s="1"/>
      <c r="B628" s="6" t="str">
        <v>Section fictive 114</v>
      </c>
      <c r="C628" s="1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>
      <c r="A629" s="1"/>
      <c r="B629" s="1" t="str">
        <v>Ligne fictive 0321</v>
      </c>
      <c r="C629" s="1" t="str">
        <v>m2</v>
      </c>
      <c r="D629" s="5" t="n">
        <v>1</v>
      </c>
      <c r="E629" s="5" t="n">
        <f>G629*$L$2+J629*$M$2*$O$2</f>
        <v>15.977</v>
      </c>
      <c r="F629" s="5" t="n">
        <f>ROUND(D629*E629,2)</f>
        <v>15.98</v>
      </c>
      <c r="G629" s="5" t="n">
        <v>7.29</v>
      </c>
      <c r="H629" s="5" t="n">
        <f>D629*G629</f>
        <v>7.29</v>
      </c>
      <c r="I629" s="5" t="n">
        <v>0.125</v>
      </c>
      <c r="J629" s="5" t="n">
        <f>I629*(1+$N$2)</f>
        <v>0.125</v>
      </c>
      <c r="K629" s="5" t="n">
        <f>D629*J629</f>
        <v>0.125</v>
      </c>
      <c r="L629" s="5"/>
      <c r="M629" s="5"/>
      <c r="N629" s="5"/>
      <c r="O629" s="5"/>
    </row>
    <row r="630">
      <c r="A630" s="1"/>
      <c r="B630" s="1" t="str">
        <v>Ligne fictive 0322</v>
      </c>
      <c r="C630" s="1" t="str">
        <v>u</v>
      </c>
      <c r="D630" s="5" t="n">
        <v>2</v>
      </c>
      <c r="E630" s="5" t="n">
        <f>G630*$L$2+J630*$M$2*$O$2</f>
        <v>22.958</v>
      </c>
      <c r="F630" s="5" t="n">
        <f>ROUND(D630*E630,2)</f>
        <v>45.92</v>
      </c>
      <c r="G630" s="5" t="n">
        <v>7.66</v>
      </c>
      <c r="H630" s="5" t="n">
        <f>D630*G630</f>
        <v>15.32</v>
      </c>
      <c r="I630" s="5" t="n">
        <v>0.25</v>
      </c>
      <c r="J630" s="5" t="n">
        <f>I630*(1+$N$2)</f>
        <v>0.25</v>
      </c>
      <c r="K630" s="5" t="n">
        <f>D630*J630</f>
        <v>0.5</v>
      </c>
      <c r="L630" s="5"/>
      <c r="M630" s="5"/>
      <c r="N630" s="5"/>
      <c r="O630" s="5"/>
    </row>
    <row r="631">
      <c r="A631" s="1"/>
      <c r="B631" s="1" t="str">
        <v>Ligne fictive 0323</v>
      </c>
      <c r="C631" s="1" t="str">
        <v>ml</v>
      </c>
      <c r="D631" s="5" t="n">
        <v>3</v>
      </c>
      <c r="E631" s="5" t="n">
        <f>G631*$L$2+J631*$M$2*$O$2</f>
        <v>29.939</v>
      </c>
      <c r="F631" s="5" t="n">
        <f>ROUND(D631*E631,2)</f>
        <v>89.82</v>
      </c>
      <c r="G631" s="5" t="n">
        <v>8.03</v>
      </c>
      <c r="H631" s="5" t="n">
        <f>D631*G631</f>
        <v>24.089999999999996</v>
      </c>
      <c r="I631" s="5" t="n">
        <v>0.375</v>
      </c>
      <c r="J631" s="5" t="n">
        <f>I631*(1+$N$2)</f>
        <v>0.375</v>
      </c>
      <c r="K631" s="5" t="n">
        <f>D631*J631</f>
        <v>1.125</v>
      </c>
      <c r="L631" s="5"/>
      <c r="M631" s="5"/>
      <c r="N631" s="5"/>
      <c r="O631" s="5"/>
    </row>
    <row r="632">
      <c r="A632" s="1"/>
      <c r="B632" s="1" t="str">
        <v>Sous-total fictif 114</v>
      </c>
      <c r="C632" s="1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>
      <c r="A633" s="1"/>
      <c r="B633" s="6" t="str">
        <v>Section fictive 115</v>
      </c>
      <c r="C633" s="1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>
      <c r="A634" s="1"/>
      <c r="B634" s="1" t="str">
        <v>Ligne fictive 0324</v>
      </c>
      <c r="C634" s="1" t="str">
        <v>m2</v>
      </c>
      <c r="D634" s="5" t="n">
        <v>4</v>
      </c>
      <c r="E634" s="5" t="n">
        <f>G634*$L$2+J634*$M$2*$O$2</f>
        <v>28.743</v>
      </c>
      <c r="F634" s="5" t="n">
        <f>ROUND(D634*E634,2)</f>
        <v>114.97</v>
      </c>
      <c r="G634" s="5" t="n">
        <v>2.11</v>
      </c>
      <c r="H634" s="5" t="n">
        <f>D634*G634</f>
        <v>8.44</v>
      </c>
      <c r="I634" s="5" t="n">
        <v>0.5</v>
      </c>
      <c r="J634" s="5" t="n">
        <f>I634*(1+$N$2)</f>
        <v>0.5</v>
      </c>
      <c r="K634" s="5" t="n">
        <f>D634*J634</f>
        <v>2</v>
      </c>
      <c r="L634" s="5"/>
      <c r="M634" s="5"/>
      <c r="N634" s="5"/>
      <c r="O634" s="5"/>
    </row>
    <row r="635">
      <c r="A635" s="1"/>
      <c r="B635" s="1" t="str">
        <v>Ligne fictive 0325</v>
      </c>
      <c r="C635" s="1" t="str">
        <v>u</v>
      </c>
      <c r="D635" s="5" t="n">
        <v>5</v>
      </c>
      <c r="E635" s="5" t="n">
        <f>G635*$L$2+J635*$M$2*$O$2</f>
        <v>35.724000000000004</v>
      </c>
      <c r="F635" s="5" t="n">
        <f>ROUND(D635*E635,2)</f>
        <v>178.62</v>
      </c>
      <c r="G635" s="5" t="n">
        <v>2.48</v>
      </c>
      <c r="H635" s="5" t="n">
        <f>D635*G635</f>
        <v>12.4</v>
      </c>
      <c r="I635" s="5" t="n">
        <v>0.625</v>
      </c>
      <c r="J635" s="5" t="n">
        <f>I635*(1+$N$2)</f>
        <v>0.625</v>
      </c>
      <c r="K635" s="5" t="n">
        <f>D635*J635</f>
        <v>3.125</v>
      </c>
      <c r="L635" s="5"/>
      <c r="M635" s="5"/>
      <c r="N635" s="5"/>
      <c r="O635" s="5"/>
    </row>
    <row r="636">
      <c r="A636" s="1"/>
      <c r="B636" s="1" t="str">
        <v>Ligne fictive 0326</v>
      </c>
      <c r="C636" s="1" t="str">
        <v>ml</v>
      </c>
      <c r="D636" s="5" t="n">
        <v>1</v>
      </c>
      <c r="E636" s="5" t="n">
        <f>G636*$L$2+J636*$M$2*$O$2</f>
        <v>10.205</v>
      </c>
      <c r="F636" s="5" t="n">
        <f>ROUND(D636*E636,2)</f>
        <v>10.21</v>
      </c>
      <c r="G636" s="5" t="n">
        <v>2.85</v>
      </c>
      <c r="H636" s="5" t="n">
        <f>D636*G636</f>
        <v>2.85</v>
      </c>
      <c r="I636" s="5" t="n">
        <v>0.125</v>
      </c>
      <c r="J636" s="5" t="n">
        <f>I636*(1+$N$2)</f>
        <v>0.125</v>
      </c>
      <c r="K636" s="5" t="n">
        <f>D636*J636</f>
        <v>0.125</v>
      </c>
      <c r="L636" s="5"/>
      <c r="M636" s="5"/>
      <c r="N636" s="5"/>
      <c r="O636" s="5"/>
    </row>
    <row r="637">
      <c r="A637" s="1"/>
      <c r="B637" s="1" t="str">
        <v>Réserve fictive 0040</v>
      </c>
      <c r="C637" s="1" t="str">
        <v>u</v>
      </c>
      <c r="D637" s="5"/>
      <c r="E637" s="5" t="n">
        <v>0</v>
      </c>
      <c r="F637" s="5" t="n">
        <v>0</v>
      </c>
      <c r="G637" s="5" t="n">
        <v>0</v>
      </c>
      <c r="H637" s="5" t="n">
        <v>0</v>
      </c>
      <c r="I637" s="5" t="n">
        <v>0</v>
      </c>
      <c r="J637" s="5" t="n">
        <v>0</v>
      </c>
      <c r="K637" s="5" t="n">
        <v>0</v>
      </c>
      <c r="L637" s="5"/>
      <c r="M637" s="5"/>
      <c r="N637" s="5"/>
      <c r="O637" s="5"/>
    </row>
    <row r="638">
      <c r="A638" s="1"/>
      <c r="B638" s="1" t="str">
        <v>Sous-total fictif 115</v>
      </c>
      <c r="C638" s="1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>
      <c r="A639" s="1"/>
      <c r="B639" s="6" t="str">
        <v>Section fictive 116</v>
      </c>
      <c r="C639" s="1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>
      <c r="A640" s="1"/>
      <c r="B640" s="1" t="str">
        <v>Ligne fictive 0327</v>
      </c>
      <c r="C640" s="1" t="str">
        <v>m2</v>
      </c>
      <c r="D640" s="5" t="n">
        <v>2</v>
      </c>
      <c r="E640" s="5" t="n">
        <f>G640*$L$2+J640*$M$2*$O$2</f>
        <v>17.186</v>
      </c>
      <c r="F640" s="5" t="n">
        <f>ROUND(D640*E640,2)</f>
        <v>34.37</v>
      </c>
      <c r="G640" s="5" t="n">
        <v>3.22</v>
      </c>
      <c r="H640" s="5" t="n">
        <f>D640*G640</f>
        <v>6.44</v>
      </c>
      <c r="I640" s="5" t="n">
        <v>0.25</v>
      </c>
      <c r="J640" s="5" t="n">
        <f>I640*(1+$N$2)</f>
        <v>0.25</v>
      </c>
      <c r="K640" s="5" t="n">
        <f>D640*J640</f>
        <v>0.5</v>
      </c>
      <c r="L640" s="5"/>
      <c r="M640" s="5"/>
      <c r="N640" s="5"/>
      <c r="O640" s="5"/>
    </row>
    <row r="641">
      <c r="A641" s="1"/>
      <c r="B641" s="1" t="str">
        <v>Ligne fictive 0328</v>
      </c>
      <c r="C641" s="1" t="str">
        <v>u</v>
      </c>
      <c r="D641" s="5" t="n">
        <v>3</v>
      </c>
      <c r="E641" s="5" t="n">
        <f>G641*$L$2+J641*$M$2*$O$2</f>
        <v>24.167</v>
      </c>
      <c r="F641" s="5" t="n">
        <f>ROUND(D641*E641,2)</f>
        <v>72.5</v>
      </c>
      <c r="G641" s="5" t="n">
        <v>3.59</v>
      </c>
      <c r="H641" s="5" t="n">
        <f>D641*G641</f>
        <v>10.77</v>
      </c>
      <c r="I641" s="5" t="n">
        <v>0.375</v>
      </c>
      <c r="J641" s="5" t="n">
        <f>I641*(1+$N$2)</f>
        <v>0.375</v>
      </c>
      <c r="K641" s="5" t="n">
        <f>D641*J641</f>
        <v>1.125</v>
      </c>
      <c r="L641" s="5"/>
      <c r="M641" s="5"/>
      <c r="N641" s="5"/>
      <c r="O641" s="5"/>
    </row>
    <row r="642">
      <c r="A642" s="1"/>
      <c r="B642" s="1" t="str">
        <v>Ligne fictive 0329</v>
      </c>
      <c r="C642" s="1" t="str">
        <v>ml</v>
      </c>
      <c r="D642" s="5" t="n">
        <v>4</v>
      </c>
      <c r="E642" s="5" t="n">
        <f>G642*$L$2+J642*$M$2*$O$2</f>
        <v>31.148</v>
      </c>
      <c r="F642" s="5" t="n">
        <f>ROUND(D642*E642,2)</f>
        <v>124.59</v>
      </c>
      <c r="G642" s="5" t="n">
        <v>3.96</v>
      </c>
      <c r="H642" s="5" t="n">
        <f>D642*G642</f>
        <v>15.84</v>
      </c>
      <c r="I642" s="5" t="n">
        <v>0.5</v>
      </c>
      <c r="J642" s="5" t="n">
        <f>I642*(1+$N$2)</f>
        <v>0.5</v>
      </c>
      <c r="K642" s="5" t="n">
        <f>D642*J642</f>
        <v>2</v>
      </c>
      <c r="L642" s="5"/>
      <c r="M642" s="5"/>
      <c r="N642" s="5"/>
      <c r="O642" s="5"/>
    </row>
    <row r="643">
      <c r="A643" s="1"/>
      <c r="B643" s="1" t="str">
        <v>Statut fictif 041</v>
      </c>
      <c r="C643" s="1" t="str">
        <v>HL</v>
      </c>
      <c r="D643" s="5" t="n">
        <v>2</v>
      </c>
      <c r="E643" s="5" t="n">
        <v>0</v>
      </c>
      <c r="F643" s="5" t="n">
        <v>0</v>
      </c>
      <c r="G643" s="5" t="n">
        <v>7.25</v>
      </c>
      <c r="H643" s="5" t="n">
        <v>0</v>
      </c>
      <c r="I643" s="5" t="n">
        <v>0.375</v>
      </c>
      <c r="J643" s="5" t="n">
        <v>0</v>
      </c>
      <c r="K643" s="5" t="n">
        <v>0</v>
      </c>
      <c r="L643" s="5"/>
      <c r="M643" s="5"/>
      <c r="N643" s="5"/>
      <c r="O643" s="5"/>
    </row>
    <row r="644">
      <c r="A644" s="1"/>
      <c r="B644" s="1" t="str">
        <v>Sous-total fictif 116</v>
      </c>
      <c r="C644" s="1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>
      <c r="A645" s="1"/>
      <c r="B645" s="6" t="str">
        <v>Section fictive 117</v>
      </c>
      <c r="C645" s="1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>
      <c r="A646" s="1"/>
      <c r="B646" s="1" t="str">
        <v>Ligne fictive 0330</v>
      </c>
      <c r="C646" s="1" t="str">
        <v>m2</v>
      </c>
      <c r="D646" s="5" t="n">
        <v>5</v>
      </c>
      <c r="E646" s="5" t="n">
        <f>G646*$L$2+J646*$M$2*$O$2</f>
        <v>38.129</v>
      </c>
      <c r="F646" s="5" t="n">
        <f>ROUND(D646*E646,2)</f>
        <v>190.65</v>
      </c>
      <c r="G646" s="5" t="n">
        <v>4.33</v>
      </c>
      <c r="H646" s="5" t="n">
        <f>D646*G646</f>
        <v>21.65</v>
      </c>
      <c r="I646" s="5" t="n">
        <v>0.625</v>
      </c>
      <c r="J646" s="5" t="n">
        <f>I646*(1+$N$2)</f>
        <v>0.625</v>
      </c>
      <c r="K646" s="5" t="n">
        <f>D646*J646</f>
        <v>3.125</v>
      </c>
      <c r="L646" s="5"/>
      <c r="M646" s="5"/>
      <c r="N646" s="5"/>
      <c r="O646" s="5"/>
    </row>
    <row r="647">
      <c r="A647" s="1"/>
      <c r="B647" s="1" t="str">
        <v>Ligne fictive 0331</v>
      </c>
      <c r="C647" s="1" t="str">
        <v>u</v>
      </c>
      <c r="D647" s="5" t="n">
        <v>1</v>
      </c>
      <c r="E647" s="5" t="n">
        <f>G647*$L$2+J647*$M$2*$O$2</f>
        <v>12.61</v>
      </c>
      <c r="F647" s="5" t="n">
        <f>ROUND(D647*E647,2)</f>
        <v>12.61</v>
      </c>
      <c r="G647" s="5" t="n">
        <v>4.7</v>
      </c>
      <c r="H647" s="5" t="n">
        <f>D647*G647</f>
        <v>4.7</v>
      </c>
      <c r="I647" s="5" t="n">
        <v>0.125</v>
      </c>
      <c r="J647" s="5" t="n">
        <f>I647*(1+$N$2)</f>
        <v>0.125</v>
      </c>
      <c r="K647" s="5" t="n">
        <f>D647*J647</f>
        <v>0.125</v>
      </c>
      <c r="L647" s="5"/>
      <c r="M647" s="5"/>
      <c r="N647" s="5"/>
      <c r="O647" s="5"/>
    </row>
    <row r="648">
      <c r="A648" s="1"/>
      <c r="B648" s="1" t="str">
        <v>Ligne fictive 0332</v>
      </c>
      <c r="C648" s="1" t="str">
        <v>ml</v>
      </c>
      <c r="D648" s="5" t="n">
        <v>2</v>
      </c>
      <c r="E648" s="5" t="n">
        <f>G648*$L$2+J648*$M$2*$O$2</f>
        <v>19.591</v>
      </c>
      <c r="F648" s="5" t="n">
        <f>ROUND(D648*E648,2)</f>
        <v>39.18</v>
      </c>
      <c r="G648" s="5" t="n">
        <v>5.07</v>
      </c>
      <c r="H648" s="5" t="n">
        <f>D648*G648</f>
        <v>10.14</v>
      </c>
      <c r="I648" s="5" t="n">
        <v>0.25</v>
      </c>
      <c r="J648" s="5" t="n">
        <f>I648*(1+$N$2)</f>
        <v>0.25</v>
      </c>
      <c r="K648" s="5" t="n">
        <f>D648*J648</f>
        <v>0.5</v>
      </c>
      <c r="L648" s="5"/>
      <c r="M648" s="5"/>
      <c r="N648" s="5"/>
      <c r="O648" s="5"/>
    </row>
    <row r="649">
      <c r="A649" s="1"/>
      <c r="B649" s="1" t="str">
        <v>Réserve fictive 0041</v>
      </c>
      <c r="C649" s="1" t="str">
        <v>u</v>
      </c>
      <c r="D649" s="5"/>
      <c r="E649" s="5" t="n">
        <v>0</v>
      </c>
      <c r="F649" s="5" t="n">
        <v>0</v>
      </c>
      <c r="G649" s="5" t="n">
        <v>0</v>
      </c>
      <c r="H649" s="5" t="n">
        <v>0</v>
      </c>
      <c r="I649" s="5" t="n">
        <v>0</v>
      </c>
      <c r="J649" s="5" t="n">
        <v>0</v>
      </c>
      <c r="K649" s="5" t="n">
        <v>0</v>
      </c>
      <c r="L649" s="5"/>
      <c r="M649" s="5"/>
      <c r="N649" s="5"/>
      <c r="O649" s="5"/>
    </row>
    <row r="650">
      <c r="A650" s="1"/>
      <c r="B650" s="1" t="str">
        <v>Sous-total fictif 117</v>
      </c>
      <c r="C650" s="1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>
      <c r="A651" s="1"/>
      <c r="B651" s="6" t="str">
        <v>Section fictive 118</v>
      </c>
      <c r="C651" s="1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>
      <c r="A652" s="1"/>
      <c r="B652" s="1" t="str">
        <v>Ligne fictive 0333</v>
      </c>
      <c r="C652" s="1" t="str">
        <v>m2</v>
      </c>
      <c r="D652" s="5" t="n">
        <v>3</v>
      </c>
      <c r="E652" s="5" t="n">
        <f>G652*$L$2+J652*$M$2*$O$2</f>
        <v>26.572000000000003</v>
      </c>
      <c r="F652" s="5" t="n">
        <f>ROUND(D652*E652,2)</f>
        <v>79.72</v>
      </c>
      <c r="G652" s="5" t="n">
        <v>5.44</v>
      </c>
      <c r="H652" s="5" t="n">
        <f>D652*G652</f>
        <v>16.32</v>
      </c>
      <c r="I652" s="5" t="n">
        <v>0.375</v>
      </c>
      <c r="J652" s="5" t="n">
        <f>I652*(1+$N$2)</f>
        <v>0.375</v>
      </c>
      <c r="K652" s="5" t="n">
        <f>D652*J652</f>
        <v>1.125</v>
      </c>
      <c r="L652" s="5"/>
      <c r="M652" s="5"/>
      <c r="N652" s="5"/>
      <c r="O652" s="5"/>
    </row>
    <row r="653">
      <c r="A653" s="1"/>
      <c r="B653" s="1" t="str">
        <v>Ligne fictive 0334</v>
      </c>
      <c r="C653" s="1" t="str">
        <v>u</v>
      </c>
      <c r="D653" s="5" t="n">
        <v>4</v>
      </c>
      <c r="E653" s="5" t="n">
        <f>G653*$L$2+J653*$M$2*$O$2</f>
        <v>33.553</v>
      </c>
      <c r="F653" s="5" t="n">
        <f>ROUND(D653*E653,2)</f>
        <v>134.21</v>
      </c>
      <c r="G653" s="5" t="n">
        <v>5.81</v>
      </c>
      <c r="H653" s="5" t="n">
        <f>D653*G653</f>
        <v>23.24</v>
      </c>
      <c r="I653" s="5" t="n">
        <v>0.5</v>
      </c>
      <c r="J653" s="5" t="n">
        <f>I653*(1+$N$2)</f>
        <v>0.5</v>
      </c>
      <c r="K653" s="5" t="n">
        <f>D653*J653</f>
        <v>2</v>
      </c>
      <c r="L653" s="5"/>
      <c r="M653" s="5"/>
      <c r="N653" s="5"/>
      <c r="O653" s="5"/>
    </row>
    <row r="654">
      <c r="A654" s="1"/>
      <c r="B654" s="1" t="str">
        <v>Ligne fictive 0335</v>
      </c>
      <c r="C654" s="1" t="str">
        <v>ml</v>
      </c>
      <c r="D654" s="5" t="n">
        <v>5</v>
      </c>
      <c r="E654" s="5" t="n">
        <f>G654*$L$2+J654*$M$2*$O$2</f>
        <v>40.534</v>
      </c>
      <c r="F654" s="5" t="n">
        <f>ROUND(D654*E654,2)</f>
        <v>202.67</v>
      </c>
      <c r="G654" s="5" t="n">
        <v>6.18</v>
      </c>
      <c r="H654" s="5" t="n">
        <f>D654*G654</f>
        <v>30.9</v>
      </c>
      <c r="I654" s="5" t="n">
        <v>0.625</v>
      </c>
      <c r="J654" s="5" t="n">
        <f>I654*(1+$N$2)</f>
        <v>0.625</v>
      </c>
      <c r="K654" s="5" t="n">
        <f>D654*J654</f>
        <v>3.125</v>
      </c>
      <c r="L654" s="5"/>
      <c r="M654" s="5"/>
      <c r="N654" s="5"/>
      <c r="O654" s="5"/>
    </row>
    <row r="655">
      <c r="A655" s="1"/>
      <c r="B655" s="1" t="str">
        <v>Sous-total fictif 118</v>
      </c>
      <c r="C655" s="1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>
      <c r="A656" s="1"/>
      <c r="B656" s="6" t="str">
        <v>Section fictive 119</v>
      </c>
      <c r="C656" s="1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>
      <c r="A657" s="1"/>
      <c r="B657" s="1" t="str">
        <v>Ligne fictive 0336</v>
      </c>
      <c r="C657" s="1" t="str">
        <v>m2</v>
      </c>
      <c r="D657" s="5" t="n">
        <v>1</v>
      </c>
      <c r="E657" s="5" t="n">
        <f>G657*$L$2+J657*$M$2*$O$2</f>
        <v>15.015</v>
      </c>
      <c r="F657" s="5" t="n">
        <f>ROUND(D657*E657,2)</f>
        <v>15.02</v>
      </c>
      <c r="G657" s="5" t="n">
        <v>6.55</v>
      </c>
      <c r="H657" s="5" t="n">
        <f>D657*G657</f>
        <v>6.55</v>
      </c>
      <c r="I657" s="5" t="n">
        <v>0.125</v>
      </c>
      <c r="J657" s="5" t="n">
        <f>I657*(1+$N$2)</f>
        <v>0.125</v>
      </c>
      <c r="K657" s="5" t="n">
        <f>D657*J657</f>
        <v>0.125</v>
      </c>
      <c r="L657" s="5"/>
      <c r="M657" s="5"/>
      <c r="N657" s="5"/>
      <c r="O657" s="5"/>
    </row>
    <row r="658">
      <c r="A658" s="1"/>
      <c r="B658" s="1" t="str">
        <v>Ligne fictive 0337</v>
      </c>
      <c r="C658" s="1" t="str">
        <v>u</v>
      </c>
      <c r="D658" s="5" t="n">
        <v>2</v>
      </c>
      <c r="E658" s="5" t="n">
        <f>G658*$L$2+J658*$M$2*$O$2</f>
        <v>21.996000000000002</v>
      </c>
      <c r="F658" s="5" t="n">
        <f>ROUND(D658*E658,2)</f>
        <v>43.99</v>
      </c>
      <c r="G658" s="5" t="n">
        <v>6.92</v>
      </c>
      <c r="H658" s="5" t="n">
        <f>D658*G658</f>
        <v>13.84</v>
      </c>
      <c r="I658" s="5" t="n">
        <v>0.25</v>
      </c>
      <c r="J658" s="5" t="n">
        <f>I658*(1+$N$2)</f>
        <v>0.25</v>
      </c>
      <c r="K658" s="5" t="n">
        <f>D658*J658</f>
        <v>0.5</v>
      </c>
      <c r="L658" s="5"/>
      <c r="M658" s="5"/>
      <c r="N658" s="5"/>
      <c r="O658" s="5"/>
    </row>
    <row r="659">
      <c r="A659" s="1"/>
      <c r="B659" s="1" t="str">
        <v>Statut fictif 042</v>
      </c>
      <c r="C659" s="1" t="str">
        <v>HL</v>
      </c>
      <c r="D659" s="5" t="n">
        <v>3</v>
      </c>
      <c r="E659" s="5" t="n">
        <v>0</v>
      </c>
      <c r="F659" s="5" t="n">
        <v>0</v>
      </c>
      <c r="G659" s="5" t="n">
        <v>7.25</v>
      </c>
      <c r="H659" s="5" t="n">
        <v>0</v>
      </c>
      <c r="I659" s="5" t="n">
        <v>0.375</v>
      </c>
      <c r="J659" s="5" t="n">
        <v>0</v>
      </c>
      <c r="K659" s="5" t="n">
        <v>0</v>
      </c>
      <c r="L659" s="5"/>
      <c r="M659" s="5"/>
      <c r="N659" s="5"/>
      <c r="O659" s="5"/>
    </row>
    <row r="660">
      <c r="A660" s="1"/>
      <c r="B660" s="1" t="str">
        <v>Sous-total fictif 119</v>
      </c>
      <c r="C660" s="1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>
      <c r="A661" s="1"/>
      <c r="B661" s="6" t="str">
        <v>Section fictive 120</v>
      </c>
      <c r="C661" s="1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>
      <c r="A662" s="1"/>
      <c r="B662" s="1" t="str">
        <v>Ligne fictive 0338</v>
      </c>
      <c r="C662" s="1" t="str">
        <v>ml</v>
      </c>
      <c r="D662" s="5" t="n">
        <v>3</v>
      </c>
      <c r="E662" s="5" t="n">
        <f>G662*$L$2+J662*$M$2*$O$2</f>
        <v>28.977</v>
      </c>
      <c r="F662" s="5" t="n">
        <f>ROUND(D662*E662,2)</f>
        <v>86.93</v>
      </c>
      <c r="G662" s="5" t="n">
        <v>7.29</v>
      </c>
      <c r="H662" s="5" t="n">
        <f>D662*G662</f>
        <v>21.87</v>
      </c>
      <c r="I662" s="5" t="n">
        <v>0.375</v>
      </c>
      <c r="J662" s="5" t="n">
        <f>I662*(1+$N$2)</f>
        <v>0.375</v>
      </c>
      <c r="K662" s="5" t="n">
        <f>D662*J662</f>
        <v>1.125</v>
      </c>
      <c r="L662" s="5"/>
      <c r="M662" s="5"/>
      <c r="N662" s="5"/>
      <c r="O662" s="5"/>
    </row>
    <row r="663">
      <c r="A663" s="1"/>
      <c r="B663" s="1" t="str">
        <v>Ligne fictive 0339</v>
      </c>
      <c r="C663" s="1" t="str">
        <v>m2</v>
      </c>
      <c r="D663" s="5" t="n">
        <v>4</v>
      </c>
      <c r="E663" s="5" t="n">
        <f>G663*$L$2+J663*$M$2*$O$2</f>
        <v>35.958</v>
      </c>
      <c r="F663" s="5" t="n">
        <f>ROUND(D663*E663,2)</f>
        <v>143.83</v>
      </c>
      <c r="G663" s="5" t="n">
        <v>7.66</v>
      </c>
      <c r="H663" s="5" t="n">
        <f>D663*G663</f>
        <v>30.64</v>
      </c>
      <c r="I663" s="5" t="n">
        <v>0.5</v>
      </c>
      <c r="J663" s="5" t="n">
        <f>I663*(1+$N$2)</f>
        <v>0.5</v>
      </c>
      <c r="K663" s="5" t="n">
        <f>D663*J663</f>
        <v>2</v>
      </c>
      <c r="L663" s="5"/>
      <c r="M663" s="5"/>
      <c r="N663" s="5"/>
      <c r="O663" s="5"/>
    </row>
    <row r="664">
      <c r="A664" s="1"/>
      <c r="B664" s="1" t="str">
        <v>Ligne fictive 0340</v>
      </c>
      <c r="C664" s="1" t="str">
        <v>u</v>
      </c>
      <c r="D664" s="5" t="n">
        <v>5</v>
      </c>
      <c r="E664" s="5" t="n">
        <f>G664*$L$2+J664*$M$2*$O$2</f>
        <v>42.939</v>
      </c>
      <c r="F664" s="5" t="n">
        <f>ROUND(D664*E664,2)</f>
        <v>214.7</v>
      </c>
      <c r="G664" s="5" t="n">
        <v>8.03</v>
      </c>
      <c r="H664" s="5" t="n">
        <f>D664*G664</f>
        <v>40.15</v>
      </c>
      <c r="I664" s="5" t="n">
        <v>0.625</v>
      </c>
      <c r="J664" s="5" t="n">
        <f>I664*(1+$N$2)</f>
        <v>0.625</v>
      </c>
      <c r="K664" s="5" t="n">
        <f>D664*J664</f>
        <v>3.125</v>
      </c>
      <c r="L664" s="5"/>
      <c r="M664" s="5"/>
      <c r="N664" s="5"/>
      <c r="O664" s="5"/>
    </row>
    <row r="665">
      <c r="A665" s="1"/>
      <c r="B665" s="1" t="str">
        <v>Réserve fictive 0042</v>
      </c>
      <c r="C665" s="1" t="str">
        <v>u</v>
      </c>
      <c r="D665" s="5"/>
      <c r="E665" s="5" t="n">
        <v>0</v>
      </c>
      <c r="F665" s="5" t="n">
        <v>0</v>
      </c>
      <c r="G665" s="5" t="n">
        <v>0</v>
      </c>
      <c r="H665" s="5" t="n">
        <v>0</v>
      </c>
      <c r="I665" s="5" t="n">
        <v>0</v>
      </c>
      <c r="J665" s="5" t="n">
        <v>0</v>
      </c>
      <c r="K665" s="5" t="n">
        <v>0</v>
      </c>
      <c r="L665" s="5"/>
      <c r="M665" s="5"/>
      <c r="N665" s="5"/>
      <c r="O665" s="5"/>
    </row>
    <row r="666">
      <c r="A666" s="1"/>
      <c r="B666" s="1" t="str">
        <v>Sous-total fictif 120</v>
      </c>
      <c r="C666" s="1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>
      <c r="A667" s="1"/>
      <c r="B667" s="6" t="str">
        <v>Section fictive 121</v>
      </c>
      <c r="C667" s="1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>
      <c r="A668" s="1"/>
      <c r="B668" s="1" t="str">
        <v>Ligne fictive 0341</v>
      </c>
      <c r="C668" s="1" t="str">
        <v>ml</v>
      </c>
      <c r="D668" s="5" t="n">
        <v>1</v>
      </c>
      <c r="E668" s="5" t="n">
        <f>G668*$L$2+J668*$M$2*$O$2</f>
        <v>9.243</v>
      </c>
      <c r="F668" s="5" t="n">
        <f>ROUND(D668*E668,2)</f>
        <v>9.24</v>
      </c>
      <c r="G668" s="5" t="n">
        <v>2.11</v>
      </c>
      <c r="H668" s="5" t="n">
        <f>D668*G668</f>
        <v>2.11</v>
      </c>
      <c r="I668" s="5" t="n">
        <v>0.125</v>
      </c>
      <c r="J668" s="5" t="n">
        <f>I668*(1+$N$2)</f>
        <v>0.125</v>
      </c>
      <c r="K668" s="5" t="n">
        <f>D668*J668</f>
        <v>0.125</v>
      </c>
      <c r="L668" s="5"/>
      <c r="M668" s="5"/>
      <c r="N668" s="5"/>
      <c r="O668" s="5"/>
    </row>
    <row r="669">
      <c r="A669" s="1"/>
      <c r="B669" s="1" t="str">
        <v>Ligne fictive 0342</v>
      </c>
      <c r="C669" s="1" t="str">
        <v>m2</v>
      </c>
      <c r="D669" s="5" t="n">
        <v>2</v>
      </c>
      <c r="E669" s="5" t="n">
        <f>G669*$L$2+J669*$M$2*$O$2</f>
        <v>16.224</v>
      </c>
      <c r="F669" s="5" t="n">
        <f>ROUND(D669*E669,2)</f>
        <v>32.45</v>
      </c>
      <c r="G669" s="5" t="n">
        <v>2.48</v>
      </c>
      <c r="H669" s="5" t="n">
        <f>D669*G669</f>
        <v>4.96</v>
      </c>
      <c r="I669" s="5" t="n">
        <v>0.25</v>
      </c>
      <c r="J669" s="5" t="n">
        <f>I669*(1+$N$2)</f>
        <v>0.25</v>
      </c>
      <c r="K669" s="5" t="n">
        <f>D669*J669</f>
        <v>0.5</v>
      </c>
      <c r="L669" s="5"/>
      <c r="M669" s="5"/>
      <c r="N669" s="5"/>
      <c r="O669" s="5"/>
    </row>
    <row r="670">
      <c r="A670" s="1"/>
      <c r="B670" s="1" t="str">
        <v>Ligne fictive 0343</v>
      </c>
      <c r="C670" s="1" t="str">
        <v>u</v>
      </c>
      <c r="D670" s="5" t="n">
        <v>3</v>
      </c>
      <c r="E670" s="5" t="n">
        <f>G670*$L$2+J670*$M$2*$O$2</f>
        <v>23.205</v>
      </c>
      <c r="F670" s="5" t="n">
        <f>ROUND(D670*E670,2)</f>
        <v>69.61</v>
      </c>
      <c r="G670" s="5" t="n">
        <v>2.85</v>
      </c>
      <c r="H670" s="5" t="n">
        <f>D670*G670</f>
        <v>8.55</v>
      </c>
      <c r="I670" s="5" t="n">
        <v>0.375</v>
      </c>
      <c r="J670" s="5" t="n">
        <f>I670*(1+$N$2)</f>
        <v>0.375</v>
      </c>
      <c r="K670" s="5" t="n">
        <f>D670*J670</f>
        <v>1.125</v>
      </c>
      <c r="L670" s="5"/>
      <c r="M670" s="5"/>
      <c r="N670" s="5"/>
      <c r="O670" s="5"/>
    </row>
    <row r="671">
      <c r="A671" s="1"/>
      <c r="B671" s="1" t="str">
        <v>Sous-total fictif 121</v>
      </c>
      <c r="C671" s="1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>
      <c r="A672" s="1"/>
      <c r="B672" s="6" t="str">
        <v>Section fictive 122</v>
      </c>
      <c r="C672" s="1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>
      <c r="A673" s="1"/>
      <c r="B673" s="1" t="str">
        <v>Ligne fictive 0344</v>
      </c>
      <c r="C673" s="1" t="str">
        <v>ml</v>
      </c>
      <c r="D673" s="5" t="n">
        <v>4</v>
      </c>
      <c r="E673" s="5" t="n">
        <f>G673*$L$2+J673*$M$2*$O$2</f>
        <v>30.186</v>
      </c>
      <c r="F673" s="5" t="n">
        <f>ROUND(D673*E673,2)</f>
        <v>120.74</v>
      </c>
      <c r="G673" s="5" t="n">
        <v>3.22</v>
      </c>
      <c r="H673" s="5" t="n">
        <f>D673*G673</f>
        <v>12.88</v>
      </c>
      <c r="I673" s="5" t="n">
        <v>0.5</v>
      </c>
      <c r="J673" s="5" t="n">
        <f>I673*(1+$N$2)</f>
        <v>0.5</v>
      </c>
      <c r="K673" s="5" t="n">
        <f>D673*J673</f>
        <v>2</v>
      </c>
      <c r="L673" s="5"/>
      <c r="M673" s="5"/>
      <c r="N673" s="5"/>
      <c r="O673" s="5"/>
    </row>
    <row r="674">
      <c r="A674" s="1"/>
      <c r="B674" s="1" t="str">
        <v>Ligne fictive 0345</v>
      </c>
      <c r="C674" s="1" t="str">
        <v>m2</v>
      </c>
      <c r="D674" s="5" t="n">
        <v>5</v>
      </c>
      <c r="E674" s="5" t="n">
        <f>G674*$L$2+J674*$M$2*$O$2</f>
        <v>37.167</v>
      </c>
      <c r="F674" s="5" t="n">
        <f>ROUND(D674*E674,2)</f>
        <v>185.84</v>
      </c>
      <c r="G674" s="5" t="n">
        <v>3.59</v>
      </c>
      <c r="H674" s="5" t="n">
        <f>D674*G674</f>
        <v>17.95</v>
      </c>
      <c r="I674" s="5" t="n">
        <v>0.625</v>
      </c>
      <c r="J674" s="5" t="n">
        <f>I674*(1+$N$2)</f>
        <v>0.625</v>
      </c>
      <c r="K674" s="5" t="n">
        <f>D674*J674</f>
        <v>3.125</v>
      </c>
      <c r="L674" s="5"/>
      <c r="M674" s="5"/>
      <c r="N674" s="5"/>
      <c r="O674" s="5"/>
    </row>
    <row r="675">
      <c r="A675" s="1"/>
      <c r="B675" s="1" t="str">
        <v>Ligne fictive 0346</v>
      </c>
      <c r="C675" s="1" t="str">
        <v>u</v>
      </c>
      <c r="D675" s="5" t="n">
        <v>1</v>
      </c>
      <c r="E675" s="5" t="n">
        <f>G675*$L$2+J675*$M$2*$O$2</f>
        <v>11.648</v>
      </c>
      <c r="F675" s="5" t="n">
        <f>ROUND(D675*E675,2)</f>
        <v>11.65</v>
      </c>
      <c r="G675" s="5" t="n">
        <v>3.96</v>
      </c>
      <c r="H675" s="5" t="n">
        <f>D675*G675</f>
        <v>3.96</v>
      </c>
      <c r="I675" s="5" t="n">
        <v>0.125</v>
      </c>
      <c r="J675" s="5" t="n">
        <f>I675*(1+$N$2)</f>
        <v>0.125</v>
      </c>
      <c r="K675" s="5" t="n">
        <f>D675*J675</f>
        <v>0.125</v>
      </c>
      <c r="L675" s="5"/>
      <c r="M675" s="5"/>
      <c r="N675" s="5"/>
      <c r="O675" s="5"/>
    </row>
    <row r="676">
      <c r="A676" s="1"/>
      <c r="B676" s="1" t="str">
        <v>Statut fictif 043</v>
      </c>
      <c r="C676" s="1" t="str">
        <v>HL</v>
      </c>
      <c r="D676" s="5" t="n">
        <v>1</v>
      </c>
      <c r="E676" s="5" t="n">
        <v>0</v>
      </c>
      <c r="F676" s="5" t="n">
        <v>0</v>
      </c>
      <c r="G676" s="5" t="n">
        <v>7.25</v>
      </c>
      <c r="H676" s="5" t="n">
        <v>0</v>
      </c>
      <c r="I676" s="5" t="n">
        <v>0.375</v>
      </c>
      <c r="J676" s="5" t="n">
        <v>0</v>
      </c>
      <c r="K676" s="5" t="n">
        <v>0</v>
      </c>
      <c r="L676" s="5"/>
      <c r="M676" s="5"/>
      <c r="N676" s="5"/>
      <c r="O676" s="5"/>
    </row>
    <row r="677">
      <c r="A677" s="1"/>
      <c r="B677" s="1" t="str">
        <v>Sous-total fictif 122</v>
      </c>
      <c r="C677" s="1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>
      <c r="A678" s="1"/>
      <c r="B678" s="6" t="str">
        <v>Section fictive 123</v>
      </c>
      <c r="C678" s="1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>
      <c r="A679" s="1"/>
      <c r="B679" s="1" t="str">
        <v>Ligne fictive 0347</v>
      </c>
      <c r="C679" s="1" t="str">
        <v>ml</v>
      </c>
      <c r="D679" s="5" t="n">
        <v>2</v>
      </c>
      <c r="E679" s="5" t="n">
        <f>G679*$L$2+J679*$M$2*$O$2</f>
        <v>18.629</v>
      </c>
      <c r="F679" s="5" t="n">
        <f>ROUND(D679*E679,2)</f>
        <v>37.26</v>
      </c>
      <c r="G679" s="5" t="n">
        <v>4.33</v>
      </c>
      <c r="H679" s="5" t="n">
        <f>D679*G679</f>
        <v>8.66</v>
      </c>
      <c r="I679" s="5" t="n">
        <v>0.25</v>
      </c>
      <c r="J679" s="5" t="n">
        <f>I679*(1+$N$2)</f>
        <v>0.25</v>
      </c>
      <c r="K679" s="5" t="n">
        <f>D679*J679</f>
        <v>0.5</v>
      </c>
      <c r="L679" s="5"/>
      <c r="M679" s="5"/>
      <c r="N679" s="5"/>
      <c r="O679" s="5"/>
    </row>
    <row r="680">
      <c r="A680" s="1"/>
      <c r="B680" s="1" t="str">
        <v>Ligne fictive 0348</v>
      </c>
      <c r="C680" s="1" t="str">
        <v>m2</v>
      </c>
      <c r="D680" s="5" t="n">
        <v>3</v>
      </c>
      <c r="E680" s="5" t="n">
        <f>G680*$L$2+J680*$M$2*$O$2</f>
        <v>25.61</v>
      </c>
      <c r="F680" s="5" t="n">
        <f>ROUND(D680*E680,2)</f>
        <v>76.83</v>
      </c>
      <c r="G680" s="5" t="n">
        <v>4.7</v>
      </c>
      <c r="H680" s="5" t="n">
        <f>D680*G680</f>
        <v>14.100000000000001</v>
      </c>
      <c r="I680" s="5" t="n">
        <v>0.375</v>
      </c>
      <c r="J680" s="5" t="n">
        <f>I680*(1+$N$2)</f>
        <v>0.375</v>
      </c>
      <c r="K680" s="5" t="n">
        <f>D680*J680</f>
        <v>1.125</v>
      </c>
      <c r="L680" s="5"/>
      <c r="M680" s="5"/>
      <c r="N680" s="5"/>
      <c r="O680" s="5"/>
    </row>
    <row r="681">
      <c r="A681" s="1"/>
      <c r="B681" s="1" t="str">
        <v>Ligne fictive 0349</v>
      </c>
      <c r="C681" s="1" t="str">
        <v>u</v>
      </c>
      <c r="D681" s="5" t="n">
        <v>4</v>
      </c>
      <c r="E681" s="5" t="n">
        <f>G681*$L$2+J681*$M$2*$O$2</f>
        <v>32.591</v>
      </c>
      <c r="F681" s="5" t="n">
        <f>ROUND(D681*E681,2)</f>
        <v>130.36</v>
      </c>
      <c r="G681" s="5" t="n">
        <v>5.07</v>
      </c>
      <c r="H681" s="5" t="n">
        <f>D681*G681</f>
        <v>20.28</v>
      </c>
      <c r="I681" s="5" t="n">
        <v>0.5</v>
      </c>
      <c r="J681" s="5" t="n">
        <f>I681*(1+$N$2)</f>
        <v>0.5</v>
      </c>
      <c r="K681" s="5" t="n">
        <f>D681*J681</f>
        <v>2</v>
      </c>
      <c r="L681" s="5"/>
      <c r="M681" s="5"/>
      <c r="N681" s="5"/>
      <c r="O681" s="5"/>
    </row>
    <row r="682">
      <c r="A682" s="1"/>
      <c r="B682" s="1" t="str">
        <v>Réserve fictive 0043</v>
      </c>
      <c r="C682" s="1" t="str">
        <v>u</v>
      </c>
      <c r="D682" s="5"/>
      <c r="E682" s="5" t="n">
        <v>0</v>
      </c>
      <c r="F682" s="5" t="n">
        <v>0</v>
      </c>
      <c r="G682" s="5" t="n">
        <v>0</v>
      </c>
      <c r="H682" s="5" t="n">
        <v>0</v>
      </c>
      <c r="I682" s="5" t="n">
        <v>0</v>
      </c>
      <c r="J682" s="5" t="n">
        <v>0</v>
      </c>
      <c r="K682" s="5" t="n">
        <v>0</v>
      </c>
      <c r="L682" s="5"/>
      <c r="M682" s="5"/>
      <c r="N682" s="5"/>
      <c r="O682" s="5"/>
    </row>
    <row r="683">
      <c r="A683" s="1"/>
      <c r="B683" s="1" t="str">
        <v>Sous-total fictif 123</v>
      </c>
      <c r="C683" s="1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>
      <c r="A684" s="1"/>
      <c r="B684" s="6" t="str">
        <v>Section fictive 124</v>
      </c>
      <c r="C684" s="1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>
      <c r="A685" s="1"/>
      <c r="B685" s="1" t="str">
        <v>Ligne fictive 0350</v>
      </c>
      <c r="C685" s="1" t="str">
        <v>ml</v>
      </c>
      <c r="D685" s="5" t="n">
        <v>5</v>
      </c>
      <c r="E685" s="5" t="n">
        <f>G685*$L$2+J685*$M$2*$O$2</f>
        <v>39.572</v>
      </c>
      <c r="F685" s="5" t="n">
        <f>ROUND(D685*E685,2)</f>
        <v>197.86</v>
      </c>
      <c r="G685" s="5" t="n">
        <v>5.44</v>
      </c>
      <c r="H685" s="5" t="n">
        <f>D685*G685</f>
        <v>27.200000000000003</v>
      </c>
      <c r="I685" s="5" t="n">
        <v>0.625</v>
      </c>
      <c r="J685" s="5" t="n">
        <f>I685*(1+$N$2)</f>
        <v>0.625</v>
      </c>
      <c r="K685" s="5" t="n">
        <f>D685*J685</f>
        <v>3.125</v>
      </c>
      <c r="L685" s="5"/>
      <c r="M685" s="5"/>
      <c r="N685" s="5"/>
      <c r="O685" s="5"/>
    </row>
    <row r="686">
      <c r="A686" s="1"/>
      <c r="B686" s="1" t="str">
        <v>Ligne fictive 0351</v>
      </c>
      <c r="C686" s="1" t="str">
        <v>m2</v>
      </c>
      <c r="D686" s="5" t="n">
        <v>1</v>
      </c>
      <c r="E686" s="5" t="n">
        <f>G686*$L$2+J686*$M$2*$O$2</f>
        <v>14.053</v>
      </c>
      <c r="F686" s="5" t="n">
        <f>ROUND(D686*E686,2)</f>
        <v>14.05</v>
      </c>
      <c r="G686" s="5" t="n">
        <v>5.81</v>
      </c>
      <c r="H686" s="5" t="n">
        <f>D686*G686</f>
        <v>5.81</v>
      </c>
      <c r="I686" s="5" t="n">
        <v>0.125</v>
      </c>
      <c r="J686" s="5" t="n">
        <f>I686*(1+$N$2)</f>
        <v>0.125</v>
      </c>
      <c r="K686" s="5" t="n">
        <f>D686*J686</f>
        <v>0.125</v>
      </c>
      <c r="L686" s="5"/>
      <c r="M686" s="5"/>
      <c r="N686" s="5"/>
      <c r="O686" s="5"/>
    </row>
    <row r="687">
      <c r="A687" s="1"/>
      <c r="B687" s="1" t="str">
        <v>Ligne fictive 0352</v>
      </c>
      <c r="C687" s="1" t="str">
        <v>u</v>
      </c>
      <c r="D687" s="5" t="n">
        <v>2</v>
      </c>
      <c r="E687" s="5" t="n">
        <f>G687*$L$2+J687*$M$2*$O$2</f>
        <v>21.034</v>
      </c>
      <c r="F687" s="5" t="n">
        <f>ROUND(D687*E687,2)</f>
        <v>42.07</v>
      </c>
      <c r="G687" s="5" t="n">
        <v>6.18</v>
      </c>
      <c r="H687" s="5" t="n">
        <f>D687*G687</f>
        <v>12.36</v>
      </c>
      <c r="I687" s="5" t="n">
        <v>0.25</v>
      </c>
      <c r="J687" s="5" t="n">
        <f>I687*(1+$N$2)</f>
        <v>0.25</v>
      </c>
      <c r="K687" s="5" t="n">
        <f>D687*J687</f>
        <v>0.5</v>
      </c>
      <c r="L687" s="5"/>
      <c r="M687" s="5"/>
      <c r="N687" s="5"/>
      <c r="O687" s="5"/>
    </row>
    <row r="688">
      <c r="A688" s="1"/>
      <c r="B688" s="1" t="str">
        <v>Statut fictif 044</v>
      </c>
      <c r="C688" s="1" t="str">
        <v>HL</v>
      </c>
      <c r="D688" s="5" t="n">
        <v>2</v>
      </c>
      <c r="E688" s="5" t="n">
        <v>0</v>
      </c>
      <c r="F688" s="5" t="n">
        <v>0</v>
      </c>
      <c r="G688" s="5" t="n">
        <v>7.25</v>
      </c>
      <c r="H688" s="5" t="n">
        <v>0</v>
      </c>
      <c r="I688" s="5" t="n">
        <v>0.375</v>
      </c>
      <c r="J688" s="5" t="n">
        <v>0</v>
      </c>
      <c r="K688" s="5" t="n">
        <v>0</v>
      </c>
      <c r="L688" s="5"/>
      <c r="M688" s="5"/>
      <c r="N688" s="5"/>
      <c r="O688" s="5"/>
    </row>
    <row r="689">
      <c r="A689" s="1"/>
      <c r="B689" s="1" t="str">
        <v>Sous-total fictif 124</v>
      </c>
      <c r="C689" s="1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>
      <c r="A690" s="1"/>
      <c r="B690" s="6" t="str">
        <v>Section fictive 125</v>
      </c>
      <c r="C690" s="1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>
      <c r="A691" s="1"/>
      <c r="B691" s="1" t="str">
        <v>Ligne fictive 0353</v>
      </c>
      <c r="C691" s="1" t="str">
        <v>ml</v>
      </c>
      <c r="D691" s="5" t="n">
        <v>3</v>
      </c>
      <c r="E691" s="5" t="n">
        <f>G691*$L$2+J691*$M$2*$O$2</f>
        <v>28.015</v>
      </c>
      <c r="F691" s="5" t="n">
        <f>ROUND(D691*E691,2)</f>
        <v>84.05</v>
      </c>
      <c r="G691" s="5" t="n">
        <v>6.55</v>
      </c>
      <c r="H691" s="5" t="n">
        <f>D691*G691</f>
        <v>19.65</v>
      </c>
      <c r="I691" s="5" t="n">
        <v>0.375</v>
      </c>
      <c r="J691" s="5" t="n">
        <f>I691*(1+$N$2)</f>
        <v>0.375</v>
      </c>
      <c r="K691" s="5" t="n">
        <f>D691*J691</f>
        <v>1.125</v>
      </c>
      <c r="L691" s="5"/>
      <c r="M691" s="5"/>
      <c r="N691" s="5"/>
      <c r="O691" s="5"/>
    </row>
    <row r="692">
      <c r="A692" s="1"/>
      <c r="B692" s="1" t="str">
        <v>Ligne fictive 0354</v>
      </c>
      <c r="C692" s="1" t="str">
        <v>m2</v>
      </c>
      <c r="D692" s="5" t="n">
        <v>4</v>
      </c>
      <c r="E692" s="5" t="n">
        <f>G692*$L$2+J692*$M$2*$O$2</f>
        <v>34.996</v>
      </c>
      <c r="F692" s="5" t="n">
        <f>ROUND(D692*E692,2)</f>
        <v>139.98</v>
      </c>
      <c r="G692" s="5" t="n">
        <v>6.92</v>
      </c>
      <c r="H692" s="5" t="n">
        <f>D692*G692</f>
        <v>27.68</v>
      </c>
      <c r="I692" s="5" t="n">
        <v>0.5</v>
      </c>
      <c r="J692" s="5" t="n">
        <f>I692*(1+$N$2)</f>
        <v>0.5</v>
      </c>
      <c r="K692" s="5" t="n">
        <f>D692*J692</f>
        <v>2</v>
      </c>
      <c r="L692" s="5"/>
      <c r="M692" s="5"/>
      <c r="N692" s="5"/>
      <c r="O692" s="5"/>
    </row>
    <row r="693">
      <c r="A693" s="1"/>
      <c r="B693" s="1" t="str">
        <v>Sous-total fictif 125</v>
      </c>
      <c r="C693" s="1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>
      <c r="A694" s="1"/>
      <c r="B694" s="6" t="str">
        <v>Section fictive 126</v>
      </c>
      <c r="C694" s="1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>
      <c r="A695" s="1"/>
      <c r="B695" s="1" t="str">
        <v>Ligne fictive 0355</v>
      </c>
      <c r="C695" s="1" t="str">
        <v>u</v>
      </c>
      <c r="D695" s="5" t="n">
        <v>5</v>
      </c>
      <c r="E695" s="5" t="n">
        <f>G695*$L$2+J695*$M$2*$O$2</f>
        <v>41.977000000000004</v>
      </c>
      <c r="F695" s="5" t="n">
        <f>ROUND(D695*E695,2)</f>
        <v>209.89</v>
      </c>
      <c r="G695" s="5" t="n">
        <v>7.29</v>
      </c>
      <c r="H695" s="5" t="n">
        <f>D695*G695</f>
        <v>36.45</v>
      </c>
      <c r="I695" s="5" t="n">
        <v>0.625</v>
      </c>
      <c r="J695" s="5" t="n">
        <f>I695*(1+$N$2)</f>
        <v>0.625</v>
      </c>
      <c r="K695" s="5" t="n">
        <f>D695*J695</f>
        <v>3.125</v>
      </c>
      <c r="L695" s="5"/>
      <c r="M695" s="5"/>
      <c r="N695" s="5"/>
      <c r="O695" s="5"/>
    </row>
    <row r="696">
      <c r="A696" s="1"/>
      <c r="B696" s="1" t="str">
        <v>Ligne fictive 0356</v>
      </c>
      <c r="C696" s="1" t="str">
        <v>ml</v>
      </c>
      <c r="D696" s="5" t="n">
        <v>1</v>
      </c>
      <c r="E696" s="5" t="n">
        <f>G696*$L$2+J696*$M$2*$O$2</f>
        <v>16.458</v>
      </c>
      <c r="F696" s="5" t="n">
        <f>ROUND(D696*E696,2)</f>
        <v>16.46</v>
      </c>
      <c r="G696" s="5" t="n">
        <v>7.66</v>
      </c>
      <c r="H696" s="5" t="n">
        <f>D696*G696</f>
        <v>7.66</v>
      </c>
      <c r="I696" s="5" t="n">
        <v>0.125</v>
      </c>
      <c r="J696" s="5" t="n">
        <f>I696*(1+$N$2)</f>
        <v>0.125</v>
      </c>
      <c r="K696" s="5" t="n">
        <f>D696*J696</f>
        <v>0.125</v>
      </c>
      <c r="L696" s="5"/>
      <c r="M696" s="5"/>
      <c r="N696" s="5"/>
      <c r="O696" s="5"/>
    </row>
    <row r="697">
      <c r="A697" s="1"/>
      <c r="B697" s="1" t="str">
        <v>Ligne fictive 0357</v>
      </c>
      <c r="C697" s="1" t="str">
        <v>m2</v>
      </c>
      <c r="D697" s="5" t="n">
        <v>2</v>
      </c>
      <c r="E697" s="5" t="n">
        <f>G697*$L$2+J697*$M$2*$O$2</f>
        <v>23.439</v>
      </c>
      <c r="F697" s="5" t="n">
        <f>ROUND(D697*E697,2)</f>
        <v>46.88</v>
      </c>
      <c r="G697" s="5" t="n">
        <v>8.03</v>
      </c>
      <c r="H697" s="5" t="n">
        <f>D697*G697</f>
        <v>16.06</v>
      </c>
      <c r="I697" s="5" t="n">
        <v>0.25</v>
      </c>
      <c r="J697" s="5" t="n">
        <f>I697*(1+$N$2)</f>
        <v>0.25</v>
      </c>
      <c r="K697" s="5" t="n">
        <f>D697*J697</f>
        <v>0.5</v>
      </c>
      <c r="L697" s="5"/>
      <c r="M697" s="5"/>
      <c r="N697" s="5"/>
      <c r="O697" s="5"/>
    </row>
    <row r="698">
      <c r="A698" s="1"/>
      <c r="B698" s="1" t="str">
        <v>Réserve fictive 0044</v>
      </c>
      <c r="C698" s="1" t="str">
        <v>u</v>
      </c>
      <c r="D698" s="5"/>
      <c r="E698" s="5" t="n">
        <v>0</v>
      </c>
      <c r="F698" s="5" t="n">
        <v>0</v>
      </c>
      <c r="G698" s="5" t="n">
        <v>0</v>
      </c>
      <c r="H698" s="5" t="n">
        <v>0</v>
      </c>
      <c r="I698" s="5" t="n">
        <v>0</v>
      </c>
      <c r="J698" s="5" t="n">
        <v>0</v>
      </c>
      <c r="K698" s="5" t="n">
        <v>0</v>
      </c>
      <c r="L698" s="5"/>
      <c r="M698" s="5"/>
      <c r="N698" s="5"/>
      <c r="O698" s="5"/>
    </row>
    <row r="699">
      <c r="A699" s="1"/>
      <c r="B699" s="1" t="str">
        <v>Sous-total fictif 126</v>
      </c>
      <c r="C699" s="1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>
      <c r="A700" s="1"/>
      <c r="B700" s="6" t="str">
        <v>Section fictive 127</v>
      </c>
      <c r="C700" s="1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>
      <c r="A701" s="1"/>
      <c r="B701" s="1" t="str">
        <v>Ligne fictive 0358</v>
      </c>
      <c r="C701" s="1" t="str">
        <v>u</v>
      </c>
      <c r="D701" s="5" t="n">
        <v>3</v>
      </c>
      <c r="E701" s="5" t="n">
        <f>G701*$L$2+J701*$M$2*$O$2</f>
        <v>22.243</v>
      </c>
      <c r="F701" s="5" t="n">
        <f>ROUND(D701*E701,2)</f>
        <v>66.73</v>
      </c>
      <c r="G701" s="5" t="n">
        <v>2.11</v>
      </c>
      <c r="H701" s="5" t="n">
        <f>D701*G701</f>
        <v>6.33</v>
      </c>
      <c r="I701" s="5" t="n">
        <v>0.375</v>
      </c>
      <c r="J701" s="5" t="n">
        <f>I701*(1+$N$2)</f>
        <v>0.375</v>
      </c>
      <c r="K701" s="5" t="n">
        <f>D701*J701</f>
        <v>1.125</v>
      </c>
      <c r="L701" s="5"/>
      <c r="M701" s="5"/>
      <c r="N701" s="5"/>
      <c r="O701" s="5"/>
    </row>
    <row r="702">
      <c r="A702" s="1"/>
      <c r="B702" s="1" t="str">
        <v>Ligne fictive 0359</v>
      </c>
      <c r="C702" s="1" t="str">
        <v>ml</v>
      </c>
      <c r="D702" s="5" t="n">
        <v>4</v>
      </c>
      <c r="E702" s="5" t="n">
        <f>G702*$L$2+J702*$M$2*$O$2</f>
        <v>29.224</v>
      </c>
      <c r="F702" s="5" t="n">
        <f>ROUND(D702*E702,2)</f>
        <v>116.9</v>
      </c>
      <c r="G702" s="5" t="n">
        <v>2.48</v>
      </c>
      <c r="H702" s="5" t="n">
        <f>D702*G702</f>
        <v>9.92</v>
      </c>
      <c r="I702" s="5" t="n">
        <v>0.5</v>
      </c>
      <c r="J702" s="5" t="n">
        <f>I702*(1+$N$2)</f>
        <v>0.5</v>
      </c>
      <c r="K702" s="5" t="n">
        <f>D702*J702</f>
        <v>2</v>
      </c>
      <c r="L702" s="5"/>
      <c r="M702" s="5"/>
      <c r="N702" s="5"/>
      <c r="O702" s="5"/>
    </row>
    <row r="703">
      <c r="A703" s="1"/>
      <c r="B703" s="1" t="str">
        <v>Ligne fictive 0360</v>
      </c>
      <c r="C703" s="1" t="str">
        <v>m2</v>
      </c>
      <c r="D703" s="5" t="n">
        <v>5</v>
      </c>
      <c r="E703" s="5" t="n">
        <f>G703*$L$2+J703*$M$2*$O$2</f>
        <v>36.205</v>
      </c>
      <c r="F703" s="5" t="n">
        <f>ROUND(D703*E703,2)</f>
        <v>181.02</v>
      </c>
      <c r="G703" s="5" t="n">
        <v>2.85</v>
      </c>
      <c r="H703" s="5" t="n">
        <f>D703*G703</f>
        <v>14.25</v>
      </c>
      <c r="I703" s="5" t="n">
        <v>0.625</v>
      </c>
      <c r="J703" s="5" t="n">
        <f>I703*(1+$N$2)</f>
        <v>0.625</v>
      </c>
      <c r="K703" s="5" t="n">
        <f>D703*J703</f>
        <v>3.125</v>
      </c>
      <c r="L703" s="5"/>
      <c r="M703" s="5"/>
      <c r="N703" s="5"/>
      <c r="O703" s="5"/>
    </row>
    <row r="704">
      <c r="A704" s="1"/>
      <c r="B704" s="1" t="str">
        <v>Statut fictif 045</v>
      </c>
      <c r="C704" s="1" t="str">
        <v>HL</v>
      </c>
      <c r="D704" s="5" t="n">
        <v>3</v>
      </c>
      <c r="E704" s="5" t="n">
        <v>0</v>
      </c>
      <c r="F704" s="5" t="n">
        <v>0</v>
      </c>
      <c r="G704" s="5" t="n">
        <v>7.25</v>
      </c>
      <c r="H704" s="5" t="n">
        <v>0</v>
      </c>
      <c r="I704" s="5" t="n">
        <v>0.375</v>
      </c>
      <c r="J704" s="5" t="n">
        <v>0</v>
      </c>
      <c r="K704" s="5" t="n">
        <v>0</v>
      </c>
      <c r="L704" s="5"/>
      <c r="M704" s="5"/>
      <c r="N704" s="5"/>
      <c r="O704" s="5"/>
    </row>
    <row r="705">
      <c r="A705" s="1"/>
      <c r="B705" s="1" t="str">
        <v>Sous-total fictif 127</v>
      </c>
      <c r="C705" s="1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>
      <c r="A706" s="1"/>
      <c r="B706" s="6" t="str">
        <v>Section fictive 128</v>
      </c>
      <c r="C706" s="1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>
      <c r="A707" s="1"/>
      <c r="B707" s="1" t="str">
        <v>Ligne fictive 0361</v>
      </c>
      <c r="C707" s="1" t="str">
        <v>u</v>
      </c>
      <c r="D707" s="5" t="n">
        <v>1</v>
      </c>
      <c r="E707" s="5" t="n">
        <f>G707*$L$2+J707*$M$2*$O$2</f>
        <v>10.686</v>
      </c>
      <c r="F707" s="5" t="n">
        <f>ROUND(D707*E707,2)</f>
        <v>10.69</v>
      </c>
      <c r="G707" s="5" t="n">
        <v>3.22</v>
      </c>
      <c r="H707" s="5" t="n">
        <f>D707*G707</f>
        <v>3.22</v>
      </c>
      <c r="I707" s="5" t="n">
        <v>0.125</v>
      </c>
      <c r="J707" s="5" t="n">
        <f>I707*(1+$N$2)</f>
        <v>0.125</v>
      </c>
      <c r="K707" s="5" t="n">
        <f>D707*J707</f>
        <v>0.125</v>
      </c>
      <c r="L707" s="5"/>
      <c r="M707" s="5"/>
      <c r="N707" s="5"/>
      <c r="O707" s="5"/>
    </row>
    <row r="708">
      <c r="A708" s="1"/>
      <c r="B708" s="1" t="str">
        <v>Ligne fictive 0362</v>
      </c>
      <c r="C708" s="1" t="str">
        <v>ml</v>
      </c>
      <c r="D708" s="5" t="n">
        <v>2</v>
      </c>
      <c r="E708" s="5" t="n">
        <f>G708*$L$2+J708*$M$2*$O$2</f>
        <v>17.667</v>
      </c>
      <c r="F708" s="5" t="n">
        <f>ROUND(D708*E708,2)</f>
        <v>35.33</v>
      </c>
      <c r="G708" s="5" t="n">
        <v>3.59</v>
      </c>
      <c r="H708" s="5" t="n">
        <f>D708*G708</f>
        <v>7.18</v>
      </c>
      <c r="I708" s="5" t="n">
        <v>0.25</v>
      </c>
      <c r="J708" s="5" t="n">
        <f>I708*(1+$N$2)</f>
        <v>0.25</v>
      </c>
      <c r="K708" s="5" t="n">
        <f>D708*J708</f>
        <v>0.5</v>
      </c>
      <c r="L708" s="5"/>
      <c r="M708" s="5"/>
      <c r="N708" s="5"/>
      <c r="O708" s="5"/>
    </row>
    <row r="709">
      <c r="A709" s="1"/>
      <c r="B709" s="1" t="str">
        <v>Ligne fictive 0363</v>
      </c>
      <c r="C709" s="1" t="str">
        <v>m2</v>
      </c>
      <c r="D709" s="5" t="n">
        <v>3</v>
      </c>
      <c r="E709" s="5" t="n">
        <f>G709*$L$2+J709*$M$2*$O$2</f>
        <v>24.648</v>
      </c>
      <c r="F709" s="5" t="n">
        <f>ROUND(D709*E709,2)</f>
        <v>73.94</v>
      </c>
      <c r="G709" s="5" t="n">
        <v>3.96</v>
      </c>
      <c r="H709" s="5" t="n">
        <f>D709*G709</f>
        <v>11.879999999999999</v>
      </c>
      <c r="I709" s="5" t="n">
        <v>0.375</v>
      </c>
      <c r="J709" s="5" t="n">
        <f>I709*(1+$N$2)</f>
        <v>0.375</v>
      </c>
      <c r="K709" s="5" t="n">
        <f>D709*J709</f>
        <v>1.125</v>
      </c>
      <c r="L709" s="5"/>
      <c r="M709" s="5"/>
      <c r="N709" s="5"/>
      <c r="O709" s="5"/>
    </row>
    <row r="710">
      <c r="A710" s="1"/>
      <c r="B710" s="1" t="str">
        <v>Sous-total fictif 128</v>
      </c>
      <c r="C710" s="1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>
      <c r="A711" s="1"/>
      <c r="B711" s="6" t="str">
        <v>Section fictive 129</v>
      </c>
      <c r="C711" s="1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>
      <c r="A712" s="1"/>
      <c r="B712" s="1" t="str">
        <v>Ligne fictive 0364</v>
      </c>
      <c r="C712" s="1" t="str">
        <v>u</v>
      </c>
      <c r="D712" s="5" t="n">
        <v>4</v>
      </c>
      <c r="E712" s="5" t="n">
        <f>G712*$L$2+J712*$M$2*$O$2</f>
        <v>31.629</v>
      </c>
      <c r="F712" s="5" t="n">
        <f>ROUND(D712*E712,2)</f>
        <v>126.52</v>
      </c>
      <c r="G712" s="5" t="n">
        <v>4.33</v>
      </c>
      <c r="H712" s="5" t="n">
        <f>D712*G712</f>
        <v>17.32</v>
      </c>
      <c r="I712" s="5" t="n">
        <v>0.5</v>
      </c>
      <c r="J712" s="5" t="n">
        <f>I712*(1+$N$2)</f>
        <v>0.5</v>
      </c>
      <c r="K712" s="5" t="n">
        <f>D712*J712</f>
        <v>2</v>
      </c>
      <c r="L712" s="5"/>
      <c r="M712" s="5"/>
      <c r="N712" s="5"/>
      <c r="O712" s="5"/>
    </row>
    <row r="713">
      <c r="A713" s="1"/>
      <c r="B713" s="1" t="str">
        <v>Ligne fictive 0365</v>
      </c>
      <c r="C713" s="1" t="str">
        <v>ml</v>
      </c>
      <c r="D713" s="5" t="n">
        <v>5</v>
      </c>
      <c r="E713" s="5" t="n">
        <f>G713*$L$2+J713*$M$2*$O$2</f>
        <v>38.61</v>
      </c>
      <c r="F713" s="5" t="n">
        <f>ROUND(D713*E713,2)</f>
        <v>193.05</v>
      </c>
      <c r="G713" s="5" t="n">
        <v>4.7</v>
      </c>
      <c r="H713" s="5" t="n">
        <f>D713*G713</f>
        <v>23.5</v>
      </c>
      <c r="I713" s="5" t="n">
        <v>0.625</v>
      </c>
      <c r="J713" s="5" t="n">
        <f>I713*(1+$N$2)</f>
        <v>0.625</v>
      </c>
      <c r="K713" s="5" t="n">
        <f>D713*J713</f>
        <v>3.125</v>
      </c>
      <c r="L713" s="5"/>
      <c r="M713" s="5"/>
      <c r="N713" s="5"/>
      <c r="O713" s="5"/>
    </row>
    <row r="714">
      <c r="A714" s="1"/>
      <c r="B714" s="1" t="str">
        <v>Ligne fictive 0366</v>
      </c>
      <c r="C714" s="1" t="str">
        <v>m2</v>
      </c>
      <c r="D714" s="5" t="n">
        <v>1</v>
      </c>
      <c r="E714" s="5" t="n">
        <f>G714*$L$2+J714*$M$2*$O$2</f>
        <v>13.091000000000001</v>
      </c>
      <c r="F714" s="5" t="n">
        <f>ROUND(D714*E714,2)</f>
        <v>13.09</v>
      </c>
      <c r="G714" s="5" t="n">
        <v>5.07</v>
      </c>
      <c r="H714" s="5" t="n">
        <f>D714*G714</f>
        <v>5.07</v>
      </c>
      <c r="I714" s="5" t="n">
        <v>0.125</v>
      </c>
      <c r="J714" s="5" t="n">
        <f>I714*(1+$N$2)</f>
        <v>0.125</v>
      </c>
      <c r="K714" s="5" t="n">
        <f>D714*J714</f>
        <v>0.125</v>
      </c>
      <c r="L714" s="5"/>
      <c r="M714" s="5"/>
      <c r="N714" s="5"/>
      <c r="O714" s="5"/>
    </row>
    <row r="715">
      <c r="A715" s="1"/>
      <c r="B715" s="1" t="str">
        <v>Réserve fictive 0045</v>
      </c>
      <c r="C715" s="1" t="str">
        <v>u</v>
      </c>
      <c r="D715" s="5"/>
      <c r="E715" s="5" t="n">
        <v>0</v>
      </c>
      <c r="F715" s="5" t="n">
        <v>0</v>
      </c>
      <c r="G715" s="5" t="n">
        <v>0</v>
      </c>
      <c r="H715" s="5" t="n">
        <v>0</v>
      </c>
      <c r="I715" s="5" t="n">
        <v>0</v>
      </c>
      <c r="J715" s="5" t="n">
        <v>0</v>
      </c>
      <c r="K715" s="5" t="n">
        <v>0</v>
      </c>
      <c r="L715" s="5"/>
      <c r="M715" s="5"/>
      <c r="N715" s="5"/>
      <c r="O715" s="5"/>
    </row>
    <row r="716">
      <c r="A716" s="1"/>
      <c r="B716" s="1" t="str">
        <v>Sous-total fictif 129</v>
      </c>
      <c r="C716" s="1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>
      <c r="A717" s="1"/>
      <c r="B717" s="6" t="str">
        <v>Section fictive 130</v>
      </c>
      <c r="C717" s="1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>
      <c r="A718" s="1"/>
      <c r="B718" s="1" t="str">
        <v>Ligne fictive 0367</v>
      </c>
      <c r="C718" s="1" t="str">
        <v>u</v>
      </c>
      <c r="D718" s="5" t="n">
        <v>2</v>
      </c>
      <c r="E718" s="5" t="n">
        <f>G718*$L$2+J718*$M$2*$O$2</f>
        <v>20.072000000000003</v>
      </c>
      <c r="F718" s="5" t="n">
        <f>ROUND(D718*E718,2)</f>
        <v>40.14</v>
      </c>
      <c r="G718" s="5" t="n">
        <v>5.44</v>
      </c>
      <c r="H718" s="5" t="n">
        <f>D718*G718</f>
        <v>10.88</v>
      </c>
      <c r="I718" s="5" t="n">
        <v>0.25</v>
      </c>
      <c r="J718" s="5" t="n">
        <f>I718*(1+$N$2)</f>
        <v>0.25</v>
      </c>
      <c r="K718" s="5" t="n">
        <f>D718*J718</f>
        <v>0.5</v>
      </c>
      <c r="L718" s="5"/>
      <c r="M718" s="5"/>
      <c r="N718" s="5"/>
      <c r="O718" s="5"/>
    </row>
    <row r="719">
      <c r="A719" s="1"/>
      <c r="B719" s="1" t="str">
        <v>Ligne fictive 0368</v>
      </c>
      <c r="C719" s="1" t="str">
        <v>ml</v>
      </c>
      <c r="D719" s="5" t="n">
        <v>3</v>
      </c>
      <c r="E719" s="5" t="n">
        <f>G719*$L$2+J719*$M$2*$O$2</f>
        <v>27.053</v>
      </c>
      <c r="F719" s="5" t="n">
        <f>ROUND(D719*E719,2)</f>
        <v>81.16</v>
      </c>
      <c r="G719" s="5" t="n">
        <v>5.81</v>
      </c>
      <c r="H719" s="5" t="n">
        <f>D719*G719</f>
        <v>17.43</v>
      </c>
      <c r="I719" s="5" t="n">
        <v>0.375</v>
      </c>
      <c r="J719" s="5" t="n">
        <f>I719*(1+$N$2)</f>
        <v>0.375</v>
      </c>
      <c r="K719" s="5" t="n">
        <f>D719*J719</f>
        <v>1.125</v>
      </c>
      <c r="L719" s="5"/>
      <c r="M719" s="5"/>
      <c r="N719" s="5"/>
      <c r="O719" s="5"/>
    </row>
    <row r="720">
      <c r="A720" s="1"/>
      <c r="B720" s="1" t="str">
        <v>Ligne fictive 0369</v>
      </c>
      <c r="C720" s="1" t="str">
        <v>m2</v>
      </c>
      <c r="D720" s="5" t="n">
        <v>4</v>
      </c>
      <c r="E720" s="5" t="n">
        <f>G720*$L$2+J720*$M$2*$O$2</f>
        <v>34.034</v>
      </c>
      <c r="F720" s="5" t="n">
        <f>ROUND(D720*E720,2)</f>
        <v>136.14</v>
      </c>
      <c r="G720" s="5" t="n">
        <v>6.18</v>
      </c>
      <c r="H720" s="5" t="n">
        <f>D720*G720</f>
        <v>24.72</v>
      </c>
      <c r="I720" s="5" t="n">
        <v>0.5</v>
      </c>
      <c r="J720" s="5" t="n">
        <f>I720*(1+$N$2)</f>
        <v>0.5</v>
      </c>
      <c r="K720" s="5" t="n">
        <f>D720*J720</f>
        <v>2</v>
      </c>
      <c r="L720" s="5"/>
      <c r="M720" s="5"/>
      <c r="N720" s="5"/>
      <c r="O720" s="5"/>
    </row>
    <row r="721">
      <c r="A721" s="1"/>
      <c r="B721" s="1" t="str">
        <v>Statut fictif 046</v>
      </c>
      <c r="C721" s="1" t="str">
        <v>HL</v>
      </c>
      <c r="D721" s="5" t="n">
        <v>1</v>
      </c>
      <c r="E721" s="5" t="n">
        <v>0</v>
      </c>
      <c r="F721" s="5" t="n">
        <v>0</v>
      </c>
      <c r="G721" s="5" t="n">
        <v>7.25</v>
      </c>
      <c r="H721" s="5" t="n">
        <v>0</v>
      </c>
      <c r="I721" s="5" t="n">
        <v>0.375</v>
      </c>
      <c r="J721" s="5" t="n">
        <v>0</v>
      </c>
      <c r="K721" s="5" t="n">
        <v>0</v>
      </c>
      <c r="L721" s="5"/>
      <c r="M721" s="5"/>
      <c r="N721" s="5"/>
      <c r="O721" s="5"/>
    </row>
    <row r="722">
      <c r="A722" s="1"/>
      <c r="B722" s="1" t="str">
        <v>Sous-total fictif 130</v>
      </c>
      <c r="C722" s="1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>
      <c r="A723" s="1"/>
      <c r="B723" s="6" t="str">
        <v>Section fictive 131</v>
      </c>
      <c r="C723" s="1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>
      <c r="A724" s="1"/>
      <c r="B724" s="1" t="str">
        <v>Ligne fictive 0370</v>
      </c>
      <c r="C724" s="1" t="str">
        <v>u</v>
      </c>
      <c r="D724" s="5" t="n">
        <v>5</v>
      </c>
      <c r="E724" s="5" t="n">
        <f>G724*$L$2+J724*$M$2*$O$2</f>
        <v>41.015</v>
      </c>
      <c r="F724" s="5" t="n">
        <f>ROUND(D724*E724,2)</f>
        <v>205.08</v>
      </c>
      <c r="G724" s="5" t="n">
        <v>6.55</v>
      </c>
      <c r="H724" s="5" t="n">
        <f>D724*G724</f>
        <v>32.75</v>
      </c>
      <c r="I724" s="5" t="n">
        <v>0.625</v>
      </c>
      <c r="J724" s="5" t="n">
        <f>I724*(1+$N$2)</f>
        <v>0.625</v>
      </c>
      <c r="K724" s="5" t="n">
        <f>D724*J724</f>
        <v>3.125</v>
      </c>
      <c r="L724" s="5"/>
      <c r="M724" s="5"/>
      <c r="N724" s="5"/>
      <c r="O724" s="5"/>
    </row>
    <row r="725">
      <c r="A725" s="1"/>
      <c r="B725" s="1" t="str">
        <v>Ligne fictive 0371</v>
      </c>
      <c r="C725" s="1" t="str">
        <v>ml</v>
      </c>
      <c r="D725" s="5" t="n">
        <v>1</v>
      </c>
      <c r="E725" s="5" t="n">
        <f>G725*$L$2+J725*$M$2*$O$2</f>
        <v>15.496</v>
      </c>
      <c r="F725" s="5" t="n">
        <f>ROUND(D725*E725,2)</f>
        <v>15.5</v>
      </c>
      <c r="G725" s="5" t="n">
        <v>6.92</v>
      </c>
      <c r="H725" s="5" t="n">
        <f>D725*G725</f>
        <v>6.92</v>
      </c>
      <c r="I725" s="5" t="n">
        <v>0.125</v>
      </c>
      <c r="J725" s="5" t="n">
        <f>I725*(1+$N$2)</f>
        <v>0.125</v>
      </c>
      <c r="K725" s="5" t="n">
        <f>D725*J725</f>
        <v>0.125</v>
      </c>
      <c r="L725" s="5"/>
      <c r="M725" s="5"/>
      <c r="N725" s="5"/>
      <c r="O725" s="5"/>
    </row>
    <row r="726">
      <c r="A726" s="1"/>
      <c r="B726" s="1" t="str">
        <v>Ligne fictive 0372</v>
      </c>
      <c r="C726" s="1" t="str">
        <v>m2</v>
      </c>
      <c r="D726" s="5" t="n">
        <v>2</v>
      </c>
      <c r="E726" s="5" t="n">
        <f>G726*$L$2+J726*$M$2*$O$2</f>
        <v>22.477</v>
      </c>
      <c r="F726" s="5" t="n">
        <f>ROUND(D726*E726,2)</f>
        <v>44.95</v>
      </c>
      <c r="G726" s="5" t="n">
        <v>7.29</v>
      </c>
      <c r="H726" s="5" t="n">
        <f>D726*G726</f>
        <v>14.58</v>
      </c>
      <c r="I726" s="5" t="n">
        <v>0.25</v>
      </c>
      <c r="J726" s="5" t="n">
        <f>I726*(1+$N$2)</f>
        <v>0.25</v>
      </c>
      <c r="K726" s="5" t="n">
        <f>D726*J726</f>
        <v>0.5</v>
      </c>
      <c r="L726" s="5"/>
      <c r="M726" s="5"/>
      <c r="N726" s="5"/>
      <c r="O726" s="5"/>
    </row>
    <row r="727">
      <c r="A727" s="1"/>
      <c r="B727" s="1" t="str">
        <v>Sous-total fictif 131</v>
      </c>
      <c r="C727" s="1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>
      <c r="A728" s="1"/>
      <c r="B728" s="6" t="str">
        <v>Section fictive 132</v>
      </c>
      <c r="C728" s="1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>
      <c r="A729" s="1"/>
      <c r="B729" s="1" t="str">
        <v>Ligne fictive 0373</v>
      </c>
      <c r="C729" s="1" t="str">
        <v>u</v>
      </c>
      <c r="D729" s="5" t="n">
        <v>3</v>
      </c>
      <c r="E729" s="5" t="n">
        <f>G729*$L$2+J729*$M$2*$O$2</f>
        <v>29.458</v>
      </c>
      <c r="F729" s="5" t="n">
        <f>ROUND(D729*E729,2)</f>
        <v>88.37</v>
      </c>
      <c r="G729" s="5" t="n">
        <v>7.66</v>
      </c>
      <c r="H729" s="5" t="n">
        <f>D729*G729</f>
        <v>22.98</v>
      </c>
      <c r="I729" s="5" t="n">
        <v>0.375</v>
      </c>
      <c r="J729" s="5" t="n">
        <f>I729*(1+$N$2)</f>
        <v>0.375</v>
      </c>
      <c r="K729" s="5" t="n">
        <f>D729*J729</f>
        <v>1.125</v>
      </c>
      <c r="L729" s="5"/>
      <c r="M729" s="5"/>
      <c r="N729" s="5"/>
      <c r="O729" s="5"/>
    </row>
    <row r="730">
      <c r="A730" s="1"/>
      <c r="B730" s="1" t="str">
        <v>Ligne fictive 0374</v>
      </c>
      <c r="C730" s="1" t="str">
        <v>ml</v>
      </c>
      <c r="D730" s="5" t="n">
        <v>4</v>
      </c>
      <c r="E730" s="5" t="n">
        <f>G730*$L$2+J730*$M$2*$O$2</f>
        <v>36.439</v>
      </c>
      <c r="F730" s="5" t="n">
        <f>ROUND(D730*E730,2)</f>
        <v>145.76</v>
      </c>
      <c r="G730" s="5" t="n">
        <v>8.03</v>
      </c>
      <c r="H730" s="5" t="n">
        <f>D730*G730</f>
        <v>32.12</v>
      </c>
      <c r="I730" s="5" t="n">
        <v>0.5</v>
      </c>
      <c r="J730" s="5" t="n">
        <f>I730*(1+$N$2)</f>
        <v>0.5</v>
      </c>
      <c r="K730" s="5" t="n">
        <f>D730*J730</f>
        <v>2</v>
      </c>
      <c r="L730" s="5"/>
      <c r="M730" s="5"/>
      <c r="N730" s="5"/>
      <c r="O730" s="5"/>
    </row>
    <row r="731">
      <c r="A731" s="1"/>
      <c r="B731" s="1" t="str">
        <v>Réserve fictive 0046</v>
      </c>
      <c r="C731" s="1" t="str">
        <v>u</v>
      </c>
      <c r="D731" s="5"/>
      <c r="E731" s="5" t="n">
        <v>0</v>
      </c>
      <c r="F731" s="5" t="n">
        <v>0</v>
      </c>
      <c r="G731" s="5" t="n">
        <v>0</v>
      </c>
      <c r="H731" s="5" t="n">
        <v>0</v>
      </c>
      <c r="I731" s="5" t="n">
        <v>0</v>
      </c>
      <c r="J731" s="5" t="n">
        <v>0</v>
      </c>
      <c r="K731" s="5" t="n">
        <v>0</v>
      </c>
      <c r="L731" s="5"/>
      <c r="M731" s="5"/>
      <c r="N731" s="5"/>
      <c r="O731" s="5"/>
    </row>
    <row r="732">
      <c r="A732" s="1"/>
      <c r="B732" s="1" t="str">
        <v>Sous-total fictif 132</v>
      </c>
      <c r="C732" s="1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>
      <c r="A733" s="1"/>
      <c r="B733" s="6" t="str">
        <v>Section fictive 133</v>
      </c>
      <c r="C733" s="1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>
      <c r="A734" s="1"/>
      <c r="B734" s="1" t="str">
        <v>Ligne fictive 0375</v>
      </c>
      <c r="C734" s="1" t="str">
        <v>m2</v>
      </c>
      <c r="D734" s="5" t="n">
        <v>5</v>
      </c>
      <c r="E734" s="5" t="n">
        <f>G734*$L$2+J734*$M$2*$O$2</f>
        <v>35.243</v>
      </c>
      <c r="F734" s="5" t="n">
        <f>ROUND(D734*E734,2)</f>
        <v>176.22</v>
      </c>
      <c r="G734" s="5" t="n">
        <v>2.11</v>
      </c>
      <c r="H734" s="5" t="n">
        <f>D734*G734</f>
        <v>10.549999999999999</v>
      </c>
      <c r="I734" s="5" t="n">
        <v>0.625</v>
      </c>
      <c r="J734" s="5" t="n">
        <f>I734*(1+$N$2)</f>
        <v>0.625</v>
      </c>
      <c r="K734" s="5" t="n">
        <f>D734*J734</f>
        <v>3.125</v>
      </c>
      <c r="L734" s="5"/>
      <c r="M734" s="5"/>
      <c r="N734" s="5"/>
      <c r="O734" s="5"/>
    </row>
    <row r="735">
      <c r="A735" s="1"/>
      <c r="B735" s="1" t="str">
        <v>Ligne fictive 0376</v>
      </c>
      <c r="C735" s="1" t="str">
        <v>u</v>
      </c>
      <c r="D735" s="5" t="n">
        <v>1</v>
      </c>
      <c r="E735" s="5" t="n">
        <f>G735*$L$2+J735*$M$2*$O$2</f>
        <v>9.724</v>
      </c>
      <c r="F735" s="5" t="n">
        <f>ROUND(D735*E735,2)</f>
        <v>9.72</v>
      </c>
      <c r="G735" s="5" t="n">
        <v>2.48</v>
      </c>
      <c r="H735" s="5" t="n">
        <f>D735*G735</f>
        <v>2.48</v>
      </c>
      <c r="I735" s="5" t="n">
        <v>0.125</v>
      </c>
      <c r="J735" s="5" t="n">
        <f>I735*(1+$N$2)</f>
        <v>0.125</v>
      </c>
      <c r="K735" s="5" t="n">
        <f>D735*J735</f>
        <v>0.125</v>
      </c>
      <c r="L735" s="5"/>
      <c r="M735" s="5"/>
      <c r="N735" s="5"/>
      <c r="O735" s="5"/>
    </row>
    <row r="736">
      <c r="A736" s="1"/>
      <c r="B736" s="1" t="str">
        <v>Ligne fictive 0377</v>
      </c>
      <c r="C736" s="1" t="str">
        <v>ml</v>
      </c>
      <c r="D736" s="5" t="n">
        <v>2</v>
      </c>
      <c r="E736" s="5" t="n">
        <f>G736*$L$2+J736*$M$2*$O$2</f>
        <v>16.705</v>
      </c>
      <c r="F736" s="5" t="n">
        <f>ROUND(D736*E736,2)</f>
        <v>33.41</v>
      </c>
      <c r="G736" s="5" t="n">
        <v>2.85</v>
      </c>
      <c r="H736" s="5" t="n">
        <f>D736*G736</f>
        <v>5.7</v>
      </c>
      <c r="I736" s="5" t="n">
        <v>0.25</v>
      </c>
      <c r="J736" s="5" t="n">
        <f>I736*(1+$N$2)</f>
        <v>0.25</v>
      </c>
      <c r="K736" s="5" t="n">
        <f>D736*J736</f>
        <v>0.5</v>
      </c>
      <c r="L736" s="5"/>
      <c r="M736" s="5"/>
      <c r="N736" s="5"/>
      <c r="O736" s="5"/>
    </row>
    <row r="737">
      <c r="A737" s="1"/>
      <c r="B737" s="1" t="str">
        <v>Statut fictif 047</v>
      </c>
      <c r="C737" s="1" t="str">
        <v>HL</v>
      </c>
      <c r="D737" s="5" t="n">
        <v>2</v>
      </c>
      <c r="E737" s="5" t="n">
        <v>0</v>
      </c>
      <c r="F737" s="5" t="n">
        <v>0</v>
      </c>
      <c r="G737" s="5" t="n">
        <v>7.25</v>
      </c>
      <c r="H737" s="5" t="n">
        <v>0</v>
      </c>
      <c r="I737" s="5" t="n">
        <v>0.375</v>
      </c>
      <c r="J737" s="5" t="n">
        <v>0</v>
      </c>
      <c r="K737" s="5" t="n">
        <v>0</v>
      </c>
      <c r="L737" s="5"/>
      <c r="M737" s="5"/>
      <c r="N737" s="5"/>
      <c r="O737" s="5"/>
    </row>
    <row r="738">
      <c r="A738" s="1"/>
      <c r="B738" s="1" t="str">
        <v>Sous-total fictif 133</v>
      </c>
      <c r="C738" s="1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>
      <c r="A739" s="1"/>
      <c r="B739" s="6" t="str">
        <v>Section fictive 134</v>
      </c>
      <c r="C739" s="1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>
      <c r="A740" s="1"/>
      <c r="B740" s="1" t="str">
        <v>Ligne fictive 0378</v>
      </c>
      <c r="C740" s="1" t="str">
        <v>m2</v>
      </c>
      <c r="D740" s="5" t="n">
        <v>3</v>
      </c>
      <c r="E740" s="5" t="n">
        <f>G740*$L$2+J740*$M$2*$O$2</f>
        <v>23.686</v>
      </c>
      <c r="F740" s="5" t="n">
        <f>ROUND(D740*E740,2)</f>
        <v>71.06</v>
      </c>
      <c r="G740" s="5" t="n">
        <v>3.22</v>
      </c>
      <c r="H740" s="5" t="n">
        <f>D740*G740</f>
        <v>9.66</v>
      </c>
      <c r="I740" s="5" t="n">
        <v>0.375</v>
      </c>
      <c r="J740" s="5" t="n">
        <f>I740*(1+$N$2)</f>
        <v>0.375</v>
      </c>
      <c r="K740" s="5" t="n">
        <f>D740*J740</f>
        <v>1.125</v>
      </c>
      <c r="L740" s="5"/>
      <c r="M740" s="5"/>
      <c r="N740" s="5"/>
      <c r="O740" s="5"/>
    </row>
    <row r="741">
      <c r="A741" s="1"/>
      <c r="B741" s="1" t="str">
        <v>Ligne fictive 0379</v>
      </c>
      <c r="C741" s="1" t="str">
        <v>u</v>
      </c>
      <c r="D741" s="5" t="n">
        <v>4</v>
      </c>
      <c r="E741" s="5" t="n">
        <f>G741*$L$2+J741*$M$2*$O$2</f>
        <v>30.667</v>
      </c>
      <c r="F741" s="5" t="n">
        <f>ROUND(D741*E741,2)</f>
        <v>122.67</v>
      </c>
      <c r="G741" s="5" t="n">
        <v>3.59</v>
      </c>
      <c r="H741" s="5" t="n">
        <f>D741*G741</f>
        <v>14.36</v>
      </c>
      <c r="I741" s="5" t="n">
        <v>0.5</v>
      </c>
      <c r="J741" s="5" t="n">
        <f>I741*(1+$N$2)</f>
        <v>0.5</v>
      </c>
      <c r="K741" s="5" t="n">
        <f>D741*J741</f>
        <v>2</v>
      </c>
      <c r="L741" s="5"/>
      <c r="M741" s="5"/>
      <c r="N741" s="5"/>
      <c r="O741" s="5"/>
    </row>
    <row r="742">
      <c r="A742" s="1"/>
      <c r="B742" s="1" t="str">
        <v>Ligne fictive 0380</v>
      </c>
      <c r="C742" s="1" t="str">
        <v>ml</v>
      </c>
      <c r="D742" s="5" t="n">
        <v>5</v>
      </c>
      <c r="E742" s="5" t="n">
        <f>G742*$L$2+J742*$M$2*$O$2</f>
        <v>37.647999999999996</v>
      </c>
      <c r="F742" s="5" t="n">
        <f>ROUND(D742*E742,2)</f>
        <v>188.24</v>
      </c>
      <c r="G742" s="5" t="n">
        <v>3.96</v>
      </c>
      <c r="H742" s="5" t="n">
        <f>D742*G742</f>
        <v>19.8</v>
      </c>
      <c r="I742" s="5" t="n">
        <v>0.625</v>
      </c>
      <c r="J742" s="5" t="n">
        <f>I742*(1+$N$2)</f>
        <v>0.625</v>
      </c>
      <c r="K742" s="5" t="n">
        <f>D742*J742</f>
        <v>3.125</v>
      </c>
      <c r="L742" s="5"/>
      <c r="M742" s="5"/>
      <c r="N742" s="5"/>
      <c r="O742" s="5"/>
    </row>
    <row r="743">
      <c r="A743" s="1"/>
      <c r="B743" s="1" t="str">
        <v>Sous-total fictif 134</v>
      </c>
      <c r="C743" s="1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>
      <c r="A744" s="1"/>
      <c r="B744" s="6" t="str">
        <v>Section fictive 135</v>
      </c>
      <c r="C744" s="1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>
      <c r="A745" s="1"/>
      <c r="B745" s="1" t="str">
        <v>Ligne fictive 0381</v>
      </c>
      <c r="C745" s="1" t="str">
        <v>m2</v>
      </c>
      <c r="D745" s="5" t="n">
        <v>1</v>
      </c>
      <c r="E745" s="5" t="n">
        <f>G745*$L$2+J745*$M$2*$O$2</f>
        <v>12.129000000000001</v>
      </c>
      <c r="F745" s="5" t="n">
        <f>ROUND(D745*E745,2)</f>
        <v>12.13</v>
      </c>
      <c r="G745" s="5" t="n">
        <v>4.33</v>
      </c>
      <c r="H745" s="5" t="n">
        <f>D745*G745</f>
        <v>4.33</v>
      </c>
      <c r="I745" s="5" t="n">
        <v>0.125</v>
      </c>
      <c r="J745" s="5" t="n">
        <f>I745*(1+$N$2)</f>
        <v>0.125</v>
      </c>
      <c r="K745" s="5" t="n">
        <f>D745*J745</f>
        <v>0.125</v>
      </c>
      <c r="L745" s="5"/>
      <c r="M745" s="5"/>
      <c r="N745" s="5"/>
      <c r="O745" s="5"/>
    </row>
    <row r="746">
      <c r="A746" s="1"/>
      <c r="B746" s="1" t="str">
        <v>Ligne fictive 0382</v>
      </c>
      <c r="C746" s="1" t="str">
        <v>u</v>
      </c>
      <c r="D746" s="5" t="n">
        <v>2</v>
      </c>
      <c r="E746" s="5" t="n">
        <f>G746*$L$2+J746*$M$2*$O$2</f>
        <v>19.11</v>
      </c>
      <c r="F746" s="5" t="n">
        <f>ROUND(D746*E746,2)</f>
        <v>38.22</v>
      </c>
      <c r="G746" s="5" t="n">
        <v>4.7</v>
      </c>
      <c r="H746" s="5" t="n">
        <f>D746*G746</f>
        <v>9.4</v>
      </c>
      <c r="I746" s="5" t="n">
        <v>0.25</v>
      </c>
      <c r="J746" s="5" t="n">
        <f>I746*(1+$N$2)</f>
        <v>0.25</v>
      </c>
      <c r="K746" s="5" t="n">
        <f>D746*J746</f>
        <v>0.5</v>
      </c>
      <c r="L746" s="5"/>
      <c r="M746" s="5"/>
      <c r="N746" s="5"/>
      <c r="O746" s="5"/>
    </row>
    <row r="747">
      <c r="A747" s="1"/>
      <c r="B747" s="1" t="str">
        <v>Ligne fictive 0383</v>
      </c>
      <c r="C747" s="1" t="str">
        <v>ml</v>
      </c>
      <c r="D747" s="5" t="n">
        <v>3</v>
      </c>
      <c r="E747" s="5" t="n">
        <f>G747*$L$2+J747*$M$2*$O$2</f>
        <v>26.091</v>
      </c>
      <c r="F747" s="5" t="n">
        <f>ROUND(D747*E747,2)</f>
        <v>78.27</v>
      </c>
      <c r="G747" s="5" t="n">
        <v>5.07</v>
      </c>
      <c r="H747" s="5" t="n">
        <f>D747*G747</f>
        <v>15.21</v>
      </c>
      <c r="I747" s="5" t="n">
        <v>0.375</v>
      </c>
      <c r="J747" s="5" t="n">
        <f>I747*(1+$N$2)</f>
        <v>0.375</v>
      </c>
      <c r="K747" s="5" t="n">
        <f>D747*J747</f>
        <v>1.125</v>
      </c>
      <c r="L747" s="5"/>
      <c r="M747" s="5"/>
      <c r="N747" s="5"/>
      <c r="O747" s="5"/>
    </row>
    <row r="748">
      <c r="A748" s="1"/>
      <c r="B748" s="1" t="str">
        <v>Réserve fictive 0047</v>
      </c>
      <c r="C748" s="1" t="str">
        <v>u</v>
      </c>
      <c r="D748" s="5"/>
      <c r="E748" s="5" t="n">
        <v>0</v>
      </c>
      <c r="F748" s="5" t="n">
        <v>0</v>
      </c>
      <c r="G748" s="5" t="n">
        <v>0</v>
      </c>
      <c r="H748" s="5" t="n">
        <v>0</v>
      </c>
      <c r="I748" s="5" t="n">
        <v>0</v>
      </c>
      <c r="J748" s="5" t="n">
        <v>0</v>
      </c>
      <c r="K748" s="5" t="n">
        <v>0</v>
      </c>
      <c r="L748" s="5"/>
      <c r="M748" s="5"/>
      <c r="N748" s="5"/>
      <c r="O748" s="5"/>
    </row>
    <row r="749">
      <c r="A749" s="1"/>
      <c r="B749" s="1" t="str">
        <v>Sous-total fictif 135</v>
      </c>
      <c r="C749" s="1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>
      <c r="A750" s="1"/>
      <c r="B750" s="6" t="str">
        <v>Section fictive 136</v>
      </c>
      <c r="C750" s="1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>
      <c r="A751" s="1"/>
      <c r="B751" s="1" t="str">
        <v>Ligne fictive 0384</v>
      </c>
      <c r="C751" s="1" t="str">
        <v>m2</v>
      </c>
      <c r="D751" s="5" t="n">
        <v>4</v>
      </c>
      <c r="E751" s="5" t="n">
        <f>G751*$L$2+J751*$M$2*$O$2</f>
        <v>33.072</v>
      </c>
      <c r="F751" s="5" t="n">
        <f>ROUND(D751*E751,2)</f>
        <v>132.29</v>
      </c>
      <c r="G751" s="5" t="n">
        <v>5.44</v>
      </c>
      <c r="H751" s="5" t="n">
        <f>D751*G751</f>
        <v>21.76</v>
      </c>
      <c r="I751" s="5" t="n">
        <v>0.5</v>
      </c>
      <c r="J751" s="5" t="n">
        <f>I751*(1+$N$2)</f>
        <v>0.5</v>
      </c>
      <c r="K751" s="5" t="n">
        <f>D751*J751</f>
        <v>2</v>
      </c>
      <c r="L751" s="5"/>
      <c r="M751" s="5"/>
      <c r="N751" s="5"/>
      <c r="O751" s="5"/>
    </row>
    <row r="752">
      <c r="A752" s="1"/>
      <c r="B752" s="1" t="str">
        <v>Ligne fictive 0385</v>
      </c>
      <c r="C752" s="1" t="str">
        <v>u</v>
      </c>
      <c r="D752" s="5" t="n">
        <v>5</v>
      </c>
      <c r="E752" s="5" t="n">
        <f>G752*$L$2+J752*$M$2*$O$2</f>
        <v>40.053</v>
      </c>
      <c r="F752" s="5" t="n">
        <f>ROUND(D752*E752,2)</f>
        <v>200.27</v>
      </c>
      <c r="G752" s="5" t="n">
        <v>5.81</v>
      </c>
      <c r="H752" s="5" t="n">
        <f>D752*G752</f>
        <v>29.049999999999997</v>
      </c>
      <c r="I752" s="5" t="n">
        <v>0.625</v>
      </c>
      <c r="J752" s="5" t="n">
        <f>I752*(1+$N$2)</f>
        <v>0.625</v>
      </c>
      <c r="K752" s="5" t="n">
        <f>D752*J752</f>
        <v>3.125</v>
      </c>
      <c r="L752" s="5"/>
      <c r="M752" s="5"/>
      <c r="N752" s="5"/>
      <c r="O752" s="5"/>
    </row>
    <row r="753">
      <c r="A753" s="1"/>
      <c r="B753" s="1" t="str">
        <v>Ligne fictive 0386</v>
      </c>
      <c r="C753" s="1" t="str">
        <v>ml</v>
      </c>
      <c r="D753" s="5" t="n">
        <v>1</v>
      </c>
      <c r="E753" s="5" t="n">
        <f>G753*$L$2+J753*$M$2*$O$2</f>
        <v>14.534</v>
      </c>
      <c r="F753" s="5" t="n">
        <f>ROUND(D753*E753,2)</f>
        <v>14.53</v>
      </c>
      <c r="G753" s="5" t="n">
        <v>6.18</v>
      </c>
      <c r="H753" s="5" t="n">
        <f>D753*G753</f>
        <v>6.18</v>
      </c>
      <c r="I753" s="5" t="n">
        <v>0.125</v>
      </c>
      <c r="J753" s="5" t="n">
        <f>I753*(1+$N$2)</f>
        <v>0.125</v>
      </c>
      <c r="K753" s="5" t="n">
        <f>D753*J753</f>
        <v>0.125</v>
      </c>
      <c r="L753" s="5"/>
      <c r="M753" s="5"/>
      <c r="N753" s="5"/>
      <c r="O753" s="5"/>
    </row>
    <row r="754">
      <c r="A754" s="1"/>
      <c r="B754" s="1" t="str">
        <v>Statut fictif 048</v>
      </c>
      <c r="C754" s="1" t="str">
        <v>HL</v>
      </c>
      <c r="D754" s="5" t="n">
        <v>3</v>
      </c>
      <c r="E754" s="5" t="n">
        <v>0</v>
      </c>
      <c r="F754" s="5" t="n">
        <v>0</v>
      </c>
      <c r="G754" s="5" t="n">
        <v>7.25</v>
      </c>
      <c r="H754" s="5" t="n">
        <v>0</v>
      </c>
      <c r="I754" s="5" t="n">
        <v>0.375</v>
      </c>
      <c r="J754" s="5" t="n">
        <v>0</v>
      </c>
      <c r="K754" s="5" t="n">
        <v>0</v>
      </c>
      <c r="L754" s="5"/>
      <c r="M754" s="5"/>
      <c r="N754" s="5"/>
      <c r="O754" s="5"/>
    </row>
    <row r="755">
      <c r="A755" s="1"/>
      <c r="B755" s="1" t="str">
        <v>Sous-total fictif 136</v>
      </c>
      <c r="C755" s="1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>
      <c r="A756" s="1"/>
      <c r="B756" s="6" t="str">
        <v>Section fictive 137</v>
      </c>
      <c r="C756" s="1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>
      <c r="A757" s="1"/>
      <c r="B757" s="1" t="str">
        <v>Ligne fictive 0387</v>
      </c>
      <c r="C757" s="1" t="str">
        <v>m2</v>
      </c>
      <c r="D757" s="5" t="n">
        <v>2</v>
      </c>
      <c r="E757" s="5" t="n">
        <f>G757*$L$2+J757*$M$2*$O$2</f>
        <v>21.515</v>
      </c>
      <c r="F757" s="5" t="n">
        <f>ROUND(D757*E757,2)</f>
        <v>43.03</v>
      </c>
      <c r="G757" s="5" t="n">
        <v>6.55</v>
      </c>
      <c r="H757" s="5" t="n">
        <f>D757*G757</f>
        <v>13.1</v>
      </c>
      <c r="I757" s="5" t="n">
        <v>0.25</v>
      </c>
      <c r="J757" s="5" t="n">
        <f>I757*(1+$N$2)</f>
        <v>0.25</v>
      </c>
      <c r="K757" s="5" t="n">
        <f>D757*J757</f>
        <v>0.5</v>
      </c>
      <c r="L757" s="5"/>
      <c r="M757" s="5"/>
      <c r="N757" s="5"/>
      <c r="O757" s="5"/>
    </row>
    <row r="758">
      <c r="A758" s="1"/>
      <c r="B758" s="1" t="str">
        <v>Ligne fictive 0388</v>
      </c>
      <c r="C758" s="1" t="str">
        <v>u</v>
      </c>
      <c r="D758" s="5" t="n">
        <v>3</v>
      </c>
      <c r="E758" s="5" t="n">
        <f>G758*$L$2+J758*$M$2*$O$2</f>
        <v>28.496000000000002</v>
      </c>
      <c r="F758" s="5" t="n">
        <f>ROUND(D758*E758,2)</f>
        <v>85.49</v>
      </c>
      <c r="G758" s="5" t="n">
        <v>6.92</v>
      </c>
      <c r="H758" s="5" t="n">
        <f>D758*G758</f>
        <v>20.759999999999998</v>
      </c>
      <c r="I758" s="5" t="n">
        <v>0.375</v>
      </c>
      <c r="J758" s="5" t="n">
        <f>I758*(1+$N$2)</f>
        <v>0.375</v>
      </c>
      <c r="K758" s="5" t="n">
        <f>D758*J758</f>
        <v>1.125</v>
      </c>
      <c r="L758" s="5"/>
      <c r="M758" s="5"/>
      <c r="N758" s="5"/>
      <c r="O758" s="5"/>
    </row>
    <row r="759">
      <c r="A759" s="1"/>
      <c r="B759" s="1" t="str">
        <v>Ligne fictive 0389</v>
      </c>
      <c r="C759" s="1" t="str">
        <v>ml</v>
      </c>
      <c r="D759" s="5" t="n">
        <v>4</v>
      </c>
      <c r="E759" s="5" t="n">
        <f>G759*$L$2+J759*$M$2*$O$2</f>
        <v>35.477000000000004</v>
      </c>
      <c r="F759" s="5" t="n">
        <f>ROUND(D759*E759,2)</f>
        <v>141.91</v>
      </c>
      <c r="G759" s="5" t="n">
        <v>7.29</v>
      </c>
      <c r="H759" s="5" t="n">
        <f>D759*G759</f>
        <v>29.16</v>
      </c>
      <c r="I759" s="5" t="n">
        <v>0.5</v>
      </c>
      <c r="J759" s="5" t="n">
        <f>I759*(1+$N$2)</f>
        <v>0.5</v>
      </c>
      <c r="K759" s="5" t="n">
        <f>D759*J759</f>
        <v>2</v>
      </c>
      <c r="L759" s="5"/>
      <c r="M759" s="5"/>
      <c r="N759" s="5"/>
      <c r="O759" s="5"/>
    </row>
    <row r="760">
      <c r="A760" s="1"/>
      <c r="B760" s="1" t="str">
        <v>Réserve fictive 0048</v>
      </c>
      <c r="C760" s="1" t="str">
        <v>u</v>
      </c>
      <c r="D760" s="5"/>
      <c r="E760" s="5" t="n">
        <v>0</v>
      </c>
      <c r="F760" s="5" t="n">
        <v>0</v>
      </c>
      <c r="G760" s="5" t="n">
        <v>0</v>
      </c>
      <c r="H760" s="5" t="n">
        <v>0</v>
      </c>
      <c r="I760" s="5" t="n">
        <v>0</v>
      </c>
      <c r="J760" s="5" t="n">
        <v>0</v>
      </c>
      <c r="K760" s="5" t="n">
        <v>0</v>
      </c>
      <c r="L760" s="5"/>
      <c r="M760" s="5"/>
      <c r="N760" s="5"/>
      <c r="O760" s="5"/>
    </row>
    <row r="761">
      <c r="A761" s="1"/>
      <c r="B761" s="1" t="str">
        <v>Sous-total fictif 137</v>
      </c>
      <c r="C761" s="1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>
      <c r="A762" s="1"/>
      <c r="B762" s="6" t="str">
        <v>Section fictive 138</v>
      </c>
      <c r="C762" s="1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>
      <c r="A763" s="1"/>
      <c r="B763" s="1" t="str">
        <v>Ligne fictive 0390</v>
      </c>
      <c r="C763" s="1" t="str">
        <v>m2</v>
      </c>
      <c r="D763" s="5" t="n">
        <v>5</v>
      </c>
      <c r="E763" s="5" t="n">
        <f>G763*$L$2+J763*$M$2*$O$2</f>
        <v>42.458</v>
      </c>
      <c r="F763" s="5" t="n">
        <f>ROUND(D763*E763,2)</f>
        <v>212.29</v>
      </c>
      <c r="G763" s="5" t="n">
        <v>7.66</v>
      </c>
      <c r="H763" s="5" t="n">
        <f>D763*G763</f>
        <v>38.3</v>
      </c>
      <c r="I763" s="5" t="n">
        <v>0.625</v>
      </c>
      <c r="J763" s="5" t="n">
        <f>I763*(1+$N$2)</f>
        <v>0.625</v>
      </c>
      <c r="K763" s="5" t="n">
        <f>D763*J763</f>
        <v>3.125</v>
      </c>
      <c r="L763" s="5"/>
      <c r="M763" s="5"/>
      <c r="N763" s="5"/>
      <c r="O763" s="5"/>
    </row>
    <row r="764">
      <c r="A764" s="1"/>
      <c r="B764" s="1" t="str">
        <v>Ligne fictive 0391</v>
      </c>
      <c r="C764" s="1" t="str">
        <v>u</v>
      </c>
      <c r="D764" s="5" t="n">
        <v>1</v>
      </c>
      <c r="E764" s="5" t="n">
        <f>G764*$L$2+J764*$M$2*$O$2</f>
        <v>16.939</v>
      </c>
      <c r="F764" s="5" t="n">
        <f>ROUND(D764*E764,2)</f>
        <v>16.94</v>
      </c>
      <c r="G764" s="5" t="n">
        <v>8.03</v>
      </c>
      <c r="H764" s="5" t="n">
        <f>D764*G764</f>
        <v>8.03</v>
      </c>
      <c r="I764" s="5" t="n">
        <v>0.125</v>
      </c>
      <c r="J764" s="5" t="n">
        <f>I764*(1+$N$2)</f>
        <v>0.125</v>
      </c>
      <c r="K764" s="5" t="n">
        <f>D764*J764</f>
        <v>0.125</v>
      </c>
      <c r="L764" s="5"/>
      <c r="M764" s="5"/>
      <c r="N764" s="5"/>
      <c r="O764" s="5"/>
    </row>
    <row r="765">
      <c r="A765" s="1"/>
      <c r="B765" s="1" t="str">
        <v>Sous-total fictif 138</v>
      </c>
      <c r="C765" s="1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>
      <c r="A766" s="1"/>
      <c r="B766" s="6" t="str">
        <v>Section fictive 139</v>
      </c>
      <c r="C766" s="1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>
      <c r="A767" s="1"/>
      <c r="B767" s="1" t="str">
        <v>Ligne fictive 0392</v>
      </c>
      <c r="C767" s="1" t="str">
        <v>ml</v>
      </c>
      <c r="D767" s="5" t="n">
        <v>2</v>
      </c>
      <c r="E767" s="5" t="n">
        <f>G767*$L$2+J767*$M$2*$O$2</f>
        <v>15.743</v>
      </c>
      <c r="F767" s="5" t="n">
        <f>ROUND(D767*E767,2)</f>
        <v>31.49</v>
      </c>
      <c r="G767" s="5" t="n">
        <v>2.11</v>
      </c>
      <c r="H767" s="5" t="n">
        <f>D767*G767</f>
        <v>4.22</v>
      </c>
      <c r="I767" s="5" t="n">
        <v>0.25</v>
      </c>
      <c r="J767" s="5" t="n">
        <f>I767*(1+$N$2)</f>
        <v>0.25</v>
      </c>
      <c r="K767" s="5" t="n">
        <f>D767*J767</f>
        <v>0.5</v>
      </c>
      <c r="L767" s="5"/>
      <c r="M767" s="5"/>
      <c r="N767" s="5"/>
      <c r="O767" s="5"/>
    </row>
    <row r="768">
      <c r="A768" s="1"/>
      <c r="B768" s="1" t="str">
        <v>Ligne fictive 0393</v>
      </c>
      <c r="C768" s="1" t="str">
        <v>m2</v>
      </c>
      <c r="D768" s="5" t="n">
        <v>3</v>
      </c>
      <c r="E768" s="5" t="n">
        <f>G768*$L$2+J768*$M$2*$O$2</f>
        <v>22.724</v>
      </c>
      <c r="F768" s="5" t="n">
        <f>ROUND(D768*E768,2)</f>
        <v>68.17</v>
      </c>
      <c r="G768" s="5" t="n">
        <v>2.48</v>
      </c>
      <c r="H768" s="5" t="n">
        <f>D768*G768</f>
        <v>7.4399999999999995</v>
      </c>
      <c r="I768" s="5" t="n">
        <v>0.375</v>
      </c>
      <c r="J768" s="5" t="n">
        <f>I768*(1+$N$2)</f>
        <v>0.375</v>
      </c>
      <c r="K768" s="5" t="n">
        <f>D768*J768</f>
        <v>1.125</v>
      </c>
      <c r="L768" s="5"/>
      <c r="M768" s="5"/>
      <c r="N768" s="5"/>
      <c r="O768" s="5"/>
    </row>
    <row r="769">
      <c r="A769" s="1"/>
      <c r="B769" s="1" t="str">
        <v>Ligne fictive 0394</v>
      </c>
      <c r="C769" s="1" t="str">
        <v>u</v>
      </c>
      <c r="D769" s="5" t="n">
        <v>4</v>
      </c>
      <c r="E769" s="5" t="n">
        <f>G769*$L$2+J769*$M$2*$O$2</f>
        <v>29.705</v>
      </c>
      <c r="F769" s="5" t="n">
        <f>ROUND(D769*E769,2)</f>
        <v>118.82</v>
      </c>
      <c r="G769" s="5" t="n">
        <v>2.85</v>
      </c>
      <c r="H769" s="5" t="n">
        <f>D769*G769</f>
        <v>11.4</v>
      </c>
      <c r="I769" s="5" t="n">
        <v>0.5</v>
      </c>
      <c r="J769" s="5" t="n">
        <f>I769*(1+$N$2)</f>
        <v>0.5</v>
      </c>
      <c r="K769" s="5" t="n">
        <f>D769*J769</f>
        <v>2</v>
      </c>
      <c r="L769" s="5"/>
      <c r="M769" s="5"/>
      <c r="N769" s="5"/>
      <c r="O769" s="5"/>
    </row>
    <row r="770">
      <c r="A770" s="1"/>
      <c r="B770" s="1" t="str">
        <v>Statut fictif 049</v>
      </c>
      <c r="C770" s="1" t="str">
        <v>HL</v>
      </c>
      <c r="D770" s="5" t="n">
        <v>1</v>
      </c>
      <c r="E770" s="5" t="n">
        <v>0</v>
      </c>
      <c r="F770" s="5" t="n">
        <v>0</v>
      </c>
      <c r="G770" s="5" t="n">
        <v>7.25</v>
      </c>
      <c r="H770" s="5" t="n">
        <v>0</v>
      </c>
      <c r="I770" s="5" t="n">
        <v>0.375</v>
      </c>
      <c r="J770" s="5" t="n">
        <v>0</v>
      </c>
      <c r="K770" s="5" t="n">
        <v>0</v>
      </c>
      <c r="L770" s="5"/>
      <c r="M770" s="5"/>
      <c r="N770" s="5"/>
      <c r="O770" s="5"/>
    </row>
    <row r="771">
      <c r="A771" s="1"/>
      <c r="B771" s="1" t="str">
        <v>Sous-total fictif 139</v>
      </c>
      <c r="C771" s="1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>
      <c r="A772" s="1"/>
      <c r="B772" s="6" t="str">
        <v>Section fictive 140</v>
      </c>
      <c r="C772" s="1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>
      <c r="A773" s="1"/>
      <c r="B773" s="1" t="str">
        <v>Ligne fictive 0395</v>
      </c>
      <c r="C773" s="1" t="str">
        <v>ml</v>
      </c>
      <c r="D773" s="5" t="n">
        <v>5</v>
      </c>
      <c r="E773" s="5" t="n">
        <f>G773*$L$2+J773*$M$2*$O$2</f>
        <v>36.686</v>
      </c>
      <c r="F773" s="5" t="n">
        <f>ROUND(D773*E773,2)</f>
        <v>183.43</v>
      </c>
      <c r="G773" s="5" t="n">
        <v>3.22</v>
      </c>
      <c r="H773" s="5" t="n">
        <f>D773*G773</f>
        <v>16.1</v>
      </c>
      <c r="I773" s="5" t="n">
        <v>0.625</v>
      </c>
      <c r="J773" s="5" t="n">
        <f>I773*(1+$N$2)</f>
        <v>0.625</v>
      </c>
      <c r="K773" s="5" t="n">
        <f>D773*J773</f>
        <v>3.125</v>
      </c>
      <c r="L773" s="5"/>
      <c r="M773" s="5"/>
      <c r="N773" s="5"/>
      <c r="O773" s="5"/>
    </row>
    <row r="774">
      <c r="A774" s="1"/>
      <c r="B774" s="1" t="str">
        <v>Ligne fictive 0396</v>
      </c>
      <c r="C774" s="1" t="str">
        <v>m2</v>
      </c>
      <c r="D774" s="5" t="n">
        <v>1</v>
      </c>
      <c r="E774" s="5" t="n">
        <f>G774*$L$2+J774*$M$2*$O$2</f>
        <v>11.167</v>
      </c>
      <c r="F774" s="5" t="n">
        <f>ROUND(D774*E774,2)</f>
        <v>11.17</v>
      </c>
      <c r="G774" s="5" t="n">
        <v>3.59</v>
      </c>
      <c r="H774" s="5" t="n">
        <f>D774*G774</f>
        <v>3.59</v>
      </c>
      <c r="I774" s="5" t="n">
        <v>0.125</v>
      </c>
      <c r="J774" s="5" t="n">
        <f>I774*(1+$N$2)</f>
        <v>0.125</v>
      </c>
      <c r="K774" s="5" t="n">
        <f>D774*J774</f>
        <v>0.125</v>
      </c>
      <c r="L774" s="5"/>
      <c r="M774" s="5"/>
      <c r="N774" s="5"/>
      <c r="O774" s="5"/>
    </row>
    <row r="775">
      <c r="A775" s="1"/>
      <c r="B775" s="1" t="str">
        <v>Ligne fictive 0397</v>
      </c>
      <c r="C775" s="1" t="str">
        <v>u</v>
      </c>
      <c r="D775" s="5" t="n">
        <v>2</v>
      </c>
      <c r="E775" s="5" t="n">
        <f>G775*$L$2+J775*$M$2*$O$2</f>
        <v>18.148</v>
      </c>
      <c r="F775" s="5" t="n">
        <f>ROUND(D775*E775,2)</f>
        <v>36.3</v>
      </c>
      <c r="G775" s="5" t="n">
        <v>3.96</v>
      </c>
      <c r="H775" s="5" t="n">
        <f>D775*G775</f>
        <v>7.92</v>
      </c>
      <c r="I775" s="5" t="n">
        <v>0.25</v>
      </c>
      <c r="J775" s="5" t="n">
        <f>I775*(1+$N$2)</f>
        <v>0.25</v>
      </c>
      <c r="K775" s="5" t="n">
        <f>D775*J775</f>
        <v>0.5</v>
      </c>
      <c r="L775" s="5"/>
      <c r="M775" s="5"/>
      <c r="N775" s="5"/>
      <c r="O775" s="5"/>
    </row>
    <row r="776">
      <c r="A776" s="1"/>
      <c r="B776" s="1" t="str">
        <v>Réserve fictive 0049</v>
      </c>
      <c r="C776" s="1" t="str">
        <v>u</v>
      </c>
      <c r="D776" s="5"/>
      <c r="E776" s="5" t="n">
        <v>0</v>
      </c>
      <c r="F776" s="5" t="n">
        <v>0</v>
      </c>
      <c r="G776" s="5" t="n">
        <v>0</v>
      </c>
      <c r="H776" s="5" t="n">
        <v>0</v>
      </c>
      <c r="I776" s="5" t="n">
        <v>0</v>
      </c>
      <c r="J776" s="5" t="n">
        <v>0</v>
      </c>
      <c r="K776" s="5" t="n">
        <v>0</v>
      </c>
      <c r="L776" s="5"/>
      <c r="M776" s="5"/>
      <c r="N776" s="5"/>
      <c r="O776" s="5"/>
    </row>
    <row r="777">
      <c r="A777" s="1"/>
      <c r="B777" s="1" t="str">
        <v>Sous-total fictif 140</v>
      </c>
      <c r="C777" s="1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>
      <c r="A778" s="1"/>
      <c r="B778" s="6" t="str">
        <v>Section fictive 141</v>
      </c>
      <c r="C778" s="1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>
      <c r="A779" s="1"/>
      <c r="B779" s="1" t="str">
        <v>Ligne fictive 0398</v>
      </c>
      <c r="C779" s="1" t="str">
        <v>ml</v>
      </c>
      <c r="D779" s="5" t="n">
        <v>3</v>
      </c>
      <c r="E779" s="5" t="n">
        <f>G779*$L$2+J779*$M$2*$O$2</f>
        <v>25.129</v>
      </c>
      <c r="F779" s="5" t="n">
        <f>ROUND(D779*E779,2)</f>
        <v>75.39</v>
      </c>
      <c r="G779" s="5" t="n">
        <v>4.33</v>
      </c>
      <c r="H779" s="5" t="n">
        <f>D779*G779</f>
        <v>12.99</v>
      </c>
      <c r="I779" s="5" t="n">
        <v>0.375</v>
      </c>
      <c r="J779" s="5" t="n">
        <f>I779*(1+$N$2)</f>
        <v>0.375</v>
      </c>
      <c r="K779" s="5" t="n">
        <f>D779*J779</f>
        <v>1.125</v>
      </c>
      <c r="L779" s="5"/>
      <c r="M779" s="5"/>
      <c r="N779" s="5"/>
      <c r="O779" s="5"/>
    </row>
    <row r="780">
      <c r="A780" s="1"/>
      <c r="B780" s="1" t="str">
        <v>Ligne fictive 0399</v>
      </c>
      <c r="C780" s="1" t="str">
        <v>m2</v>
      </c>
      <c r="D780" s="5" t="n">
        <v>4</v>
      </c>
      <c r="E780" s="5" t="n">
        <f>G780*$L$2+J780*$M$2*$O$2</f>
        <v>32.11</v>
      </c>
      <c r="F780" s="5" t="n">
        <f>ROUND(D780*E780,2)</f>
        <v>128.44</v>
      </c>
      <c r="G780" s="5" t="n">
        <v>4.7</v>
      </c>
      <c r="H780" s="5" t="n">
        <f>D780*G780</f>
        <v>18.8</v>
      </c>
      <c r="I780" s="5" t="n">
        <v>0.5</v>
      </c>
      <c r="J780" s="5" t="n">
        <f>I780*(1+$N$2)</f>
        <v>0.5</v>
      </c>
      <c r="K780" s="5" t="n">
        <f>D780*J780</f>
        <v>2</v>
      </c>
      <c r="L780" s="5"/>
      <c r="M780" s="5"/>
      <c r="N780" s="5"/>
      <c r="O780" s="5"/>
    </row>
    <row r="781">
      <c r="A781" s="1"/>
      <c r="B781" s="1" t="str">
        <v>Ligne fictive 0400</v>
      </c>
      <c r="C781" s="1" t="str">
        <v>u</v>
      </c>
      <c r="D781" s="5" t="n">
        <v>5</v>
      </c>
      <c r="E781" s="5" t="n">
        <f>G781*$L$2+J781*$M$2*$O$2</f>
        <v>39.091</v>
      </c>
      <c r="F781" s="5" t="n">
        <f>ROUND(D781*E781,2)</f>
        <v>195.46</v>
      </c>
      <c r="G781" s="5" t="n">
        <v>5.07</v>
      </c>
      <c r="H781" s="5" t="n">
        <f>D781*G781</f>
        <v>25.35</v>
      </c>
      <c r="I781" s="5" t="n">
        <v>0.625</v>
      </c>
      <c r="J781" s="5" t="n">
        <f>I781*(1+$N$2)</f>
        <v>0.625</v>
      </c>
      <c r="K781" s="5" t="n">
        <f>D781*J781</f>
        <v>3.125</v>
      </c>
      <c r="L781" s="5"/>
      <c r="M781" s="5"/>
      <c r="N781" s="5"/>
      <c r="O781" s="5"/>
    </row>
    <row r="782">
      <c r="A782" s="1"/>
      <c r="B782" s="1" t="str">
        <v>Statut fictif 050</v>
      </c>
      <c r="C782" s="1" t="str">
        <v>HL</v>
      </c>
      <c r="D782" s="5" t="n">
        <v>2</v>
      </c>
      <c r="E782" s="5" t="n">
        <v>0</v>
      </c>
      <c r="F782" s="5" t="n">
        <v>0</v>
      </c>
      <c r="G782" s="5" t="n">
        <v>7.25</v>
      </c>
      <c r="H782" s="5" t="n">
        <v>0</v>
      </c>
      <c r="I782" s="5" t="n">
        <v>0.375</v>
      </c>
      <c r="J782" s="5" t="n">
        <v>0</v>
      </c>
      <c r="K782" s="5" t="n">
        <v>0</v>
      </c>
      <c r="L782" s="5"/>
      <c r="M782" s="5"/>
      <c r="N782" s="5"/>
      <c r="O782" s="5"/>
    </row>
    <row r="783">
      <c r="A783" s="1"/>
      <c r="B783" s="1" t="str">
        <v>Sous-total fictif 141</v>
      </c>
      <c r="C783" s="1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>
      <c r="A784" s="1"/>
      <c r="B784" s="6" t="str">
        <v>Section fictive 142</v>
      </c>
      <c r="C784" s="1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>
      <c r="A785" s="1"/>
      <c r="B785" s="1" t="str">
        <v>Ligne fictive 0401</v>
      </c>
      <c r="C785" s="1" t="str">
        <v>ml</v>
      </c>
      <c r="D785" s="5" t="n">
        <v>1</v>
      </c>
      <c r="E785" s="5" t="n">
        <f>G785*$L$2+J785*$M$2*$O$2</f>
        <v>13.572000000000001</v>
      </c>
      <c r="F785" s="5" t="n">
        <f>ROUND(D785*E785,2)</f>
        <v>13.57</v>
      </c>
      <c r="G785" s="5" t="n">
        <v>5.44</v>
      </c>
      <c r="H785" s="5" t="n">
        <f>D785*G785</f>
        <v>5.44</v>
      </c>
      <c r="I785" s="5" t="n">
        <v>0.125</v>
      </c>
      <c r="J785" s="5" t="n">
        <f>I785*(1+$N$2)</f>
        <v>0.125</v>
      </c>
      <c r="K785" s="5" t="n">
        <f>D785*J785</f>
        <v>0.125</v>
      </c>
      <c r="L785" s="5"/>
      <c r="M785" s="5"/>
      <c r="N785" s="5"/>
      <c r="O785" s="5"/>
    </row>
    <row r="786">
      <c r="A786" s="1"/>
      <c r="B786" s="1" t="str">
        <v>Ligne fictive 0402</v>
      </c>
      <c r="C786" s="1" t="str">
        <v>m2</v>
      </c>
      <c r="D786" s="5" t="n">
        <v>2</v>
      </c>
      <c r="E786" s="5" t="n">
        <f>G786*$L$2+J786*$M$2*$O$2</f>
        <v>20.553</v>
      </c>
      <c r="F786" s="5" t="n">
        <f>ROUND(D786*E786,2)</f>
        <v>41.11</v>
      </c>
      <c r="G786" s="5" t="n">
        <v>5.81</v>
      </c>
      <c r="H786" s="5" t="n">
        <f>D786*G786</f>
        <v>11.62</v>
      </c>
      <c r="I786" s="5" t="n">
        <v>0.25</v>
      </c>
      <c r="J786" s="5" t="n">
        <f>I786*(1+$N$2)</f>
        <v>0.25</v>
      </c>
      <c r="K786" s="5" t="n">
        <f>D786*J786</f>
        <v>0.5</v>
      </c>
      <c r="L786" s="5"/>
      <c r="M786" s="5"/>
      <c r="N786" s="5"/>
      <c r="O786" s="5"/>
    </row>
    <row r="787">
      <c r="A787" s="1"/>
      <c r="B787" s="1" t="str">
        <v>Ligne fictive 0403</v>
      </c>
      <c r="C787" s="1" t="str">
        <v>u</v>
      </c>
      <c r="D787" s="5" t="n">
        <v>3</v>
      </c>
      <c r="E787" s="5" t="n">
        <f>G787*$L$2+J787*$M$2*$O$2</f>
        <v>27.534</v>
      </c>
      <c r="F787" s="5" t="n">
        <f>ROUND(D787*E787,2)</f>
        <v>82.6</v>
      </c>
      <c r="G787" s="5" t="n">
        <v>6.18</v>
      </c>
      <c r="H787" s="5" t="n">
        <f>D787*G787</f>
        <v>18.54</v>
      </c>
      <c r="I787" s="5" t="n">
        <v>0.375</v>
      </c>
      <c r="J787" s="5" t="n">
        <f>I787*(1+$N$2)</f>
        <v>0.375</v>
      </c>
      <c r="K787" s="5" t="n">
        <f>D787*J787</f>
        <v>1.125</v>
      </c>
      <c r="L787" s="5"/>
      <c r="M787" s="5"/>
      <c r="N787" s="5"/>
      <c r="O787" s="5"/>
    </row>
    <row r="788">
      <c r="A788" s="1"/>
      <c r="B788" s="1" t="str">
        <v>Sous-total fictif 142</v>
      </c>
      <c r="C788" s="1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>
      <c r="A789" s="1"/>
      <c r="B789" s="6" t="str">
        <v>Section fictive 143</v>
      </c>
      <c r="C789" s="1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>
      <c r="A790" s="1"/>
      <c r="B790" s="1" t="str">
        <v>Ligne fictive 0404</v>
      </c>
      <c r="C790" s="1" t="str">
        <v>ml</v>
      </c>
      <c r="D790" s="5" t="n">
        <v>4</v>
      </c>
      <c r="E790" s="5" t="n">
        <f>G790*$L$2+J790*$M$2*$O$2</f>
        <v>34.515</v>
      </c>
      <c r="F790" s="5" t="n">
        <f>ROUND(D790*E790,2)</f>
        <v>138.06</v>
      </c>
      <c r="G790" s="5" t="n">
        <v>6.55</v>
      </c>
      <c r="H790" s="5" t="n">
        <f>D790*G790</f>
        <v>26.2</v>
      </c>
      <c r="I790" s="5" t="n">
        <v>0.5</v>
      </c>
      <c r="J790" s="5" t="n">
        <f>I790*(1+$N$2)</f>
        <v>0.5</v>
      </c>
      <c r="K790" s="5" t="n">
        <f>D790*J790</f>
        <v>2</v>
      </c>
      <c r="L790" s="5"/>
      <c r="M790" s="5"/>
      <c r="N790" s="5"/>
      <c r="O790" s="5"/>
    </row>
    <row r="791">
      <c r="A791" s="1"/>
      <c r="B791" s="1" t="str">
        <v>Ligne fictive 0405</v>
      </c>
      <c r="C791" s="1" t="str">
        <v>m2</v>
      </c>
      <c r="D791" s="5" t="n">
        <v>5</v>
      </c>
      <c r="E791" s="5" t="n">
        <f>G791*$L$2+J791*$M$2*$O$2</f>
        <v>41.496</v>
      </c>
      <c r="F791" s="5" t="n">
        <f>ROUND(D791*E791,2)</f>
        <v>207.48</v>
      </c>
      <c r="G791" s="5" t="n">
        <v>6.92</v>
      </c>
      <c r="H791" s="5" t="n">
        <f>D791*G791</f>
        <v>34.6</v>
      </c>
      <c r="I791" s="5" t="n">
        <v>0.625</v>
      </c>
      <c r="J791" s="5" t="n">
        <f>I791*(1+$N$2)</f>
        <v>0.625</v>
      </c>
      <c r="K791" s="5" t="n">
        <f>D791*J791</f>
        <v>3.125</v>
      </c>
      <c r="L791" s="5"/>
      <c r="M791" s="5"/>
      <c r="N791" s="5"/>
      <c r="O791" s="5"/>
    </row>
    <row r="792">
      <c r="A792" s="1"/>
      <c r="B792" s="1" t="str">
        <v>Ligne fictive 0406</v>
      </c>
      <c r="C792" s="1" t="str">
        <v>u</v>
      </c>
      <c r="D792" s="5" t="n">
        <v>1</v>
      </c>
      <c r="E792" s="5" t="n">
        <f>G792*$L$2+J792*$M$2*$O$2</f>
        <v>15.977</v>
      </c>
      <c r="F792" s="5" t="n">
        <f>ROUND(D792*E792,2)</f>
        <v>15.98</v>
      </c>
      <c r="G792" s="5" t="n">
        <v>7.29</v>
      </c>
      <c r="H792" s="5" t="n">
        <f>D792*G792</f>
        <v>7.29</v>
      </c>
      <c r="I792" s="5" t="n">
        <v>0.125</v>
      </c>
      <c r="J792" s="5" t="n">
        <f>I792*(1+$N$2)</f>
        <v>0.125</v>
      </c>
      <c r="K792" s="5" t="n">
        <f>D792*J792</f>
        <v>0.125</v>
      </c>
      <c r="L792" s="5"/>
      <c r="M792" s="5"/>
      <c r="N792" s="5"/>
      <c r="O792" s="5"/>
    </row>
    <row r="793">
      <c r="A793" s="1"/>
      <c r="B793" s="1" t="str">
        <v>Réserve fictive 0050</v>
      </c>
      <c r="C793" s="1" t="str">
        <v>u</v>
      </c>
      <c r="D793" s="5"/>
      <c r="E793" s="5" t="n">
        <v>0</v>
      </c>
      <c r="F793" s="5" t="n">
        <v>0</v>
      </c>
      <c r="G793" s="5" t="n">
        <v>0</v>
      </c>
      <c r="H793" s="5" t="n">
        <v>0</v>
      </c>
      <c r="I793" s="5" t="n">
        <v>0</v>
      </c>
      <c r="J793" s="5" t="n">
        <v>0</v>
      </c>
      <c r="K793" s="5" t="n">
        <v>0</v>
      </c>
      <c r="L793" s="5"/>
      <c r="M793" s="5"/>
      <c r="N793" s="5"/>
      <c r="O793" s="5"/>
    </row>
    <row r="794">
      <c r="A794" s="1"/>
      <c r="B794" s="1" t="str">
        <v>Sous-total fictif 143</v>
      </c>
      <c r="C794" s="1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>
      <c r="A795" s="1"/>
      <c r="B795" s="6" t="str">
        <v>Section fictive 144</v>
      </c>
      <c r="C795" s="1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>
      <c r="A796" s="1"/>
      <c r="B796" s="1" t="str">
        <v>Ligne fictive 0407</v>
      </c>
      <c r="C796" s="1" t="str">
        <v>ml</v>
      </c>
      <c r="D796" s="5" t="n">
        <v>2</v>
      </c>
      <c r="E796" s="5" t="n">
        <f>G796*$L$2+J796*$M$2*$O$2</f>
        <v>22.958</v>
      </c>
      <c r="F796" s="5" t="n">
        <f>ROUND(D796*E796,2)</f>
        <v>45.92</v>
      </c>
      <c r="G796" s="5" t="n">
        <v>7.66</v>
      </c>
      <c r="H796" s="5" t="n">
        <f>D796*G796</f>
        <v>15.32</v>
      </c>
      <c r="I796" s="5" t="n">
        <v>0.25</v>
      </c>
      <c r="J796" s="5" t="n">
        <f>I796*(1+$N$2)</f>
        <v>0.25</v>
      </c>
      <c r="K796" s="5" t="n">
        <f>D796*J796</f>
        <v>0.5</v>
      </c>
      <c r="L796" s="5"/>
      <c r="M796" s="5"/>
      <c r="N796" s="5"/>
      <c r="O796" s="5"/>
    </row>
    <row r="797">
      <c r="A797" s="1"/>
      <c r="B797" s="1" t="str">
        <v>Ligne fictive 0408</v>
      </c>
      <c r="C797" s="1" t="str">
        <v>m2</v>
      </c>
      <c r="D797" s="5" t="n">
        <v>3</v>
      </c>
      <c r="E797" s="5" t="n">
        <f>G797*$L$2+J797*$M$2*$O$2</f>
        <v>29.939</v>
      </c>
      <c r="F797" s="5" t="n">
        <f>ROUND(D797*E797,2)</f>
        <v>89.82</v>
      </c>
      <c r="G797" s="5" t="n">
        <v>8.03</v>
      </c>
      <c r="H797" s="5" t="n">
        <f>D797*G797</f>
        <v>24.089999999999996</v>
      </c>
      <c r="I797" s="5" t="n">
        <v>0.375</v>
      </c>
      <c r="J797" s="5" t="n">
        <f>I797*(1+$N$2)</f>
        <v>0.375</v>
      </c>
      <c r="K797" s="5" t="n">
        <f>D797*J797</f>
        <v>1.125</v>
      </c>
      <c r="L797" s="5"/>
      <c r="M797" s="5"/>
      <c r="N797" s="5"/>
      <c r="O797" s="5"/>
    </row>
    <row r="798">
      <c r="A798" s="1"/>
      <c r="B798" s="1" t="str">
        <v>Statut fictif 051</v>
      </c>
      <c r="C798" s="1" t="str">
        <v>HL</v>
      </c>
      <c r="D798" s="5" t="n">
        <v>3</v>
      </c>
      <c r="E798" s="5" t="n">
        <v>0</v>
      </c>
      <c r="F798" s="5" t="n">
        <v>0</v>
      </c>
      <c r="G798" s="5" t="n">
        <v>7.25</v>
      </c>
      <c r="H798" s="5" t="n">
        <v>0</v>
      </c>
      <c r="I798" s="5" t="n">
        <v>0.375</v>
      </c>
      <c r="J798" s="5" t="n">
        <v>0</v>
      </c>
      <c r="K798" s="5" t="n">
        <v>0</v>
      </c>
      <c r="L798" s="5"/>
      <c r="M798" s="5"/>
      <c r="N798" s="5"/>
      <c r="O798" s="5"/>
    </row>
    <row r="799">
      <c r="A799" s="1"/>
      <c r="B799" s="1" t="str">
        <v>Sous-total fictif 144</v>
      </c>
      <c r="C799" s="1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>
      <c r="A800" s="1"/>
      <c r="B800" s="6" t="str">
        <v>Section fictive 145</v>
      </c>
      <c r="C800" s="1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>
      <c r="A801" s="1"/>
      <c r="B801" s="1" t="str">
        <v>Ligne fictive 0409</v>
      </c>
      <c r="C801" s="1" t="str">
        <v>u</v>
      </c>
      <c r="D801" s="5" t="n">
        <v>4</v>
      </c>
      <c r="E801" s="5" t="n">
        <f>G801*$L$2+J801*$M$2*$O$2</f>
        <v>28.743</v>
      </c>
      <c r="F801" s="5" t="n">
        <f>ROUND(D801*E801,2)</f>
        <v>114.97</v>
      </c>
      <c r="G801" s="5" t="n">
        <v>2.11</v>
      </c>
      <c r="H801" s="5" t="n">
        <f>D801*G801</f>
        <v>8.44</v>
      </c>
      <c r="I801" s="5" t="n">
        <v>0.5</v>
      </c>
      <c r="J801" s="5" t="n">
        <f>I801*(1+$N$2)</f>
        <v>0.5</v>
      </c>
      <c r="K801" s="5" t="n">
        <f>D801*J801</f>
        <v>2</v>
      </c>
      <c r="L801" s="5"/>
      <c r="M801" s="5"/>
      <c r="N801" s="5"/>
      <c r="O801" s="5"/>
    </row>
    <row r="802">
      <c r="A802" s="1"/>
      <c r="B802" s="1" t="str">
        <v>Ligne fictive 0410</v>
      </c>
      <c r="C802" s="1" t="str">
        <v>ml</v>
      </c>
      <c r="D802" s="5" t="n">
        <v>5</v>
      </c>
      <c r="E802" s="5" t="n">
        <f>G802*$L$2+J802*$M$2*$O$2</f>
        <v>35.724000000000004</v>
      </c>
      <c r="F802" s="5" t="n">
        <f>ROUND(D802*E802,2)</f>
        <v>178.62</v>
      </c>
      <c r="G802" s="5" t="n">
        <v>2.48</v>
      </c>
      <c r="H802" s="5" t="n">
        <f>D802*G802</f>
        <v>12.4</v>
      </c>
      <c r="I802" s="5" t="n">
        <v>0.625</v>
      </c>
      <c r="J802" s="5" t="n">
        <f>I802*(1+$N$2)</f>
        <v>0.625</v>
      </c>
      <c r="K802" s="5" t="n">
        <f>D802*J802</f>
        <v>3.125</v>
      </c>
      <c r="L802" s="5"/>
      <c r="M802" s="5"/>
      <c r="N802" s="5"/>
      <c r="O802" s="5"/>
    </row>
    <row r="803">
      <c r="A803" s="1"/>
      <c r="B803" s="1" t="str">
        <v>Ligne fictive 0411</v>
      </c>
      <c r="C803" s="1" t="str">
        <v>m2</v>
      </c>
      <c r="D803" s="5" t="n">
        <v>1</v>
      </c>
      <c r="E803" s="5" t="n">
        <f>G803*$L$2+J803*$M$2*$O$2</f>
        <v>10.205</v>
      </c>
      <c r="F803" s="5" t="n">
        <f>ROUND(D803*E803,2)</f>
        <v>10.21</v>
      </c>
      <c r="G803" s="5" t="n">
        <v>2.85</v>
      </c>
      <c r="H803" s="5" t="n">
        <f>D803*G803</f>
        <v>2.85</v>
      </c>
      <c r="I803" s="5" t="n">
        <v>0.125</v>
      </c>
      <c r="J803" s="5" t="n">
        <f>I803*(1+$N$2)</f>
        <v>0.125</v>
      </c>
      <c r="K803" s="5" t="n">
        <f>D803*J803</f>
        <v>0.125</v>
      </c>
      <c r="L803" s="5"/>
      <c r="M803" s="5"/>
      <c r="N803" s="5"/>
      <c r="O803" s="5"/>
    </row>
    <row r="804">
      <c r="A804" s="1"/>
      <c r="B804" s="1" t="str">
        <v>Sous-total fictif 145</v>
      </c>
      <c r="C804" s="1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>
      <c r="A805" s="1"/>
      <c r="B805" s="6" t="str">
        <v>Section fictive 146</v>
      </c>
      <c r="C805" s="1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>
      <c r="A806" s="1"/>
      <c r="B806" s="1" t="str">
        <v>Ligne fictive 0412</v>
      </c>
      <c r="C806" s="1" t="str">
        <v>u</v>
      </c>
      <c r="D806" s="5" t="n">
        <v>2</v>
      </c>
      <c r="E806" s="5" t="n">
        <f>G806*$L$2+J806*$M$2*$O$2</f>
        <v>17.186</v>
      </c>
      <c r="F806" s="5" t="n">
        <f>ROUND(D806*E806,2)</f>
        <v>34.37</v>
      </c>
      <c r="G806" s="5" t="n">
        <v>3.22</v>
      </c>
      <c r="H806" s="5" t="n">
        <f>D806*G806</f>
        <v>6.44</v>
      </c>
      <c r="I806" s="5" t="n">
        <v>0.25</v>
      </c>
      <c r="J806" s="5" t="n">
        <f>I806*(1+$N$2)</f>
        <v>0.25</v>
      </c>
      <c r="K806" s="5" t="n">
        <f>D806*J806</f>
        <v>0.5</v>
      </c>
      <c r="L806" s="5"/>
      <c r="M806" s="5"/>
      <c r="N806" s="5"/>
      <c r="O806" s="5"/>
    </row>
    <row r="807">
      <c r="A807" s="1"/>
      <c r="B807" s="1" t="str">
        <v>Ligne fictive 0413</v>
      </c>
      <c r="C807" s="1" t="str">
        <v>ml</v>
      </c>
      <c r="D807" s="5" t="n">
        <v>3</v>
      </c>
      <c r="E807" s="5" t="n">
        <f>G807*$L$2+J807*$M$2*$O$2</f>
        <v>24.167</v>
      </c>
      <c r="F807" s="5" t="n">
        <f>ROUND(D807*E807,2)</f>
        <v>72.5</v>
      </c>
      <c r="G807" s="5" t="n">
        <v>3.59</v>
      </c>
      <c r="H807" s="5" t="n">
        <f>D807*G807</f>
        <v>10.77</v>
      </c>
      <c r="I807" s="5" t="n">
        <v>0.375</v>
      </c>
      <c r="J807" s="5" t="n">
        <f>I807*(1+$N$2)</f>
        <v>0.375</v>
      </c>
      <c r="K807" s="5" t="n">
        <f>D807*J807</f>
        <v>1.125</v>
      </c>
      <c r="L807" s="5"/>
      <c r="M807" s="5"/>
      <c r="N807" s="5"/>
      <c r="O807" s="5"/>
    </row>
    <row r="808">
      <c r="A808" s="1"/>
      <c r="B808" s="1" t="str">
        <v>Ligne fictive 0414</v>
      </c>
      <c r="C808" s="1" t="str">
        <v>m2</v>
      </c>
      <c r="D808" s="5" t="n">
        <v>4</v>
      </c>
      <c r="E808" s="5" t="n">
        <f>G808*$L$2+J808*$M$2*$O$2</f>
        <v>31.148</v>
      </c>
      <c r="F808" s="5" t="n">
        <f>ROUND(D808*E808,2)</f>
        <v>124.59</v>
      </c>
      <c r="G808" s="5" t="n">
        <v>3.96</v>
      </c>
      <c r="H808" s="5" t="n">
        <f>D808*G808</f>
        <v>15.84</v>
      </c>
      <c r="I808" s="5" t="n">
        <v>0.5</v>
      </c>
      <c r="J808" s="5" t="n">
        <f>I808*(1+$N$2)</f>
        <v>0.5</v>
      </c>
      <c r="K808" s="5" t="n">
        <f>D808*J808</f>
        <v>2</v>
      </c>
      <c r="L808" s="5"/>
      <c r="M808" s="5"/>
      <c r="N808" s="5"/>
      <c r="O808" s="5"/>
    </row>
    <row r="809">
      <c r="A809" s="1"/>
      <c r="B809" s="1" t="str">
        <v>Réserve fictive 0051</v>
      </c>
      <c r="C809" s="1" t="str">
        <v>u</v>
      </c>
      <c r="D809" s="5"/>
      <c r="E809" s="5" t="n">
        <v>0</v>
      </c>
      <c r="F809" s="5" t="n">
        <v>0</v>
      </c>
      <c r="G809" s="5" t="n">
        <v>0</v>
      </c>
      <c r="H809" s="5" t="n">
        <v>0</v>
      </c>
      <c r="I809" s="5" t="n">
        <v>0</v>
      </c>
      <c r="J809" s="5" t="n">
        <v>0</v>
      </c>
      <c r="K809" s="5" t="n">
        <v>0</v>
      </c>
      <c r="L809" s="5"/>
      <c r="M809" s="5"/>
      <c r="N809" s="5"/>
      <c r="O809" s="5"/>
    </row>
    <row r="810">
      <c r="A810" s="1"/>
      <c r="B810" s="1" t="str">
        <v>Sous-total fictif 146</v>
      </c>
      <c r="C810" s="1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>
      <c r="A811" s="1"/>
      <c r="B811" s="6" t="str">
        <v>Section fictive 147</v>
      </c>
      <c r="C811" s="1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>
      <c r="A812" s="1"/>
      <c r="B812" s="1" t="str">
        <v>Ligne fictive 0415</v>
      </c>
      <c r="C812" s="1" t="str">
        <v>u</v>
      </c>
      <c r="D812" s="5" t="n">
        <v>5</v>
      </c>
      <c r="E812" s="5" t="n">
        <f>G812*$L$2+J812*$M$2*$O$2</f>
        <v>38.129</v>
      </c>
      <c r="F812" s="5" t="n">
        <f>ROUND(D812*E812,2)</f>
        <v>190.65</v>
      </c>
      <c r="G812" s="5" t="n">
        <v>4.33</v>
      </c>
      <c r="H812" s="5" t="n">
        <f>D812*G812</f>
        <v>21.65</v>
      </c>
      <c r="I812" s="5" t="n">
        <v>0.625</v>
      </c>
      <c r="J812" s="5" t="n">
        <f>I812*(1+$N$2)</f>
        <v>0.625</v>
      </c>
      <c r="K812" s="5" t="n">
        <f>D812*J812</f>
        <v>3.125</v>
      </c>
      <c r="L812" s="5"/>
      <c r="M812" s="5"/>
      <c r="N812" s="5"/>
      <c r="O812" s="5"/>
    </row>
    <row r="813">
      <c r="A813" s="1"/>
      <c r="B813" s="1" t="str">
        <v>Ligne fictive 0416</v>
      </c>
      <c r="C813" s="1" t="str">
        <v>ml</v>
      </c>
      <c r="D813" s="5" t="n">
        <v>1</v>
      </c>
      <c r="E813" s="5" t="n">
        <f>G813*$L$2+J813*$M$2*$O$2</f>
        <v>12.61</v>
      </c>
      <c r="F813" s="5" t="n">
        <f>ROUND(D813*E813,2)</f>
        <v>12.61</v>
      </c>
      <c r="G813" s="5" t="n">
        <v>4.7</v>
      </c>
      <c r="H813" s="5" t="n">
        <f>D813*G813</f>
        <v>4.7</v>
      </c>
      <c r="I813" s="5" t="n">
        <v>0.125</v>
      </c>
      <c r="J813" s="5" t="n">
        <f>I813*(1+$N$2)</f>
        <v>0.125</v>
      </c>
      <c r="K813" s="5" t="n">
        <f>D813*J813</f>
        <v>0.125</v>
      </c>
      <c r="L813" s="5"/>
      <c r="M813" s="5"/>
      <c r="N813" s="5"/>
      <c r="O813" s="5"/>
    </row>
    <row r="814">
      <c r="A814" s="1"/>
      <c r="B814" s="1" t="str">
        <v>Ligne fictive 0417</v>
      </c>
      <c r="C814" s="1" t="str">
        <v>m2</v>
      </c>
      <c r="D814" s="5" t="n">
        <v>2</v>
      </c>
      <c r="E814" s="5" t="n">
        <f>G814*$L$2+J814*$M$2*$O$2</f>
        <v>19.591</v>
      </c>
      <c r="F814" s="5" t="n">
        <f>ROUND(D814*E814,2)</f>
        <v>39.18</v>
      </c>
      <c r="G814" s="5" t="n">
        <v>5.07</v>
      </c>
      <c r="H814" s="5" t="n">
        <f>D814*G814</f>
        <v>10.14</v>
      </c>
      <c r="I814" s="5" t="n">
        <v>0.25</v>
      </c>
      <c r="J814" s="5" t="n">
        <f>I814*(1+$N$2)</f>
        <v>0.25</v>
      </c>
      <c r="K814" s="5" t="n">
        <f>D814*J814</f>
        <v>0.5</v>
      </c>
      <c r="L814" s="5"/>
      <c r="M814" s="5"/>
      <c r="N814" s="5"/>
      <c r="O814" s="5"/>
    </row>
    <row r="815">
      <c r="A815" s="1"/>
      <c r="B815" s="1" t="str">
        <v>Statut fictif 052</v>
      </c>
      <c r="C815" s="1" t="str">
        <v>HL</v>
      </c>
      <c r="D815" s="5" t="n">
        <v>1</v>
      </c>
      <c r="E815" s="5" t="n">
        <v>0</v>
      </c>
      <c r="F815" s="5" t="n">
        <v>0</v>
      </c>
      <c r="G815" s="5" t="n">
        <v>7.25</v>
      </c>
      <c r="H815" s="5" t="n">
        <v>0</v>
      </c>
      <c r="I815" s="5" t="n">
        <v>0.375</v>
      </c>
      <c r="J815" s="5" t="n">
        <v>0</v>
      </c>
      <c r="K815" s="5" t="n">
        <v>0</v>
      </c>
      <c r="L815" s="5"/>
      <c r="M815" s="5"/>
      <c r="N815" s="5"/>
      <c r="O815" s="5"/>
    </row>
    <row r="816">
      <c r="A816" s="1"/>
      <c r="B816" s="1" t="str">
        <v>Sous-total fictif 147</v>
      </c>
      <c r="C816" s="1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>
      <c r="A817" s="1"/>
      <c r="B817" s="6" t="str">
        <v>Section fictive 148</v>
      </c>
      <c r="C817" s="1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>
      <c r="A818" s="1"/>
      <c r="B818" s="1" t="str">
        <v>Ligne fictive 0418</v>
      </c>
      <c r="C818" s="1" t="str">
        <v>u</v>
      </c>
      <c r="D818" s="5" t="n">
        <v>3</v>
      </c>
      <c r="E818" s="5" t="n">
        <f>G818*$L$2+J818*$M$2*$O$2</f>
        <v>26.572000000000003</v>
      </c>
      <c r="F818" s="5" t="n">
        <f>ROUND(D818*E818,2)</f>
        <v>79.72</v>
      </c>
      <c r="G818" s="5" t="n">
        <v>5.44</v>
      </c>
      <c r="H818" s="5" t="n">
        <f>D818*G818</f>
        <v>16.32</v>
      </c>
      <c r="I818" s="5" t="n">
        <v>0.375</v>
      </c>
      <c r="J818" s="5" t="n">
        <f>I818*(1+$N$2)</f>
        <v>0.375</v>
      </c>
      <c r="K818" s="5" t="n">
        <f>D818*J818</f>
        <v>1.125</v>
      </c>
      <c r="L818" s="5"/>
      <c r="M818" s="5"/>
      <c r="N818" s="5"/>
      <c r="O818" s="5"/>
    </row>
    <row r="819">
      <c r="A819" s="1"/>
      <c r="B819" s="1" t="str">
        <v>Ligne fictive 0419</v>
      </c>
      <c r="C819" s="1" t="str">
        <v>ml</v>
      </c>
      <c r="D819" s="5" t="n">
        <v>4</v>
      </c>
      <c r="E819" s="5" t="n">
        <f>G819*$L$2+J819*$M$2*$O$2</f>
        <v>33.553</v>
      </c>
      <c r="F819" s="5" t="n">
        <f>ROUND(D819*E819,2)</f>
        <v>134.21</v>
      </c>
      <c r="G819" s="5" t="n">
        <v>5.81</v>
      </c>
      <c r="H819" s="5" t="n">
        <f>D819*G819</f>
        <v>23.24</v>
      </c>
      <c r="I819" s="5" t="n">
        <v>0.5</v>
      </c>
      <c r="J819" s="5" t="n">
        <f>I819*(1+$N$2)</f>
        <v>0.5</v>
      </c>
      <c r="K819" s="5" t="n">
        <f>D819*J819</f>
        <v>2</v>
      </c>
      <c r="L819" s="5"/>
      <c r="M819" s="5"/>
      <c r="N819" s="5"/>
      <c r="O819" s="5"/>
    </row>
    <row r="820">
      <c r="A820" s="1"/>
      <c r="B820" s="1" t="str">
        <v>Ligne fictive 0420</v>
      </c>
      <c r="C820" s="1" t="str">
        <v>m2</v>
      </c>
      <c r="D820" s="5" t="n">
        <v>5</v>
      </c>
      <c r="E820" s="5" t="n">
        <f>G820*$L$2+J820*$M$2*$O$2</f>
        <v>40.534</v>
      </c>
      <c r="F820" s="5" t="n">
        <f>ROUND(D820*E820,2)</f>
        <v>202.67</v>
      </c>
      <c r="G820" s="5" t="n">
        <v>6.18</v>
      </c>
      <c r="H820" s="5" t="n">
        <f>D820*G820</f>
        <v>30.9</v>
      </c>
      <c r="I820" s="5" t="n">
        <v>0.625</v>
      </c>
      <c r="J820" s="5" t="n">
        <f>I820*(1+$N$2)</f>
        <v>0.625</v>
      </c>
      <c r="K820" s="5" t="n">
        <f>D820*J820</f>
        <v>3.125</v>
      </c>
      <c r="L820" s="5"/>
      <c r="M820" s="5"/>
      <c r="N820" s="5"/>
      <c r="O820" s="5"/>
    </row>
    <row r="821">
      <c r="A821" s="1"/>
      <c r="B821" s="1" t="str">
        <v>Sous-total fictif 148</v>
      </c>
      <c r="C821" s="1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>
      <c r="A822" s="1"/>
      <c r="B822" s="6" t="str">
        <v>Section fictive 149</v>
      </c>
      <c r="C822" s="1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>
      <c r="A823" s="1"/>
      <c r="B823" s="1" t="str">
        <v>Ligne fictive 0421</v>
      </c>
      <c r="C823" s="1" t="str">
        <v>u</v>
      </c>
      <c r="D823" s="5" t="n">
        <v>1</v>
      </c>
      <c r="E823" s="5" t="n">
        <f>G823*$L$2+J823*$M$2*$O$2</f>
        <v>15.015</v>
      </c>
      <c r="F823" s="5" t="n">
        <f>ROUND(D823*E823,2)</f>
        <v>15.02</v>
      </c>
      <c r="G823" s="5" t="n">
        <v>6.55</v>
      </c>
      <c r="H823" s="5" t="n">
        <f>D823*G823</f>
        <v>6.55</v>
      </c>
      <c r="I823" s="5" t="n">
        <v>0.125</v>
      </c>
      <c r="J823" s="5" t="n">
        <f>I823*(1+$N$2)</f>
        <v>0.125</v>
      </c>
      <c r="K823" s="5" t="n">
        <f>D823*J823</f>
        <v>0.125</v>
      </c>
      <c r="L823" s="5"/>
      <c r="M823" s="5"/>
      <c r="N823" s="5"/>
      <c r="O823" s="5"/>
    </row>
    <row r="824">
      <c r="A824" s="1"/>
      <c r="B824" s="1" t="str">
        <v>Ligne fictive 0422</v>
      </c>
      <c r="C824" s="1" t="str">
        <v>ml</v>
      </c>
      <c r="D824" s="5" t="n">
        <v>2</v>
      </c>
      <c r="E824" s="5" t="n">
        <f>G824*$L$2+J824*$M$2*$O$2</f>
        <v>21.996000000000002</v>
      </c>
      <c r="F824" s="5" t="n">
        <f>ROUND(D824*E824,2)</f>
        <v>43.99</v>
      </c>
      <c r="G824" s="5" t="n">
        <v>6.92</v>
      </c>
      <c r="H824" s="5" t="n">
        <f>D824*G824</f>
        <v>13.84</v>
      </c>
      <c r="I824" s="5" t="n">
        <v>0.25</v>
      </c>
      <c r="J824" s="5" t="n">
        <f>I824*(1+$N$2)</f>
        <v>0.25</v>
      </c>
      <c r="K824" s="5" t="n">
        <f>D824*J824</f>
        <v>0.5</v>
      </c>
      <c r="L824" s="5"/>
      <c r="M824" s="5"/>
      <c r="N824" s="5"/>
      <c r="O824" s="5"/>
    </row>
    <row r="825">
      <c r="A825" s="1"/>
      <c r="B825" s="1" t="str">
        <v>Ligne fictive 0423</v>
      </c>
      <c r="C825" s="1" t="str">
        <v>m2</v>
      </c>
      <c r="D825" s="5" t="n">
        <v>3</v>
      </c>
      <c r="E825" s="5" t="n">
        <f>G825*$L$2+J825*$M$2*$O$2</f>
        <v>28.977</v>
      </c>
      <c r="F825" s="5" t="n">
        <f>ROUND(D825*E825,2)</f>
        <v>86.93</v>
      </c>
      <c r="G825" s="5" t="n">
        <v>7.29</v>
      </c>
      <c r="H825" s="5" t="n">
        <f>D825*G825</f>
        <v>21.87</v>
      </c>
      <c r="I825" s="5" t="n">
        <v>0.375</v>
      </c>
      <c r="J825" s="5" t="n">
        <f>I825*(1+$N$2)</f>
        <v>0.375</v>
      </c>
      <c r="K825" s="5" t="n">
        <f>D825*J825</f>
        <v>1.125</v>
      </c>
      <c r="L825" s="5"/>
      <c r="M825" s="5"/>
      <c r="N825" s="5"/>
      <c r="O825" s="5"/>
    </row>
    <row r="826">
      <c r="A826" s="1"/>
      <c r="B826" s="1" t="str">
        <v>Réserve fictive 0052</v>
      </c>
      <c r="C826" s="1" t="str">
        <v>u</v>
      </c>
      <c r="D826" s="5"/>
      <c r="E826" s="5" t="n">
        <v>0</v>
      </c>
      <c r="F826" s="5" t="n">
        <v>0</v>
      </c>
      <c r="G826" s="5" t="n">
        <v>0</v>
      </c>
      <c r="H826" s="5" t="n">
        <v>0</v>
      </c>
      <c r="I826" s="5" t="n">
        <v>0</v>
      </c>
      <c r="J826" s="5" t="n">
        <v>0</v>
      </c>
      <c r="K826" s="5" t="n">
        <v>0</v>
      </c>
      <c r="L826" s="5"/>
      <c r="M826" s="5"/>
      <c r="N826" s="5"/>
      <c r="O826" s="5"/>
    </row>
    <row r="827">
      <c r="A827" s="1"/>
      <c r="B827" s="1" t="str">
        <v>Sous-total fictif 149</v>
      </c>
      <c r="C827" s="1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>
      <c r="A828" s="1"/>
      <c r="B828" s="6" t="str">
        <v>Section fictive 150</v>
      </c>
      <c r="C828" s="1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>
      <c r="A829" s="1"/>
      <c r="B829" s="1" t="str">
        <v>Ligne fictive 0424</v>
      </c>
      <c r="C829" s="1" t="str">
        <v>u</v>
      </c>
      <c r="D829" s="5" t="n">
        <v>4</v>
      </c>
      <c r="E829" s="5" t="n">
        <f>G829*$L$2+J829*$M$2*$O$2</f>
        <v>35.958</v>
      </c>
      <c r="F829" s="5" t="n">
        <f>ROUND(D829*E829,2)</f>
        <v>143.83</v>
      </c>
      <c r="G829" s="5" t="n">
        <v>7.66</v>
      </c>
      <c r="H829" s="5" t="n">
        <f>D829*G829</f>
        <v>30.64</v>
      </c>
      <c r="I829" s="5" t="n">
        <v>0.5</v>
      </c>
      <c r="J829" s="5" t="n">
        <f>I829*(1+$N$2)</f>
        <v>0.5</v>
      </c>
      <c r="K829" s="5" t="n">
        <f>D829*J829</f>
        <v>2</v>
      </c>
      <c r="L829" s="5"/>
      <c r="M829" s="5"/>
      <c r="N829" s="5"/>
      <c r="O829" s="5"/>
    </row>
    <row r="830">
      <c r="A830" s="1"/>
      <c r="B830" s="1" t="str">
        <v>Ligne fictive 0425</v>
      </c>
      <c r="C830" s="1" t="str">
        <v>ml</v>
      </c>
      <c r="D830" s="5" t="n">
        <v>5</v>
      </c>
      <c r="E830" s="5" t="n">
        <f>G830*$L$2+J830*$M$2*$O$2</f>
        <v>42.939</v>
      </c>
      <c r="F830" s="5" t="n">
        <f>ROUND(D830*E830,2)</f>
        <v>214.7</v>
      </c>
      <c r="G830" s="5" t="n">
        <v>8.03</v>
      </c>
      <c r="H830" s="5" t="n">
        <f>D830*G830</f>
        <v>40.15</v>
      </c>
      <c r="I830" s="5" t="n">
        <v>0.625</v>
      </c>
      <c r="J830" s="5" t="n">
        <f>I830*(1+$N$2)</f>
        <v>0.625</v>
      </c>
      <c r="K830" s="5" t="n">
        <f>D830*J830</f>
        <v>3.125</v>
      </c>
      <c r="L830" s="5"/>
      <c r="M830" s="5"/>
      <c r="N830" s="5"/>
      <c r="O830" s="5"/>
    </row>
    <row r="831">
      <c r="A831" s="1"/>
      <c r="B831" s="1" t="str">
        <v>Statut fictif 053</v>
      </c>
      <c r="C831" s="1" t="str">
        <v>HL</v>
      </c>
      <c r="D831" s="5" t="n">
        <v>2</v>
      </c>
      <c r="E831" s="5" t="n">
        <v>0</v>
      </c>
      <c r="F831" s="5" t="n">
        <v>0</v>
      </c>
      <c r="G831" s="5" t="n">
        <v>7.25</v>
      </c>
      <c r="H831" s="5" t="n">
        <v>0</v>
      </c>
      <c r="I831" s="5" t="n">
        <v>0.375</v>
      </c>
      <c r="J831" s="5" t="n">
        <v>0</v>
      </c>
      <c r="K831" s="5" t="n">
        <v>0</v>
      </c>
      <c r="L831" s="5"/>
      <c r="M831" s="5"/>
      <c r="N831" s="5"/>
      <c r="O831" s="5"/>
    </row>
    <row r="832">
      <c r="A832" s="1"/>
      <c r="B832" s="1" t="str">
        <v>Sous-total fictif 150</v>
      </c>
      <c r="C832" s="1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>
      <c r="A833" s="1"/>
      <c r="B833" s="6" t="str">
        <v>Section fictive 151</v>
      </c>
      <c r="C833" s="1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>
      <c r="A834" s="1"/>
      <c r="B834" s="1" t="str">
        <v>Ligne fictive 0426</v>
      </c>
      <c r="C834" s="1" t="str">
        <v>m2</v>
      </c>
      <c r="D834" s="5" t="n">
        <v>1</v>
      </c>
      <c r="E834" s="5" t="n">
        <f>G834*$L$2+J834*$M$2*$O$2</f>
        <v>9.243</v>
      </c>
      <c r="F834" s="5" t="n">
        <f>ROUND(D834*E834,2)</f>
        <v>9.24</v>
      </c>
      <c r="G834" s="5" t="n">
        <v>2.11</v>
      </c>
      <c r="H834" s="5" t="n">
        <f>D834*G834</f>
        <v>2.11</v>
      </c>
      <c r="I834" s="5" t="n">
        <v>0.125</v>
      </c>
      <c r="J834" s="5" t="n">
        <f>I834*(1+$N$2)</f>
        <v>0.125</v>
      </c>
      <c r="K834" s="5" t="n">
        <f>D834*J834</f>
        <v>0.125</v>
      </c>
      <c r="L834" s="5"/>
      <c r="M834" s="5"/>
      <c r="N834" s="5"/>
      <c r="O834" s="5"/>
    </row>
    <row r="835">
      <c r="A835" s="1"/>
      <c r="B835" s="1" t="str">
        <v>Ligne fictive 0427</v>
      </c>
      <c r="C835" s="1" t="str">
        <v>u</v>
      </c>
      <c r="D835" s="5" t="n">
        <v>2</v>
      </c>
      <c r="E835" s="5" t="n">
        <f>G835*$L$2+J835*$M$2*$O$2</f>
        <v>16.224</v>
      </c>
      <c r="F835" s="5" t="n">
        <f>ROUND(D835*E835,2)</f>
        <v>32.45</v>
      </c>
      <c r="G835" s="5" t="n">
        <v>2.48</v>
      </c>
      <c r="H835" s="5" t="n">
        <f>D835*G835</f>
        <v>4.96</v>
      </c>
      <c r="I835" s="5" t="n">
        <v>0.25</v>
      </c>
      <c r="J835" s="5" t="n">
        <f>I835*(1+$N$2)</f>
        <v>0.25</v>
      </c>
      <c r="K835" s="5" t="n">
        <f>D835*J835</f>
        <v>0.5</v>
      </c>
      <c r="L835" s="5"/>
      <c r="M835" s="5"/>
      <c r="N835" s="5"/>
      <c r="O835" s="5"/>
    </row>
    <row r="836">
      <c r="A836" s="1"/>
      <c r="B836" s="1" t="str">
        <v>Ligne fictive 0428</v>
      </c>
      <c r="C836" s="1" t="str">
        <v>ml</v>
      </c>
      <c r="D836" s="5" t="n">
        <v>3</v>
      </c>
      <c r="E836" s="5" t="n">
        <f>G836*$L$2+J836*$M$2*$O$2</f>
        <v>23.205</v>
      </c>
      <c r="F836" s="5" t="n">
        <f>ROUND(D836*E836,2)</f>
        <v>69.61</v>
      </c>
      <c r="G836" s="5" t="n">
        <v>2.85</v>
      </c>
      <c r="H836" s="5" t="n">
        <f>D836*G836</f>
        <v>8.55</v>
      </c>
      <c r="I836" s="5" t="n">
        <v>0.375</v>
      </c>
      <c r="J836" s="5" t="n">
        <f>I836*(1+$N$2)</f>
        <v>0.375</v>
      </c>
      <c r="K836" s="5" t="n">
        <f>D836*J836</f>
        <v>1.125</v>
      </c>
      <c r="L836" s="5"/>
      <c r="M836" s="5"/>
      <c r="N836" s="5"/>
      <c r="O836" s="5"/>
    </row>
    <row r="837">
      <c r="A837" s="1"/>
      <c r="B837" s="1" t="str">
        <v>Sous-total fictif 151</v>
      </c>
      <c r="C837" s="1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>
      <c r="A838" s="1"/>
      <c r="B838" s="6" t="str">
        <v>Section fictive 152</v>
      </c>
      <c r="C838" s="1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>
      <c r="A839" s="1"/>
      <c r="B839" s="1" t="str">
        <v>Ligne fictive 0429</v>
      </c>
      <c r="C839" s="1" t="str">
        <v>m2</v>
      </c>
      <c r="D839" s="5" t="n">
        <v>4</v>
      </c>
      <c r="E839" s="5" t="n">
        <f>G839*$L$2+J839*$M$2*$O$2</f>
        <v>30.186</v>
      </c>
      <c r="F839" s="5" t="n">
        <f>ROUND(D839*E839,2)</f>
        <v>120.74</v>
      </c>
      <c r="G839" s="5" t="n">
        <v>3.22</v>
      </c>
      <c r="H839" s="5" t="n">
        <f>D839*G839</f>
        <v>12.88</v>
      </c>
      <c r="I839" s="5" t="n">
        <v>0.5</v>
      </c>
      <c r="J839" s="5" t="n">
        <f>I839*(1+$N$2)</f>
        <v>0.5</v>
      </c>
      <c r="K839" s="5" t="n">
        <f>D839*J839</f>
        <v>2</v>
      </c>
      <c r="L839" s="5"/>
      <c r="M839" s="5"/>
      <c r="N839" s="5"/>
      <c r="O839" s="5"/>
    </row>
    <row r="840">
      <c r="A840" s="1"/>
      <c r="B840" s="1" t="str">
        <v>Ligne fictive 0430</v>
      </c>
      <c r="C840" s="1" t="str">
        <v>u</v>
      </c>
      <c r="D840" s="5" t="n">
        <v>5</v>
      </c>
      <c r="E840" s="5" t="n">
        <f>G840*$L$2+J840*$M$2*$O$2</f>
        <v>37.167</v>
      </c>
      <c r="F840" s="5" t="n">
        <f>ROUND(D840*E840,2)</f>
        <v>185.84</v>
      </c>
      <c r="G840" s="5" t="n">
        <v>3.59</v>
      </c>
      <c r="H840" s="5" t="n">
        <f>D840*G840</f>
        <v>17.95</v>
      </c>
      <c r="I840" s="5" t="n">
        <v>0.625</v>
      </c>
      <c r="J840" s="5" t="n">
        <f>I840*(1+$N$2)</f>
        <v>0.625</v>
      </c>
      <c r="K840" s="5" t="n">
        <f>D840*J840</f>
        <v>3.125</v>
      </c>
      <c r="L840" s="5"/>
      <c r="M840" s="5"/>
      <c r="N840" s="5"/>
      <c r="O840" s="5"/>
    </row>
    <row r="841">
      <c r="A841" s="1"/>
      <c r="B841" s="1" t="str">
        <v>Ligne fictive 0431</v>
      </c>
      <c r="C841" s="1" t="str">
        <v>ml</v>
      </c>
      <c r="D841" s="5" t="n">
        <v>1</v>
      </c>
      <c r="E841" s="5" t="n">
        <f>G841*$L$2+J841*$M$2*$O$2</f>
        <v>11.648</v>
      </c>
      <c r="F841" s="5" t="n">
        <f>ROUND(D841*E841,2)</f>
        <v>11.65</v>
      </c>
      <c r="G841" s="5" t="n">
        <v>3.96</v>
      </c>
      <c r="H841" s="5" t="n">
        <f>D841*G841</f>
        <v>3.96</v>
      </c>
      <c r="I841" s="5" t="n">
        <v>0.125</v>
      </c>
      <c r="J841" s="5" t="n">
        <f>I841*(1+$N$2)</f>
        <v>0.125</v>
      </c>
      <c r="K841" s="5" t="n">
        <f>D841*J841</f>
        <v>0.125</v>
      </c>
      <c r="L841" s="5"/>
      <c r="M841" s="5"/>
      <c r="N841" s="5"/>
      <c r="O841" s="5"/>
    </row>
    <row r="842">
      <c r="A842" s="1"/>
      <c r="B842" s="1" t="str">
        <v>Réserve fictive 0053</v>
      </c>
      <c r="C842" s="1" t="str">
        <v>u</v>
      </c>
      <c r="D842" s="5"/>
      <c r="E842" s="5" t="n">
        <v>0</v>
      </c>
      <c r="F842" s="5" t="n">
        <v>0</v>
      </c>
      <c r="G842" s="5" t="n">
        <v>0</v>
      </c>
      <c r="H842" s="5" t="n">
        <v>0</v>
      </c>
      <c r="I842" s="5" t="n">
        <v>0</v>
      </c>
      <c r="J842" s="5" t="n">
        <v>0</v>
      </c>
      <c r="K842" s="5" t="n">
        <v>0</v>
      </c>
      <c r="L842" s="5"/>
      <c r="M842" s="5"/>
      <c r="N842" s="5"/>
      <c r="O842" s="5"/>
    </row>
    <row r="843">
      <c r="A843" s="1"/>
      <c r="B843" s="1" t="str">
        <v>Sous-total fictif 152</v>
      </c>
      <c r="C843" s="1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>
      <c r="A844" s="1"/>
      <c r="B844" s="6" t="str">
        <v>Section fictive 153</v>
      </c>
      <c r="C844" s="1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>
      <c r="A845" s="1"/>
      <c r="B845" s="1" t="str">
        <v>Ligne fictive 0432</v>
      </c>
      <c r="C845" s="1" t="str">
        <v>m2</v>
      </c>
      <c r="D845" s="5" t="n">
        <v>2</v>
      </c>
      <c r="E845" s="5" t="n">
        <f>G845*$L$2+J845*$M$2*$O$2</f>
        <v>18.629</v>
      </c>
      <c r="F845" s="5" t="n">
        <f>ROUND(D845*E845,2)</f>
        <v>37.26</v>
      </c>
      <c r="G845" s="5" t="n">
        <v>4.33</v>
      </c>
      <c r="H845" s="5" t="n">
        <f>D845*G845</f>
        <v>8.66</v>
      </c>
      <c r="I845" s="5" t="n">
        <v>0.25</v>
      </c>
      <c r="J845" s="5" t="n">
        <f>I845*(1+$N$2)</f>
        <v>0.25</v>
      </c>
      <c r="K845" s="5" t="n">
        <f>D845*J845</f>
        <v>0.5</v>
      </c>
      <c r="L845" s="5"/>
      <c r="M845" s="5"/>
      <c r="N845" s="5"/>
      <c r="O845" s="5"/>
    </row>
    <row r="846">
      <c r="A846" s="1"/>
      <c r="B846" s="1" t="str">
        <v>Ligne fictive 0433</v>
      </c>
      <c r="C846" s="1" t="str">
        <v>u</v>
      </c>
      <c r="D846" s="5" t="n">
        <v>3</v>
      </c>
      <c r="E846" s="5" t="n">
        <f>G846*$L$2+J846*$M$2*$O$2</f>
        <v>25.61</v>
      </c>
      <c r="F846" s="5" t="n">
        <f>ROUND(D846*E846,2)</f>
        <v>76.83</v>
      </c>
      <c r="G846" s="5" t="n">
        <v>4.7</v>
      </c>
      <c r="H846" s="5" t="n">
        <f>D846*G846</f>
        <v>14.100000000000001</v>
      </c>
      <c r="I846" s="5" t="n">
        <v>0.375</v>
      </c>
      <c r="J846" s="5" t="n">
        <f>I846*(1+$N$2)</f>
        <v>0.375</v>
      </c>
      <c r="K846" s="5" t="n">
        <f>D846*J846</f>
        <v>1.125</v>
      </c>
      <c r="L846" s="5"/>
      <c r="M846" s="5"/>
      <c r="N846" s="5"/>
      <c r="O846" s="5"/>
    </row>
    <row r="847">
      <c r="A847" s="1"/>
      <c r="B847" s="1" t="str">
        <v>Ligne fictive 0434</v>
      </c>
      <c r="C847" s="1" t="str">
        <v>ml</v>
      </c>
      <c r="D847" s="5" t="n">
        <v>4</v>
      </c>
      <c r="E847" s="5" t="n">
        <f>G847*$L$2+J847*$M$2*$O$2</f>
        <v>32.591</v>
      </c>
      <c r="F847" s="5" t="n">
        <f>ROUND(D847*E847,2)</f>
        <v>130.36</v>
      </c>
      <c r="G847" s="5" t="n">
        <v>5.07</v>
      </c>
      <c r="H847" s="5" t="n">
        <f>D847*G847</f>
        <v>20.28</v>
      </c>
      <c r="I847" s="5" t="n">
        <v>0.5</v>
      </c>
      <c r="J847" s="5" t="n">
        <f>I847*(1+$N$2)</f>
        <v>0.5</v>
      </c>
      <c r="K847" s="5" t="n">
        <f>D847*J847</f>
        <v>2</v>
      </c>
      <c r="L847" s="5"/>
      <c r="M847" s="5"/>
      <c r="N847" s="5"/>
      <c r="O847" s="5"/>
    </row>
    <row r="848">
      <c r="A848" s="1"/>
      <c r="B848" s="1" t="str">
        <v>Statut fictif 054</v>
      </c>
      <c r="C848" s="1" t="str">
        <v>HL</v>
      </c>
      <c r="D848" s="5" t="n">
        <v>3</v>
      </c>
      <c r="E848" s="5" t="n">
        <v>0</v>
      </c>
      <c r="F848" s="5" t="n">
        <v>0</v>
      </c>
      <c r="G848" s="5" t="n">
        <v>7.25</v>
      </c>
      <c r="H848" s="5" t="n">
        <v>0</v>
      </c>
      <c r="I848" s="5" t="n">
        <v>0.375</v>
      </c>
      <c r="J848" s="5" t="n">
        <v>0</v>
      </c>
      <c r="K848" s="5" t="n">
        <v>0</v>
      </c>
      <c r="L848" s="5"/>
      <c r="M848" s="5"/>
      <c r="N848" s="5"/>
      <c r="O848" s="5"/>
    </row>
    <row r="849">
      <c r="A849" s="1"/>
      <c r="B849" s="1" t="str">
        <v>Sous-total fictif 153</v>
      </c>
      <c r="C849" s="1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>
      <c r="A850" s="1"/>
      <c r="B850" s="6" t="str">
        <v>Section fictive 154</v>
      </c>
      <c r="C850" s="1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>
      <c r="A851" s="1"/>
      <c r="B851" s="1" t="str">
        <v>Ligne fictive 0435</v>
      </c>
      <c r="C851" s="1" t="str">
        <v>m2</v>
      </c>
      <c r="D851" s="5" t="n">
        <v>5</v>
      </c>
      <c r="E851" s="5" t="n">
        <f>G851*$L$2+J851*$M$2*$O$2</f>
        <v>39.572</v>
      </c>
      <c r="F851" s="5" t="n">
        <f>ROUND(D851*E851,2)</f>
        <v>197.86</v>
      </c>
      <c r="G851" s="5" t="n">
        <v>5.44</v>
      </c>
      <c r="H851" s="5" t="n">
        <f>D851*G851</f>
        <v>27.200000000000003</v>
      </c>
      <c r="I851" s="5" t="n">
        <v>0.625</v>
      </c>
      <c r="J851" s="5" t="n">
        <f>I851*(1+$N$2)</f>
        <v>0.625</v>
      </c>
      <c r="K851" s="5" t="n">
        <f>D851*J851</f>
        <v>3.125</v>
      </c>
      <c r="L851" s="5"/>
      <c r="M851" s="5"/>
      <c r="N851" s="5"/>
      <c r="O851" s="5"/>
    </row>
    <row r="852">
      <c r="A852" s="1"/>
      <c r="B852" s="1" t="str">
        <v>Ligne fictive 0436</v>
      </c>
      <c r="C852" s="1" t="str">
        <v>u</v>
      </c>
      <c r="D852" s="5" t="n">
        <v>1</v>
      </c>
      <c r="E852" s="5" t="n">
        <f>G852*$L$2+J852*$M$2*$O$2</f>
        <v>14.053</v>
      </c>
      <c r="F852" s="5" t="n">
        <f>ROUND(D852*E852,2)</f>
        <v>14.05</v>
      </c>
      <c r="G852" s="5" t="n">
        <v>5.81</v>
      </c>
      <c r="H852" s="5" t="n">
        <f>D852*G852</f>
        <v>5.81</v>
      </c>
      <c r="I852" s="5" t="n">
        <v>0.125</v>
      </c>
      <c r="J852" s="5" t="n">
        <f>I852*(1+$N$2)</f>
        <v>0.125</v>
      </c>
      <c r="K852" s="5" t="n">
        <f>D852*J852</f>
        <v>0.125</v>
      </c>
      <c r="L852" s="5"/>
      <c r="M852" s="5"/>
      <c r="N852" s="5"/>
      <c r="O852" s="5"/>
    </row>
    <row r="853">
      <c r="A853" s="1"/>
      <c r="B853" s="1" t="str">
        <v>Ligne fictive 0437</v>
      </c>
      <c r="C853" s="1" t="str">
        <v>ml</v>
      </c>
      <c r="D853" s="5" t="n">
        <v>2</v>
      </c>
      <c r="E853" s="5" t="n">
        <f>G853*$L$2+J853*$M$2*$O$2</f>
        <v>21.034</v>
      </c>
      <c r="F853" s="5" t="n">
        <f>ROUND(D853*E853,2)</f>
        <v>42.07</v>
      </c>
      <c r="G853" s="5" t="n">
        <v>6.18</v>
      </c>
      <c r="H853" s="5" t="n">
        <f>D853*G853</f>
        <v>12.36</v>
      </c>
      <c r="I853" s="5" t="n">
        <v>0.25</v>
      </c>
      <c r="J853" s="5" t="n">
        <f>I853*(1+$N$2)</f>
        <v>0.25</v>
      </c>
      <c r="K853" s="5" t="n">
        <f>D853*J853</f>
        <v>0.5</v>
      </c>
      <c r="L853" s="5"/>
      <c r="M853" s="5"/>
      <c r="N853" s="5"/>
      <c r="O853" s="5"/>
    </row>
    <row r="854">
      <c r="A854" s="1"/>
      <c r="B854" s="1" t="str">
        <v>Réserve fictive 0054</v>
      </c>
      <c r="C854" s="1" t="str">
        <v>u</v>
      </c>
      <c r="D854" s="5"/>
      <c r="E854" s="5" t="n">
        <v>0</v>
      </c>
      <c r="F854" s="5" t="n">
        <v>0</v>
      </c>
      <c r="G854" s="5" t="n">
        <v>0</v>
      </c>
      <c r="H854" s="5" t="n">
        <v>0</v>
      </c>
      <c r="I854" s="5" t="n">
        <v>0</v>
      </c>
      <c r="J854" s="5" t="n">
        <v>0</v>
      </c>
      <c r="K854" s="5" t="n">
        <v>0</v>
      </c>
      <c r="L854" s="5"/>
      <c r="M854" s="5"/>
      <c r="N854" s="5"/>
      <c r="O854" s="5"/>
    </row>
    <row r="855">
      <c r="A855" s="1"/>
      <c r="B855" s="1" t="str">
        <v>Sous-total fictif 154</v>
      </c>
      <c r="C855" s="1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>
      <c r="A856" s="1"/>
      <c r="B856" s="6" t="str">
        <v>Section fictive 155</v>
      </c>
      <c r="C856" s="1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>
      <c r="A857" s="1"/>
      <c r="B857" s="1" t="str">
        <v>Ligne fictive 0438</v>
      </c>
      <c r="C857" s="1" t="str">
        <v>m2</v>
      </c>
      <c r="D857" s="5" t="n">
        <v>3</v>
      </c>
      <c r="E857" s="5" t="n">
        <f>G857*$L$2+J857*$M$2*$O$2</f>
        <v>28.015</v>
      </c>
      <c r="F857" s="5" t="n">
        <f>ROUND(D857*E857,2)</f>
        <v>84.05</v>
      </c>
      <c r="G857" s="5" t="n">
        <v>6.55</v>
      </c>
      <c r="H857" s="5" t="n">
        <f>D857*G857</f>
        <v>19.65</v>
      </c>
      <c r="I857" s="5" t="n">
        <v>0.375</v>
      </c>
      <c r="J857" s="5" t="n">
        <f>I857*(1+$N$2)</f>
        <v>0.375</v>
      </c>
      <c r="K857" s="5" t="n">
        <f>D857*J857</f>
        <v>1.125</v>
      </c>
      <c r="L857" s="5"/>
      <c r="M857" s="5"/>
      <c r="N857" s="5"/>
      <c r="O857" s="5"/>
    </row>
    <row r="858">
      <c r="A858" s="1"/>
      <c r="B858" s="1" t="str">
        <v>Ligne fictive 0439</v>
      </c>
      <c r="C858" s="1" t="str">
        <v>u</v>
      </c>
      <c r="D858" s="5" t="n">
        <v>4</v>
      </c>
      <c r="E858" s="5" t="n">
        <f>G858*$L$2+J858*$M$2*$O$2</f>
        <v>34.996</v>
      </c>
      <c r="F858" s="5" t="n">
        <f>ROUND(D858*E858,2)</f>
        <v>139.98</v>
      </c>
      <c r="G858" s="5" t="n">
        <v>6.92</v>
      </c>
      <c r="H858" s="5" t="n">
        <f>D858*G858</f>
        <v>27.68</v>
      </c>
      <c r="I858" s="5" t="n">
        <v>0.5</v>
      </c>
      <c r="J858" s="5" t="n">
        <f>I858*(1+$N$2)</f>
        <v>0.5</v>
      </c>
      <c r="K858" s="5" t="n">
        <f>D858*J858</f>
        <v>2</v>
      </c>
      <c r="L858" s="5"/>
      <c r="M858" s="5"/>
      <c r="N858" s="5"/>
      <c r="O858" s="5"/>
    </row>
    <row r="859">
      <c r="A859" s="1"/>
      <c r="B859" s="1" t="str">
        <v>Ligne fictive 0440</v>
      </c>
      <c r="C859" s="1" t="str">
        <v>ml</v>
      </c>
      <c r="D859" s="5" t="n">
        <v>5</v>
      </c>
      <c r="E859" s="5" t="n">
        <f>G859*$L$2+J859*$M$2*$O$2</f>
        <v>41.977000000000004</v>
      </c>
      <c r="F859" s="5" t="n">
        <f>ROUND(D859*E859,2)</f>
        <v>209.89</v>
      </c>
      <c r="G859" s="5" t="n">
        <v>7.29</v>
      </c>
      <c r="H859" s="5" t="n">
        <f>D859*G859</f>
        <v>36.45</v>
      </c>
      <c r="I859" s="5" t="n">
        <v>0.625</v>
      </c>
      <c r="J859" s="5" t="n">
        <f>I859*(1+$N$2)</f>
        <v>0.625</v>
      </c>
      <c r="K859" s="5" t="n">
        <f>D859*J859</f>
        <v>3.125</v>
      </c>
      <c r="L859" s="5"/>
      <c r="M859" s="5"/>
      <c r="N859" s="5"/>
      <c r="O859" s="5"/>
    </row>
    <row r="860">
      <c r="A860" s="1"/>
      <c r="B860" s="1" t="str">
        <v>Statut fictif 055</v>
      </c>
      <c r="C860" s="1" t="str">
        <v>HL</v>
      </c>
      <c r="D860" s="5" t="n">
        <v>1</v>
      </c>
      <c r="E860" s="5" t="n">
        <v>0</v>
      </c>
      <c r="F860" s="5" t="n">
        <v>0</v>
      </c>
      <c r="G860" s="5" t="n">
        <v>7.25</v>
      </c>
      <c r="H860" s="5" t="n">
        <v>0</v>
      </c>
      <c r="I860" s="5" t="n">
        <v>0.375</v>
      </c>
      <c r="J860" s="5" t="n">
        <v>0</v>
      </c>
      <c r="K860" s="5" t="n">
        <v>0</v>
      </c>
      <c r="L860" s="5"/>
      <c r="M860" s="5"/>
      <c r="N860" s="5"/>
      <c r="O860" s="5"/>
    </row>
    <row r="861">
      <c r="A861" s="1"/>
      <c r="B861" s="1" t="str">
        <v>Sous-total fictif 155</v>
      </c>
      <c r="C861" s="1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>
      <c r="A862" s="1"/>
      <c r="B862" s="6" t="str">
        <v>Section fictive 156</v>
      </c>
      <c r="C862" s="1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>
      <c r="A863" s="1"/>
      <c r="B863" s="1" t="str">
        <v>Ligne fictive 0441</v>
      </c>
      <c r="C863" s="1" t="str">
        <v>m2</v>
      </c>
      <c r="D863" s="5" t="n">
        <v>1</v>
      </c>
      <c r="E863" s="5" t="n">
        <f>G863*$L$2+J863*$M$2*$O$2</f>
        <v>16.458</v>
      </c>
      <c r="F863" s="5" t="n">
        <f>ROUND(D863*E863,2)</f>
        <v>16.46</v>
      </c>
      <c r="G863" s="5" t="n">
        <v>7.66</v>
      </c>
      <c r="H863" s="5" t="n">
        <f>D863*G863</f>
        <v>7.66</v>
      </c>
      <c r="I863" s="5" t="n">
        <v>0.125</v>
      </c>
      <c r="J863" s="5" t="n">
        <f>I863*(1+$N$2)</f>
        <v>0.125</v>
      </c>
      <c r="K863" s="5" t="n">
        <f>D863*J863</f>
        <v>0.125</v>
      </c>
      <c r="L863" s="5"/>
      <c r="M863" s="5"/>
      <c r="N863" s="5"/>
      <c r="O863" s="5"/>
    </row>
    <row r="864">
      <c r="A864" s="1"/>
      <c r="B864" s="1" t="str">
        <v>Ligne fictive 0442</v>
      </c>
      <c r="C864" s="1" t="str">
        <v>u</v>
      </c>
      <c r="D864" s="5" t="n">
        <v>2</v>
      </c>
      <c r="E864" s="5" t="n">
        <f>G864*$L$2+J864*$M$2*$O$2</f>
        <v>23.439</v>
      </c>
      <c r="F864" s="5" t="n">
        <f>ROUND(D864*E864,2)</f>
        <v>46.88</v>
      </c>
      <c r="G864" s="5" t="n">
        <v>8.03</v>
      </c>
      <c r="H864" s="5" t="n">
        <f>D864*G864</f>
        <v>16.06</v>
      </c>
      <c r="I864" s="5" t="n">
        <v>0.25</v>
      </c>
      <c r="J864" s="5" t="n">
        <f>I864*(1+$N$2)</f>
        <v>0.25</v>
      </c>
      <c r="K864" s="5" t="n">
        <f>D864*J864</f>
        <v>0.5</v>
      </c>
      <c r="L864" s="5"/>
      <c r="M864" s="5"/>
      <c r="N864" s="5"/>
      <c r="O864" s="5"/>
    </row>
    <row r="865">
      <c r="A865" s="1"/>
      <c r="B865" s="1" t="str">
        <v>Ligne fictive 0443</v>
      </c>
      <c r="C865" s="1" t="str">
        <v>ml</v>
      </c>
      <c r="D865" s="5" t="n">
        <v>3</v>
      </c>
      <c r="E865" s="5" t="n">
        <f>G865*$L$2+J865*$M$2*$O$2</f>
        <v>22.243</v>
      </c>
      <c r="F865" s="5" t="n">
        <f>ROUND(D865*E865,2)</f>
        <v>66.73</v>
      </c>
      <c r="G865" s="5" t="n">
        <v>2.11</v>
      </c>
      <c r="H865" s="5" t="n">
        <f>D865*G865</f>
        <v>6.33</v>
      </c>
      <c r="I865" s="5" t="n">
        <v>0.375</v>
      </c>
      <c r="J865" s="5" t="n">
        <f>I865*(1+$N$2)</f>
        <v>0.375</v>
      </c>
      <c r="K865" s="5" t="n">
        <f>D865*J865</f>
        <v>1.125</v>
      </c>
      <c r="L865" s="5"/>
      <c r="M865" s="5"/>
      <c r="N865" s="5"/>
      <c r="O865" s="5"/>
    </row>
    <row r="866">
      <c r="A866" s="1"/>
      <c r="B866" s="1" t="str">
        <v>Sous-total fictif 156</v>
      </c>
      <c r="C866" s="1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>
      <c r="A867" s="1"/>
      <c r="B867" s="6" t="str">
        <v>Section fictive 157</v>
      </c>
      <c r="C867" s="1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>
      <c r="A868" s="1"/>
      <c r="B868" s="1" t="str">
        <v>Ligne fictive 0444</v>
      </c>
      <c r="C868" s="1" t="str">
        <v>m2</v>
      </c>
      <c r="D868" s="5" t="n">
        <v>4</v>
      </c>
      <c r="E868" s="5" t="n">
        <f>G868*$L$2+J868*$M$2*$O$2</f>
        <v>29.224</v>
      </c>
      <c r="F868" s="5" t="n">
        <f>ROUND(D868*E868,2)</f>
        <v>116.9</v>
      </c>
      <c r="G868" s="5" t="n">
        <v>2.48</v>
      </c>
      <c r="H868" s="5" t="n">
        <f>D868*G868</f>
        <v>9.92</v>
      </c>
      <c r="I868" s="5" t="n">
        <v>0.5</v>
      </c>
      <c r="J868" s="5" t="n">
        <f>I868*(1+$N$2)</f>
        <v>0.5</v>
      </c>
      <c r="K868" s="5" t="n">
        <f>D868*J868</f>
        <v>2</v>
      </c>
      <c r="L868" s="5"/>
      <c r="M868" s="5"/>
      <c r="N868" s="5"/>
      <c r="O868" s="5"/>
    </row>
    <row r="869">
      <c r="A869" s="1"/>
      <c r="B869" s="1" t="str">
        <v>Ligne fictive 0445</v>
      </c>
      <c r="C869" s="1" t="str">
        <v>u</v>
      </c>
      <c r="D869" s="5" t="n">
        <v>5</v>
      </c>
      <c r="E869" s="5" t="n">
        <f>G869*$L$2+J869*$M$2*$O$2</f>
        <v>36.205</v>
      </c>
      <c r="F869" s="5" t="n">
        <f>ROUND(D869*E869,2)</f>
        <v>181.02</v>
      </c>
      <c r="G869" s="5" t="n">
        <v>2.85</v>
      </c>
      <c r="H869" s="5" t="n">
        <f>D869*G869</f>
        <v>14.25</v>
      </c>
      <c r="I869" s="5" t="n">
        <v>0.625</v>
      </c>
      <c r="J869" s="5" t="n">
        <f>I869*(1+$N$2)</f>
        <v>0.625</v>
      </c>
      <c r="K869" s="5" t="n">
        <f>D869*J869</f>
        <v>3.125</v>
      </c>
      <c r="L869" s="5"/>
      <c r="M869" s="5"/>
      <c r="N869" s="5"/>
      <c r="O869" s="5"/>
    </row>
    <row r="870">
      <c r="A870" s="1"/>
      <c r="B870" s="1" t="str">
        <v>Réserve fictive 0055</v>
      </c>
      <c r="C870" s="1" t="str">
        <v>u</v>
      </c>
      <c r="D870" s="5"/>
      <c r="E870" s="5" t="n">
        <v>0</v>
      </c>
      <c r="F870" s="5" t="n">
        <v>0</v>
      </c>
      <c r="G870" s="5" t="n">
        <v>0</v>
      </c>
      <c r="H870" s="5" t="n">
        <v>0</v>
      </c>
      <c r="I870" s="5" t="n">
        <v>0</v>
      </c>
      <c r="J870" s="5" t="n">
        <v>0</v>
      </c>
      <c r="K870" s="5" t="n">
        <v>0</v>
      </c>
      <c r="L870" s="5"/>
      <c r="M870" s="5"/>
      <c r="N870" s="5"/>
      <c r="O870" s="5"/>
    </row>
    <row r="871">
      <c r="A871" s="1"/>
      <c r="B871" s="1" t="str">
        <v>Sous-total fictif 157</v>
      </c>
      <c r="C871" s="1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>
      <c r="A872" s="1"/>
      <c r="B872" s="6" t="str">
        <v>Section fictive 158</v>
      </c>
      <c r="C872" s="1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>
      <c r="A873" s="1"/>
      <c r="B873" s="1" t="str">
        <v>Ligne fictive 0446</v>
      </c>
      <c r="C873" s="1" t="str">
        <v>ml</v>
      </c>
      <c r="D873" s="5" t="n">
        <v>1</v>
      </c>
      <c r="E873" s="5" t="n">
        <f>G873*$L$2+J873*$M$2*$O$2</f>
        <v>10.686</v>
      </c>
      <c r="F873" s="5" t="n">
        <f>ROUND(D873*E873,2)</f>
        <v>10.69</v>
      </c>
      <c r="G873" s="5" t="n">
        <v>3.22</v>
      </c>
      <c r="H873" s="5" t="n">
        <f>D873*G873</f>
        <v>3.22</v>
      </c>
      <c r="I873" s="5" t="n">
        <v>0.125</v>
      </c>
      <c r="J873" s="5" t="n">
        <f>I873*(1+$N$2)</f>
        <v>0.125</v>
      </c>
      <c r="K873" s="5" t="n">
        <f>D873*J873</f>
        <v>0.125</v>
      </c>
      <c r="L873" s="5"/>
      <c r="M873" s="5"/>
      <c r="N873" s="5"/>
      <c r="O873" s="5"/>
    </row>
    <row r="874">
      <c r="A874" s="1"/>
      <c r="B874" s="1" t="str">
        <v>Ligne fictive 0447</v>
      </c>
      <c r="C874" s="1" t="str">
        <v>m2</v>
      </c>
      <c r="D874" s="5" t="n">
        <v>2</v>
      </c>
      <c r="E874" s="5" t="n">
        <f>G874*$L$2+J874*$M$2*$O$2</f>
        <v>17.667</v>
      </c>
      <c r="F874" s="5" t="n">
        <f>ROUND(D874*E874,2)</f>
        <v>35.33</v>
      </c>
      <c r="G874" s="5" t="n">
        <v>3.59</v>
      </c>
      <c r="H874" s="5" t="n">
        <f>D874*G874</f>
        <v>7.18</v>
      </c>
      <c r="I874" s="5" t="n">
        <v>0.25</v>
      </c>
      <c r="J874" s="5" t="n">
        <f>I874*(1+$N$2)</f>
        <v>0.25</v>
      </c>
      <c r="K874" s="5" t="n">
        <f>D874*J874</f>
        <v>0.5</v>
      </c>
      <c r="L874" s="5"/>
      <c r="M874" s="5"/>
      <c r="N874" s="5"/>
      <c r="O874" s="5"/>
    </row>
    <row r="875">
      <c r="A875" s="1"/>
      <c r="B875" s="1" t="str">
        <v>Ligne fictive 0448</v>
      </c>
      <c r="C875" s="1" t="str">
        <v>u</v>
      </c>
      <c r="D875" s="5" t="n">
        <v>3</v>
      </c>
      <c r="E875" s="5" t="n">
        <f>G875*$L$2+J875*$M$2*$O$2</f>
        <v>24.648</v>
      </c>
      <c r="F875" s="5" t="n">
        <f>ROUND(D875*E875,2)</f>
        <v>73.94</v>
      </c>
      <c r="G875" s="5" t="n">
        <v>3.96</v>
      </c>
      <c r="H875" s="5" t="n">
        <f>D875*G875</f>
        <v>11.879999999999999</v>
      </c>
      <c r="I875" s="5" t="n">
        <v>0.375</v>
      </c>
      <c r="J875" s="5" t="n">
        <f>I875*(1+$N$2)</f>
        <v>0.375</v>
      </c>
      <c r="K875" s="5" t="n">
        <f>D875*J875</f>
        <v>1.125</v>
      </c>
      <c r="L875" s="5"/>
      <c r="M875" s="5"/>
      <c r="N875" s="5"/>
      <c r="O875" s="5"/>
    </row>
    <row r="876">
      <c r="A876" s="1"/>
      <c r="B876" s="1" t="str">
        <v>Statut fictif 056</v>
      </c>
      <c r="C876" s="1" t="str">
        <v>HL</v>
      </c>
      <c r="D876" s="5" t="n">
        <v>2</v>
      </c>
      <c r="E876" s="5" t="n">
        <v>0</v>
      </c>
      <c r="F876" s="5" t="n">
        <v>0</v>
      </c>
      <c r="G876" s="5" t="n">
        <v>7.25</v>
      </c>
      <c r="H876" s="5" t="n">
        <v>0</v>
      </c>
      <c r="I876" s="5" t="n">
        <v>0.375</v>
      </c>
      <c r="J876" s="5" t="n">
        <v>0</v>
      </c>
      <c r="K876" s="5" t="n">
        <v>0</v>
      </c>
      <c r="L876" s="5"/>
      <c r="M876" s="5"/>
      <c r="N876" s="5"/>
      <c r="O876" s="5"/>
    </row>
    <row r="877">
      <c r="A877" s="1"/>
      <c r="B877" s="1" t="str">
        <v>Sous-total fictif 158</v>
      </c>
      <c r="C877" s="1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>
      <c r="A878" s="1"/>
      <c r="B878" s="6" t="str">
        <v>Section fictive 159</v>
      </c>
      <c r="C878" s="1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>
      <c r="A879" s="1"/>
      <c r="B879" s="1" t="str">
        <v>Ligne fictive 0449</v>
      </c>
      <c r="C879" s="1" t="str">
        <v>ml</v>
      </c>
      <c r="D879" s="5" t="n">
        <v>4</v>
      </c>
      <c r="E879" s="5" t="n">
        <f>G879*$L$2+J879*$M$2*$O$2</f>
        <v>31.629</v>
      </c>
      <c r="F879" s="5" t="n">
        <f>ROUND(D879*E879,2)</f>
        <v>126.52</v>
      </c>
      <c r="G879" s="5" t="n">
        <v>4.33</v>
      </c>
      <c r="H879" s="5" t="n">
        <f>D879*G879</f>
        <v>17.32</v>
      </c>
      <c r="I879" s="5" t="n">
        <v>0.5</v>
      </c>
      <c r="J879" s="5" t="n">
        <f>I879*(1+$N$2)</f>
        <v>0.5</v>
      </c>
      <c r="K879" s="5" t="n">
        <f>D879*J879</f>
        <v>2</v>
      </c>
      <c r="L879" s="5"/>
      <c r="M879" s="5"/>
      <c r="N879" s="5"/>
      <c r="O879" s="5"/>
    </row>
    <row r="880">
      <c r="A880" s="1"/>
      <c r="B880" s="1" t="str">
        <v>Ligne fictive 0450</v>
      </c>
      <c r="C880" s="1" t="str">
        <v>m2</v>
      </c>
      <c r="D880" s="5" t="n">
        <v>5</v>
      </c>
      <c r="E880" s="5" t="n">
        <f>G880*$L$2+J880*$M$2*$O$2</f>
        <v>38.61</v>
      </c>
      <c r="F880" s="5" t="n">
        <f>ROUND(D880*E880,2)</f>
        <v>193.05</v>
      </c>
      <c r="G880" s="5" t="n">
        <v>4.7</v>
      </c>
      <c r="H880" s="5" t="n">
        <f>D880*G880</f>
        <v>23.5</v>
      </c>
      <c r="I880" s="5" t="n">
        <v>0.625</v>
      </c>
      <c r="J880" s="5" t="n">
        <f>I880*(1+$N$2)</f>
        <v>0.625</v>
      </c>
      <c r="K880" s="5" t="n">
        <f>D880*J880</f>
        <v>3.125</v>
      </c>
      <c r="L880" s="5"/>
      <c r="M880" s="5"/>
      <c r="N880" s="5"/>
      <c r="O880" s="5"/>
    </row>
    <row r="881">
      <c r="A881" s="1"/>
      <c r="B881" s="1" t="str">
        <v>Ligne fictive 0451</v>
      </c>
      <c r="C881" s="1" t="str">
        <v>u</v>
      </c>
      <c r="D881" s="5" t="n">
        <v>1</v>
      </c>
      <c r="E881" s="5" t="n">
        <f>G881*$L$2+J881*$M$2*$O$2</f>
        <v>13.091000000000001</v>
      </c>
      <c r="F881" s="5" t="n">
        <f>ROUND(D881*E881,2)</f>
        <v>13.09</v>
      </c>
      <c r="G881" s="5" t="n">
        <v>5.07</v>
      </c>
      <c r="H881" s="5" t="n">
        <f>D881*G881</f>
        <v>5.07</v>
      </c>
      <c r="I881" s="5" t="n">
        <v>0.125</v>
      </c>
      <c r="J881" s="5" t="n">
        <f>I881*(1+$N$2)</f>
        <v>0.125</v>
      </c>
      <c r="K881" s="5" t="n">
        <f>D881*J881</f>
        <v>0.125</v>
      </c>
      <c r="L881" s="5"/>
      <c r="M881" s="5"/>
      <c r="N881" s="5"/>
      <c r="O881" s="5"/>
    </row>
    <row r="882">
      <c r="A882" s="1"/>
      <c r="B882" s="1" t="str">
        <v>Sous-total fictif 159</v>
      </c>
      <c r="C882" s="1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>
      <c r="A883" s="1"/>
      <c r="B883" s="6" t="str">
        <v>Section fictive 160</v>
      </c>
      <c r="C883" s="1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>
      <c r="A884" s="1"/>
      <c r="B884" s="1" t="str">
        <v>Ligne fictive 0452</v>
      </c>
      <c r="C884" s="1" t="str">
        <v>ml</v>
      </c>
      <c r="D884" s="5" t="n">
        <v>2</v>
      </c>
      <c r="E884" s="5" t="n">
        <f>G884*$L$2+J884*$M$2*$O$2</f>
        <v>20.072000000000003</v>
      </c>
      <c r="F884" s="5" t="n">
        <f>ROUND(D884*E884,2)</f>
        <v>40.14</v>
      </c>
      <c r="G884" s="5" t="n">
        <v>5.44</v>
      </c>
      <c r="H884" s="5" t="n">
        <f>D884*G884</f>
        <v>10.88</v>
      </c>
      <c r="I884" s="5" t="n">
        <v>0.25</v>
      </c>
      <c r="J884" s="5" t="n">
        <f>I884*(1+$N$2)</f>
        <v>0.25</v>
      </c>
      <c r="K884" s="5" t="n">
        <f>D884*J884</f>
        <v>0.5</v>
      </c>
      <c r="L884" s="5"/>
      <c r="M884" s="5"/>
      <c r="N884" s="5"/>
      <c r="O884" s="5"/>
    </row>
    <row r="885">
      <c r="A885" s="1"/>
      <c r="B885" s="1" t="str">
        <v>Ligne fictive 0453</v>
      </c>
      <c r="C885" s="1" t="str">
        <v>m2</v>
      </c>
      <c r="D885" s="5" t="n">
        <v>3</v>
      </c>
      <c r="E885" s="5" t="n">
        <f>G885*$L$2+J885*$M$2*$O$2</f>
        <v>27.053</v>
      </c>
      <c r="F885" s="5" t="n">
        <f>ROUND(D885*E885,2)</f>
        <v>81.16</v>
      </c>
      <c r="G885" s="5" t="n">
        <v>5.81</v>
      </c>
      <c r="H885" s="5" t="n">
        <f>D885*G885</f>
        <v>17.43</v>
      </c>
      <c r="I885" s="5" t="n">
        <v>0.375</v>
      </c>
      <c r="J885" s="5" t="n">
        <f>I885*(1+$N$2)</f>
        <v>0.375</v>
      </c>
      <c r="K885" s="5" t="n">
        <f>D885*J885</f>
        <v>1.125</v>
      </c>
      <c r="L885" s="5"/>
      <c r="M885" s="5"/>
      <c r="N885" s="5"/>
      <c r="O885" s="5"/>
    </row>
    <row r="886">
      <c r="A886" s="1"/>
      <c r="B886" s="1" t="str">
        <v>Ligne fictive 0454</v>
      </c>
      <c r="C886" s="1" t="str">
        <v>u</v>
      </c>
      <c r="D886" s="5" t="n">
        <v>4</v>
      </c>
      <c r="E886" s="5" t="n">
        <f>G886*$L$2+J886*$M$2*$O$2</f>
        <v>34.034</v>
      </c>
      <c r="F886" s="5" t="n">
        <f>ROUND(D886*E886,2)</f>
        <v>136.14</v>
      </c>
      <c r="G886" s="5" t="n">
        <v>6.18</v>
      </c>
      <c r="H886" s="5" t="n">
        <f>D886*G886</f>
        <v>24.72</v>
      </c>
      <c r="I886" s="5" t="n">
        <v>0.5</v>
      </c>
      <c r="J886" s="5" t="n">
        <f>I886*(1+$N$2)</f>
        <v>0.5</v>
      </c>
      <c r="K886" s="5" t="n">
        <f>D886*J886</f>
        <v>2</v>
      </c>
      <c r="L886" s="5"/>
      <c r="M886" s="5"/>
      <c r="N886" s="5"/>
      <c r="O886" s="5"/>
    </row>
    <row r="887">
      <c r="A887" s="1"/>
      <c r="B887" s="1" t="str">
        <v>Réserve fictive 0056</v>
      </c>
      <c r="C887" s="1" t="str">
        <v>u</v>
      </c>
      <c r="D887" s="5"/>
      <c r="E887" s="5" t="n">
        <v>0</v>
      </c>
      <c r="F887" s="5" t="n">
        <v>0</v>
      </c>
      <c r="G887" s="5" t="n">
        <v>0</v>
      </c>
      <c r="H887" s="5" t="n">
        <v>0</v>
      </c>
      <c r="I887" s="5" t="n">
        <v>0</v>
      </c>
      <c r="J887" s="5" t="n">
        <v>0</v>
      </c>
      <c r="K887" s="5" t="n">
        <v>0</v>
      </c>
      <c r="L887" s="5"/>
      <c r="M887" s="5"/>
      <c r="N887" s="5"/>
      <c r="O887" s="5"/>
    </row>
    <row r="888">
      <c r="A888" s="1"/>
      <c r="B888" s="1" t="str">
        <v>Sous-total fictif 160</v>
      </c>
      <c r="C888" s="1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>
      <c r="A889" s="1"/>
      <c r="B889" s="6" t="str">
        <v>Section fictive 161</v>
      </c>
      <c r="C889" s="1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>
      <c r="A890" s="1"/>
      <c r="B890" s="1" t="str">
        <v>Ligne fictive 0455</v>
      </c>
      <c r="C890" s="1" t="str">
        <v>ml</v>
      </c>
      <c r="D890" s="5" t="n">
        <v>5</v>
      </c>
      <c r="E890" s="5" t="n">
        <f>G890*$L$2+J890*$M$2*$O$2</f>
        <v>41.015</v>
      </c>
      <c r="F890" s="5" t="n">
        <f>ROUND(D890*E890,2)</f>
        <v>205.08</v>
      </c>
      <c r="G890" s="5" t="n">
        <v>6.55</v>
      </c>
      <c r="H890" s="5" t="n">
        <f>D890*G890</f>
        <v>32.75</v>
      </c>
      <c r="I890" s="5" t="n">
        <v>0.625</v>
      </c>
      <c r="J890" s="5" t="n">
        <f>I890*(1+$N$2)</f>
        <v>0.625</v>
      </c>
      <c r="K890" s="5" t="n">
        <f>D890*J890</f>
        <v>3.125</v>
      </c>
      <c r="L890" s="5"/>
      <c r="M890" s="5"/>
      <c r="N890" s="5"/>
      <c r="O890" s="5"/>
    </row>
    <row r="891">
      <c r="A891" s="1"/>
      <c r="B891" s="1" t="str">
        <v>Ligne fictive 0456</v>
      </c>
      <c r="C891" s="1" t="str">
        <v>m2</v>
      </c>
      <c r="D891" s="5" t="n">
        <v>1</v>
      </c>
      <c r="E891" s="5" t="n">
        <f>G891*$L$2+J891*$M$2*$O$2</f>
        <v>15.496</v>
      </c>
      <c r="F891" s="5" t="n">
        <f>ROUND(D891*E891,2)</f>
        <v>15.5</v>
      </c>
      <c r="G891" s="5" t="n">
        <v>6.92</v>
      </c>
      <c r="H891" s="5" t="n">
        <f>D891*G891</f>
        <v>6.92</v>
      </c>
      <c r="I891" s="5" t="n">
        <v>0.125</v>
      </c>
      <c r="J891" s="5" t="n">
        <f>I891*(1+$N$2)</f>
        <v>0.125</v>
      </c>
      <c r="K891" s="5" t="n">
        <f>D891*J891</f>
        <v>0.125</v>
      </c>
      <c r="L891" s="5"/>
      <c r="M891" s="5"/>
      <c r="N891" s="5"/>
      <c r="O891" s="5"/>
    </row>
    <row r="892">
      <c r="A892" s="1"/>
      <c r="B892" s="1" t="str">
        <v>Ligne fictive 0457</v>
      </c>
      <c r="C892" s="1" t="str">
        <v>u</v>
      </c>
      <c r="D892" s="5" t="n">
        <v>2</v>
      </c>
      <c r="E892" s="5" t="n">
        <f>G892*$L$2+J892*$M$2*$O$2</f>
        <v>22.477</v>
      </c>
      <c r="F892" s="5" t="n">
        <f>ROUND(D892*E892,2)</f>
        <v>44.95</v>
      </c>
      <c r="G892" s="5" t="n">
        <v>7.29</v>
      </c>
      <c r="H892" s="5" t="n">
        <f>D892*G892</f>
        <v>14.58</v>
      </c>
      <c r="I892" s="5" t="n">
        <v>0.25</v>
      </c>
      <c r="J892" s="5" t="n">
        <f>I892*(1+$N$2)</f>
        <v>0.25</v>
      </c>
      <c r="K892" s="5" t="n">
        <f>D892*J892</f>
        <v>0.5</v>
      </c>
      <c r="L892" s="5"/>
      <c r="M892" s="5"/>
      <c r="N892" s="5"/>
      <c r="O892" s="5"/>
    </row>
    <row r="893">
      <c r="A893" s="1"/>
      <c r="B893" s="1" t="str">
        <v>Statut fictif 057</v>
      </c>
      <c r="C893" s="1" t="str">
        <v>HL</v>
      </c>
      <c r="D893" s="5" t="n">
        <v>3</v>
      </c>
      <c r="E893" s="5" t="n">
        <v>0</v>
      </c>
      <c r="F893" s="5" t="n">
        <v>0</v>
      </c>
      <c r="G893" s="5" t="n">
        <v>7.25</v>
      </c>
      <c r="H893" s="5" t="n">
        <v>0</v>
      </c>
      <c r="I893" s="5" t="n">
        <v>0.375</v>
      </c>
      <c r="J893" s="5" t="n">
        <v>0</v>
      </c>
      <c r="K893" s="5" t="n">
        <v>0</v>
      </c>
      <c r="L893" s="5"/>
      <c r="M893" s="5"/>
      <c r="N893" s="5"/>
      <c r="O893" s="5"/>
    </row>
    <row r="894">
      <c r="A894" s="1"/>
      <c r="B894" s="1" t="str">
        <v>Sous-total fictif 161</v>
      </c>
      <c r="C894" s="1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>
      <c r="A895" s="1"/>
      <c r="B895" s="6" t="str">
        <v>Section fictive 162</v>
      </c>
      <c r="C895" s="1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>
      <c r="A896" s="1"/>
      <c r="B896" s="1" t="str">
        <v>Ligne fictive 0458</v>
      </c>
      <c r="C896" s="1" t="str">
        <v>ml</v>
      </c>
      <c r="D896" s="5" t="n">
        <v>3</v>
      </c>
      <c r="E896" s="5" t="n">
        <f>G896*$L$2+J896*$M$2*$O$2</f>
        <v>29.458</v>
      </c>
      <c r="F896" s="5" t="n">
        <f>ROUND(D896*E896,2)</f>
        <v>88.37</v>
      </c>
      <c r="G896" s="5" t="n">
        <v>7.66</v>
      </c>
      <c r="H896" s="5" t="n">
        <f>D896*G896</f>
        <v>22.98</v>
      </c>
      <c r="I896" s="5" t="n">
        <v>0.375</v>
      </c>
      <c r="J896" s="5" t="n">
        <f>I896*(1+$N$2)</f>
        <v>0.375</v>
      </c>
      <c r="K896" s="5" t="n">
        <f>D896*J896</f>
        <v>1.125</v>
      </c>
      <c r="L896" s="5"/>
      <c r="M896" s="5"/>
      <c r="N896" s="5"/>
      <c r="O896" s="5"/>
    </row>
    <row r="897">
      <c r="A897" s="1"/>
      <c r="B897" s="1" t="str">
        <v>Ligne fictive 0459</v>
      </c>
      <c r="C897" s="1" t="str">
        <v>m2</v>
      </c>
      <c r="D897" s="5" t="n">
        <v>4</v>
      </c>
      <c r="E897" s="5" t="n">
        <f>G897*$L$2+J897*$M$2*$O$2</f>
        <v>36.439</v>
      </c>
      <c r="F897" s="5" t="n">
        <f>ROUND(D897*E897,2)</f>
        <v>145.76</v>
      </c>
      <c r="G897" s="5" t="n">
        <v>8.03</v>
      </c>
      <c r="H897" s="5" t="n">
        <f>D897*G897</f>
        <v>32.12</v>
      </c>
      <c r="I897" s="5" t="n">
        <v>0.5</v>
      </c>
      <c r="J897" s="5" t="n">
        <f>I897*(1+$N$2)</f>
        <v>0.5</v>
      </c>
      <c r="K897" s="5" t="n">
        <f>D897*J897</f>
        <v>2</v>
      </c>
      <c r="L897" s="5"/>
      <c r="M897" s="5"/>
      <c r="N897" s="5"/>
      <c r="O897" s="5"/>
    </row>
    <row r="898">
      <c r="A898" s="1"/>
      <c r="B898" s="1" t="str">
        <v>Ligne fictive 0460</v>
      </c>
      <c r="C898" s="1" t="str">
        <v>u</v>
      </c>
      <c r="D898" s="5" t="n">
        <v>5</v>
      </c>
      <c r="E898" s="5" t="n">
        <f>G898*$L$2+J898*$M$2*$O$2</f>
        <v>35.243</v>
      </c>
      <c r="F898" s="5" t="n">
        <f>ROUND(D898*E898,2)</f>
        <v>176.22</v>
      </c>
      <c r="G898" s="5" t="n">
        <v>2.11</v>
      </c>
      <c r="H898" s="5" t="n">
        <f>D898*G898</f>
        <v>10.549999999999999</v>
      </c>
      <c r="I898" s="5" t="n">
        <v>0.625</v>
      </c>
      <c r="J898" s="5" t="n">
        <f>I898*(1+$N$2)</f>
        <v>0.625</v>
      </c>
      <c r="K898" s="5" t="n">
        <f>D898*J898</f>
        <v>3.125</v>
      </c>
      <c r="L898" s="5"/>
      <c r="M898" s="5"/>
      <c r="N898" s="5"/>
      <c r="O898" s="5"/>
    </row>
    <row r="899">
      <c r="A899" s="1"/>
      <c r="B899" s="1" t="str">
        <v>Sous-total fictif 162</v>
      </c>
      <c r="C899" s="1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>
      <c r="A900" s="1"/>
      <c r="B900" s="6" t="str">
        <v>Section fictive 163</v>
      </c>
      <c r="C900" s="1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>
      <c r="A901" s="1"/>
      <c r="B901" s="1" t="str">
        <v>Ligne fictive 0461</v>
      </c>
      <c r="C901" s="1" t="str">
        <v>ml</v>
      </c>
      <c r="D901" s="5" t="n">
        <v>1</v>
      </c>
      <c r="E901" s="5" t="n">
        <f>G901*$L$2+J901*$M$2*$O$2</f>
        <v>9.724</v>
      </c>
      <c r="F901" s="5" t="n">
        <f>ROUND(D901*E901,2)</f>
        <v>9.72</v>
      </c>
      <c r="G901" s="5" t="n">
        <v>2.48</v>
      </c>
      <c r="H901" s="5" t="n">
        <f>D901*G901</f>
        <v>2.48</v>
      </c>
      <c r="I901" s="5" t="n">
        <v>0.125</v>
      </c>
      <c r="J901" s="5" t="n">
        <f>I901*(1+$N$2)</f>
        <v>0.125</v>
      </c>
      <c r="K901" s="5" t="n">
        <f>D901*J901</f>
        <v>0.125</v>
      </c>
      <c r="L901" s="5"/>
      <c r="M901" s="5"/>
      <c r="N901" s="5"/>
      <c r="O901" s="5"/>
    </row>
    <row r="902">
      <c r="A902" s="1"/>
      <c r="B902" s="1" t="str">
        <v>Ligne fictive 0462</v>
      </c>
      <c r="C902" s="1" t="str">
        <v>m2</v>
      </c>
      <c r="D902" s="5" t="n">
        <v>2</v>
      </c>
      <c r="E902" s="5" t="n">
        <f>G902*$L$2+J902*$M$2*$O$2</f>
        <v>16.705</v>
      </c>
      <c r="F902" s="5" t="n">
        <f>ROUND(D902*E902,2)</f>
        <v>33.41</v>
      </c>
      <c r="G902" s="5" t="n">
        <v>2.85</v>
      </c>
      <c r="H902" s="5" t="n">
        <f>D902*G902</f>
        <v>5.7</v>
      </c>
      <c r="I902" s="5" t="n">
        <v>0.25</v>
      </c>
      <c r="J902" s="5" t="n">
        <f>I902*(1+$N$2)</f>
        <v>0.25</v>
      </c>
      <c r="K902" s="5" t="n">
        <f>D902*J902</f>
        <v>0.5</v>
      </c>
      <c r="L902" s="5"/>
      <c r="M902" s="5"/>
      <c r="N902" s="5"/>
      <c r="O902" s="5"/>
    </row>
    <row r="903">
      <c r="A903" s="1"/>
      <c r="B903" s="1" t="str">
        <v>Réserve fictive 0057</v>
      </c>
      <c r="C903" s="1" t="str">
        <v>u</v>
      </c>
      <c r="D903" s="5"/>
      <c r="E903" s="5" t="n">
        <v>0</v>
      </c>
      <c r="F903" s="5" t="n">
        <v>0</v>
      </c>
      <c r="G903" s="5" t="n">
        <v>0</v>
      </c>
      <c r="H903" s="5" t="n">
        <v>0</v>
      </c>
      <c r="I903" s="5" t="n">
        <v>0</v>
      </c>
      <c r="J903" s="5" t="n">
        <v>0</v>
      </c>
      <c r="K903" s="5" t="n">
        <v>0</v>
      </c>
      <c r="L903" s="5"/>
      <c r="M903" s="5"/>
      <c r="N903" s="5"/>
      <c r="O903" s="5"/>
    </row>
    <row r="904">
      <c r="A904" s="1"/>
      <c r="B904" s="1" t="str">
        <v>Sous-total fictif 163</v>
      </c>
      <c r="C904" s="1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>
      <c r="A905" s="1"/>
      <c r="B905" s="6" t="str">
        <v>Section fictive 164</v>
      </c>
      <c r="C905" s="1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>
      <c r="A906" s="1"/>
      <c r="B906" s="1" t="str">
        <v>Ligne fictive 0463</v>
      </c>
      <c r="C906" s="1" t="str">
        <v>u</v>
      </c>
      <c r="D906" s="5" t="n">
        <v>3</v>
      </c>
      <c r="E906" s="5" t="n">
        <f>G906*$L$2+J906*$M$2*$O$2</f>
        <v>23.686</v>
      </c>
      <c r="F906" s="5" t="n">
        <f>ROUND(D906*E906,2)</f>
        <v>71.06</v>
      </c>
      <c r="G906" s="5" t="n">
        <v>3.22</v>
      </c>
      <c r="H906" s="5" t="n">
        <f>D906*G906</f>
        <v>9.66</v>
      </c>
      <c r="I906" s="5" t="n">
        <v>0.375</v>
      </c>
      <c r="J906" s="5" t="n">
        <f>I906*(1+$N$2)</f>
        <v>0.375</v>
      </c>
      <c r="K906" s="5" t="n">
        <f>D906*J906</f>
        <v>1.125</v>
      </c>
      <c r="L906" s="5"/>
      <c r="M906" s="5"/>
      <c r="N906" s="5"/>
      <c r="O906" s="5"/>
    </row>
    <row r="907">
      <c r="A907" s="1"/>
      <c r="B907" s="1" t="str">
        <v>Ligne fictive 0464</v>
      </c>
      <c r="C907" s="1" t="str">
        <v>ml</v>
      </c>
      <c r="D907" s="5" t="n">
        <v>4</v>
      </c>
      <c r="E907" s="5" t="n">
        <f>G907*$L$2+J907*$M$2*$O$2</f>
        <v>30.667</v>
      </c>
      <c r="F907" s="5" t="n">
        <f>ROUND(D907*E907,2)</f>
        <v>122.67</v>
      </c>
      <c r="G907" s="5" t="n">
        <v>3.59</v>
      </c>
      <c r="H907" s="5" t="n">
        <f>D907*G907</f>
        <v>14.36</v>
      </c>
      <c r="I907" s="5" t="n">
        <v>0.5</v>
      </c>
      <c r="J907" s="5" t="n">
        <f>I907*(1+$N$2)</f>
        <v>0.5</v>
      </c>
      <c r="K907" s="5" t="n">
        <f>D907*J907</f>
        <v>2</v>
      </c>
      <c r="L907" s="5"/>
      <c r="M907" s="5"/>
      <c r="N907" s="5"/>
      <c r="O907" s="5"/>
    </row>
    <row r="908">
      <c r="A908" s="1"/>
      <c r="B908" s="1" t="str">
        <v>Ligne fictive 0465</v>
      </c>
      <c r="C908" s="1" t="str">
        <v>m2</v>
      </c>
      <c r="D908" s="5" t="n">
        <v>5</v>
      </c>
      <c r="E908" s="5" t="n">
        <f>G908*$L$2+J908*$M$2*$O$2</f>
        <v>37.647999999999996</v>
      </c>
      <c r="F908" s="5" t="n">
        <f>ROUND(D908*E908,2)</f>
        <v>188.24</v>
      </c>
      <c r="G908" s="5" t="n">
        <v>3.96</v>
      </c>
      <c r="H908" s="5" t="n">
        <f>D908*G908</f>
        <v>19.8</v>
      </c>
      <c r="I908" s="5" t="n">
        <v>0.625</v>
      </c>
      <c r="J908" s="5" t="n">
        <f>I908*(1+$N$2)</f>
        <v>0.625</v>
      </c>
      <c r="K908" s="5" t="n">
        <f>D908*J908</f>
        <v>3.125</v>
      </c>
      <c r="L908" s="5"/>
      <c r="M908" s="5"/>
      <c r="N908" s="5"/>
      <c r="O908" s="5"/>
    </row>
    <row r="909">
      <c r="A909" s="1"/>
      <c r="B909" s="1" t="str">
        <v>Statut fictif 058</v>
      </c>
      <c r="C909" s="1" t="str">
        <v>HL</v>
      </c>
      <c r="D909" s="5" t="n">
        <v>1</v>
      </c>
      <c r="E909" s="5" t="n">
        <v>0</v>
      </c>
      <c r="F909" s="5" t="n">
        <v>0</v>
      </c>
      <c r="G909" s="5" t="n">
        <v>7.25</v>
      </c>
      <c r="H909" s="5" t="n">
        <v>0</v>
      </c>
      <c r="I909" s="5" t="n">
        <v>0.375</v>
      </c>
      <c r="J909" s="5" t="n">
        <v>0</v>
      </c>
      <c r="K909" s="5" t="n">
        <v>0</v>
      </c>
      <c r="L909" s="5"/>
      <c r="M909" s="5"/>
      <c r="N909" s="5"/>
      <c r="O909" s="5"/>
    </row>
    <row r="910">
      <c r="A910" s="1"/>
      <c r="B910" s="1" t="str">
        <v>Sous-total fictif 164</v>
      </c>
      <c r="C910" s="1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>
      <c r="A911" s="1"/>
      <c r="B911" s="6" t="str">
        <v>Section fictive 165</v>
      </c>
      <c r="C911" s="1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>
      <c r="A912" s="1"/>
      <c r="B912" s="1" t="str">
        <v>Ligne fictive 0466</v>
      </c>
      <c r="C912" s="1" t="str">
        <v>u</v>
      </c>
      <c r="D912" s="5" t="n">
        <v>1</v>
      </c>
      <c r="E912" s="5" t="n">
        <f>G912*$L$2+J912*$M$2*$O$2</f>
        <v>12.129000000000001</v>
      </c>
      <c r="F912" s="5" t="n">
        <f>ROUND(D912*E912,2)</f>
        <v>12.13</v>
      </c>
      <c r="G912" s="5" t="n">
        <v>4.33</v>
      </c>
      <c r="H912" s="5" t="n">
        <f>D912*G912</f>
        <v>4.33</v>
      </c>
      <c r="I912" s="5" t="n">
        <v>0.125</v>
      </c>
      <c r="J912" s="5" t="n">
        <f>I912*(1+$N$2)</f>
        <v>0.125</v>
      </c>
      <c r="K912" s="5" t="n">
        <f>D912*J912</f>
        <v>0.125</v>
      </c>
      <c r="L912" s="5"/>
      <c r="M912" s="5"/>
      <c r="N912" s="5"/>
      <c r="O912" s="5"/>
    </row>
    <row r="913">
      <c r="A913" s="1"/>
      <c r="B913" s="1" t="str">
        <v>Ligne fictive 0467</v>
      </c>
      <c r="C913" s="1" t="str">
        <v>ml</v>
      </c>
      <c r="D913" s="5" t="n">
        <v>2</v>
      </c>
      <c r="E913" s="5" t="n">
        <f>G913*$L$2+J913*$M$2*$O$2</f>
        <v>19.11</v>
      </c>
      <c r="F913" s="5" t="n">
        <f>ROUND(D913*E913,2)</f>
        <v>38.22</v>
      </c>
      <c r="G913" s="5" t="n">
        <v>4.7</v>
      </c>
      <c r="H913" s="5" t="n">
        <f>D913*G913</f>
        <v>9.4</v>
      </c>
      <c r="I913" s="5" t="n">
        <v>0.25</v>
      </c>
      <c r="J913" s="5" t="n">
        <f>I913*(1+$N$2)</f>
        <v>0.25</v>
      </c>
      <c r="K913" s="5" t="n">
        <f>D913*J913</f>
        <v>0.5</v>
      </c>
      <c r="L913" s="5"/>
      <c r="M913" s="5"/>
      <c r="N913" s="5"/>
      <c r="O913" s="5"/>
    </row>
    <row r="914">
      <c r="A914" s="1"/>
      <c r="B914" s="1" t="str">
        <v>Ligne fictive 0468</v>
      </c>
      <c r="C914" s="1" t="str">
        <v>m2</v>
      </c>
      <c r="D914" s="5" t="n">
        <v>3</v>
      </c>
      <c r="E914" s="5" t="n">
        <f>G914*$L$2+J914*$M$2*$O$2</f>
        <v>26.091</v>
      </c>
      <c r="F914" s="5" t="n">
        <f>ROUND(D914*E914,2)</f>
        <v>78.27</v>
      </c>
      <c r="G914" s="5" t="n">
        <v>5.07</v>
      </c>
      <c r="H914" s="5" t="n">
        <f>D914*G914</f>
        <v>15.21</v>
      </c>
      <c r="I914" s="5" t="n">
        <v>0.375</v>
      </c>
      <c r="J914" s="5" t="n">
        <f>I914*(1+$N$2)</f>
        <v>0.375</v>
      </c>
      <c r="K914" s="5" t="n">
        <f>D914*J914</f>
        <v>1.125</v>
      </c>
      <c r="L914" s="5"/>
      <c r="M914" s="5"/>
      <c r="N914" s="5"/>
      <c r="O914" s="5"/>
    </row>
    <row r="915">
      <c r="A915" s="1"/>
      <c r="B915" s="1" t="str">
        <v>Sous-total fictif 165</v>
      </c>
      <c r="C915" s="1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>
      <c r="A916" s="1"/>
      <c r="B916" s="6" t="str">
        <v>Section fictive 166</v>
      </c>
      <c r="C916" s="1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>
      <c r="A917" s="1"/>
      <c r="B917" s="1" t="str">
        <v>Ligne fictive 0469</v>
      </c>
      <c r="C917" s="1" t="str">
        <v>u</v>
      </c>
      <c r="D917" s="5" t="n">
        <v>4</v>
      </c>
      <c r="E917" s="5" t="n">
        <f>G917*$L$2+J917*$M$2*$O$2</f>
        <v>33.072</v>
      </c>
      <c r="F917" s="5" t="n">
        <f>ROUND(D917*E917,2)</f>
        <v>132.29</v>
      </c>
      <c r="G917" s="5" t="n">
        <v>5.44</v>
      </c>
      <c r="H917" s="5" t="n">
        <f>D917*G917</f>
        <v>21.76</v>
      </c>
      <c r="I917" s="5" t="n">
        <v>0.5</v>
      </c>
      <c r="J917" s="5" t="n">
        <f>I917*(1+$N$2)</f>
        <v>0.5</v>
      </c>
      <c r="K917" s="5" t="n">
        <f>D917*J917</f>
        <v>2</v>
      </c>
      <c r="L917" s="5"/>
      <c r="M917" s="5"/>
      <c r="N917" s="5"/>
      <c r="O917" s="5"/>
    </row>
    <row r="918">
      <c r="A918" s="1"/>
      <c r="B918" s="1" t="str">
        <v>Ligne fictive 0470</v>
      </c>
      <c r="C918" s="1" t="str">
        <v>ml</v>
      </c>
      <c r="D918" s="5" t="n">
        <v>5</v>
      </c>
      <c r="E918" s="5" t="n">
        <f>G918*$L$2+J918*$M$2*$O$2</f>
        <v>40.053</v>
      </c>
      <c r="F918" s="5" t="n">
        <f>ROUND(D918*E918,2)</f>
        <v>200.27</v>
      </c>
      <c r="G918" s="5" t="n">
        <v>5.81</v>
      </c>
      <c r="H918" s="5" t="n">
        <f>D918*G918</f>
        <v>29.049999999999997</v>
      </c>
      <c r="I918" s="5" t="n">
        <v>0.625</v>
      </c>
      <c r="J918" s="5" t="n">
        <f>I918*(1+$N$2)</f>
        <v>0.625</v>
      </c>
      <c r="K918" s="5" t="n">
        <f>D918*J918</f>
        <v>3.125</v>
      </c>
      <c r="L918" s="5"/>
      <c r="M918" s="5"/>
      <c r="N918" s="5"/>
      <c r="O918" s="5"/>
    </row>
    <row r="919">
      <c r="A919" s="1"/>
      <c r="B919" s="1" t="str">
        <v>Ligne fictive 0471</v>
      </c>
      <c r="C919" s="1" t="str">
        <v>m2</v>
      </c>
      <c r="D919" s="5" t="n">
        <v>1</v>
      </c>
      <c r="E919" s="5" t="n">
        <f>G919*$L$2+J919*$M$2*$O$2</f>
        <v>14.534</v>
      </c>
      <c r="F919" s="5" t="n">
        <f>ROUND(D919*E919,2)</f>
        <v>14.53</v>
      </c>
      <c r="G919" s="5" t="n">
        <v>6.18</v>
      </c>
      <c r="H919" s="5" t="n">
        <f>D919*G919</f>
        <v>6.18</v>
      </c>
      <c r="I919" s="5" t="n">
        <v>0.125</v>
      </c>
      <c r="J919" s="5" t="n">
        <f>I919*(1+$N$2)</f>
        <v>0.125</v>
      </c>
      <c r="K919" s="5" t="n">
        <f>D919*J919</f>
        <v>0.125</v>
      </c>
      <c r="L919" s="5"/>
      <c r="M919" s="5"/>
      <c r="N919" s="5"/>
      <c r="O919" s="5"/>
    </row>
    <row r="920">
      <c r="A920" s="1"/>
      <c r="B920" s="1" t="str">
        <v>Réserve fictive 0058</v>
      </c>
      <c r="C920" s="1" t="str">
        <v>u</v>
      </c>
      <c r="D920" s="5"/>
      <c r="E920" s="5" t="n">
        <v>0</v>
      </c>
      <c r="F920" s="5" t="n">
        <v>0</v>
      </c>
      <c r="G920" s="5" t="n">
        <v>0</v>
      </c>
      <c r="H920" s="5" t="n">
        <v>0</v>
      </c>
      <c r="I920" s="5" t="n">
        <v>0</v>
      </c>
      <c r="J920" s="5" t="n">
        <v>0</v>
      </c>
      <c r="K920" s="5" t="n">
        <v>0</v>
      </c>
      <c r="L920" s="5"/>
      <c r="M920" s="5"/>
      <c r="N920" s="5"/>
      <c r="O920" s="5"/>
    </row>
    <row r="921">
      <c r="A921" s="1"/>
      <c r="B921" s="1" t="str">
        <v>Sous-total fictif 166</v>
      </c>
      <c r="C921" s="1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>
      <c r="A922" s="1"/>
      <c r="B922" s="6" t="str">
        <v>Section fictive 167</v>
      </c>
      <c r="C922" s="1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>
      <c r="A923" s="1"/>
      <c r="B923" s="1" t="str">
        <v>Ligne fictive 0472</v>
      </c>
      <c r="C923" s="1" t="str">
        <v>u</v>
      </c>
      <c r="D923" s="5" t="n">
        <v>2</v>
      </c>
      <c r="E923" s="5" t="n">
        <f>G923*$L$2+J923*$M$2*$O$2</f>
        <v>21.515</v>
      </c>
      <c r="F923" s="5" t="n">
        <f>ROUND(D923*E923,2)</f>
        <v>43.03</v>
      </c>
      <c r="G923" s="5" t="n">
        <v>6.55</v>
      </c>
      <c r="H923" s="5" t="n">
        <f>D923*G923</f>
        <v>13.1</v>
      </c>
      <c r="I923" s="5" t="n">
        <v>0.25</v>
      </c>
      <c r="J923" s="5" t="n">
        <f>I923*(1+$N$2)</f>
        <v>0.25</v>
      </c>
      <c r="K923" s="5" t="n">
        <f>D923*J923</f>
        <v>0.5</v>
      </c>
      <c r="L923" s="5"/>
      <c r="M923" s="5"/>
      <c r="N923" s="5"/>
      <c r="O923" s="5"/>
    </row>
    <row r="924">
      <c r="A924" s="1"/>
      <c r="B924" s="1" t="str">
        <v>Ligne fictive 0473</v>
      </c>
      <c r="C924" s="1" t="str">
        <v>ml</v>
      </c>
      <c r="D924" s="5" t="n">
        <v>3</v>
      </c>
      <c r="E924" s="5" t="n">
        <f>G924*$L$2+J924*$M$2*$O$2</f>
        <v>28.496000000000002</v>
      </c>
      <c r="F924" s="5" t="n">
        <f>ROUND(D924*E924,2)</f>
        <v>85.49</v>
      </c>
      <c r="G924" s="5" t="n">
        <v>6.92</v>
      </c>
      <c r="H924" s="5" t="n">
        <f>D924*G924</f>
        <v>20.759999999999998</v>
      </c>
      <c r="I924" s="5" t="n">
        <v>0.375</v>
      </c>
      <c r="J924" s="5" t="n">
        <f>I924*(1+$N$2)</f>
        <v>0.375</v>
      </c>
      <c r="K924" s="5" t="n">
        <f>D924*J924</f>
        <v>1.125</v>
      </c>
      <c r="L924" s="5"/>
      <c r="M924" s="5"/>
      <c r="N924" s="5"/>
      <c r="O924" s="5"/>
    </row>
    <row r="925">
      <c r="A925" s="1"/>
      <c r="B925" s="1" t="str">
        <v>Ligne fictive 0474</v>
      </c>
      <c r="C925" s="1" t="str">
        <v>m2</v>
      </c>
      <c r="D925" s="5" t="n">
        <v>4</v>
      </c>
      <c r="E925" s="5" t="n">
        <f>G925*$L$2+J925*$M$2*$O$2</f>
        <v>35.477000000000004</v>
      </c>
      <c r="F925" s="5" t="n">
        <f>ROUND(D925*E925,2)</f>
        <v>141.91</v>
      </c>
      <c r="G925" s="5" t="n">
        <v>7.29</v>
      </c>
      <c r="H925" s="5" t="n">
        <f>D925*G925</f>
        <v>29.16</v>
      </c>
      <c r="I925" s="5" t="n">
        <v>0.5</v>
      </c>
      <c r="J925" s="5" t="n">
        <f>I925*(1+$N$2)</f>
        <v>0.5</v>
      </c>
      <c r="K925" s="5" t="n">
        <f>D925*J925</f>
        <v>2</v>
      </c>
      <c r="L925" s="5"/>
      <c r="M925" s="5"/>
      <c r="N925" s="5"/>
      <c r="O925" s="5"/>
    </row>
    <row r="926">
      <c r="A926" s="1"/>
      <c r="B926" s="1" t="str">
        <v>Statut fictif 059</v>
      </c>
      <c r="C926" s="1" t="str">
        <v>HL</v>
      </c>
      <c r="D926" s="5" t="n">
        <v>2</v>
      </c>
      <c r="E926" s="5" t="n">
        <v>0</v>
      </c>
      <c r="F926" s="5" t="n">
        <v>0</v>
      </c>
      <c r="G926" s="5" t="n">
        <v>7.25</v>
      </c>
      <c r="H926" s="5" t="n">
        <v>0</v>
      </c>
      <c r="I926" s="5" t="n">
        <v>0.375</v>
      </c>
      <c r="J926" s="5" t="n">
        <v>0</v>
      </c>
      <c r="K926" s="5" t="n">
        <v>0</v>
      </c>
      <c r="L926" s="5"/>
      <c r="M926" s="5"/>
      <c r="N926" s="5"/>
      <c r="O926" s="5"/>
    </row>
    <row r="927">
      <c r="A927" s="1"/>
      <c r="B927" s="1" t="str">
        <v>Sous-total fictif 167</v>
      </c>
      <c r="C927" s="1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>
      <c r="A928" s="1"/>
      <c r="B928" s="6" t="str">
        <v>Section fictive 168</v>
      </c>
      <c r="C928" s="1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>
      <c r="A929" s="1"/>
      <c r="B929" s="1" t="str">
        <v>Ligne fictive 0475</v>
      </c>
      <c r="C929" s="1" t="str">
        <v>u</v>
      </c>
      <c r="D929" s="5" t="n">
        <v>5</v>
      </c>
      <c r="E929" s="5" t="n">
        <f>G929*$L$2+J929*$M$2*$O$2</f>
        <v>42.458</v>
      </c>
      <c r="F929" s="5" t="n">
        <f>ROUND(D929*E929,2)</f>
        <v>212.29</v>
      </c>
      <c r="G929" s="5" t="n">
        <v>7.66</v>
      </c>
      <c r="H929" s="5" t="n">
        <f>D929*G929</f>
        <v>38.3</v>
      </c>
      <c r="I929" s="5" t="n">
        <v>0.625</v>
      </c>
      <c r="J929" s="5" t="n">
        <f>I929*(1+$N$2)</f>
        <v>0.625</v>
      </c>
      <c r="K929" s="5" t="n">
        <f>D929*J929</f>
        <v>3.125</v>
      </c>
      <c r="L929" s="5"/>
      <c r="M929" s="5"/>
      <c r="N929" s="5"/>
      <c r="O929" s="5"/>
    </row>
    <row r="930">
      <c r="A930" s="1"/>
      <c r="B930" s="1" t="str">
        <v>Ligne fictive 0476</v>
      </c>
      <c r="C930" s="1" t="str">
        <v>ml</v>
      </c>
      <c r="D930" s="5" t="n">
        <v>1</v>
      </c>
      <c r="E930" s="5" t="n">
        <f>G930*$L$2+J930*$M$2*$O$2</f>
        <v>16.939</v>
      </c>
      <c r="F930" s="5" t="n">
        <f>ROUND(D930*E930,2)</f>
        <v>16.94</v>
      </c>
      <c r="G930" s="5" t="n">
        <v>8.03</v>
      </c>
      <c r="H930" s="5" t="n">
        <f>D930*G930</f>
        <v>8.03</v>
      </c>
      <c r="I930" s="5" t="n">
        <v>0.125</v>
      </c>
      <c r="J930" s="5" t="n">
        <f>I930*(1+$N$2)</f>
        <v>0.125</v>
      </c>
      <c r="K930" s="5" t="n">
        <f>D930*J930</f>
        <v>0.125</v>
      </c>
      <c r="L930" s="5"/>
      <c r="M930" s="5"/>
      <c r="N930" s="5"/>
      <c r="O930" s="5"/>
    </row>
    <row r="931">
      <c r="A931" s="1"/>
      <c r="B931" s="1" t="str">
        <v>Ligne fictive 0477</v>
      </c>
      <c r="C931" s="1" t="str">
        <v>m2</v>
      </c>
      <c r="D931" s="5" t="n">
        <v>2</v>
      </c>
      <c r="E931" s="5" t="n">
        <f>G931*$L$2+J931*$M$2*$O$2</f>
        <v>15.743</v>
      </c>
      <c r="F931" s="5" t="n">
        <f>ROUND(D931*E931,2)</f>
        <v>31.49</v>
      </c>
      <c r="G931" s="5" t="n">
        <v>2.11</v>
      </c>
      <c r="H931" s="5" t="n">
        <f>D931*G931</f>
        <v>4.22</v>
      </c>
      <c r="I931" s="5" t="n">
        <v>0.25</v>
      </c>
      <c r="J931" s="5" t="n">
        <f>I931*(1+$N$2)</f>
        <v>0.25</v>
      </c>
      <c r="K931" s="5" t="n">
        <f>D931*J931</f>
        <v>0.5</v>
      </c>
      <c r="L931" s="5"/>
      <c r="M931" s="5"/>
      <c r="N931" s="5"/>
      <c r="O931" s="5"/>
    </row>
    <row r="932">
      <c r="A932" s="1"/>
      <c r="B932" s="1" t="str">
        <v>Sous-total fictif 168</v>
      </c>
      <c r="C932" s="1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>
      <c r="A933" s="1"/>
      <c r="B933" s="6" t="str">
        <v>Section fictive 169</v>
      </c>
      <c r="C933" s="1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>
      <c r="A934" s="1"/>
      <c r="B934" s="1" t="str">
        <v>Ligne fictive 0478</v>
      </c>
      <c r="C934" s="1" t="str">
        <v>u</v>
      </c>
      <c r="D934" s="5" t="n">
        <v>3</v>
      </c>
      <c r="E934" s="5" t="n">
        <f>G934*$L$2+J934*$M$2*$O$2</f>
        <v>22.724</v>
      </c>
      <c r="F934" s="5" t="n">
        <f>ROUND(D934*E934,2)</f>
        <v>68.17</v>
      </c>
      <c r="G934" s="5" t="n">
        <v>2.48</v>
      </c>
      <c r="H934" s="5" t="n">
        <f>D934*G934</f>
        <v>7.4399999999999995</v>
      </c>
      <c r="I934" s="5" t="n">
        <v>0.375</v>
      </c>
      <c r="J934" s="5" t="n">
        <f>I934*(1+$N$2)</f>
        <v>0.375</v>
      </c>
      <c r="K934" s="5" t="n">
        <f>D934*J934</f>
        <v>1.125</v>
      </c>
      <c r="L934" s="5"/>
      <c r="M934" s="5"/>
      <c r="N934" s="5"/>
      <c r="O934" s="5"/>
    </row>
    <row r="935">
      <c r="A935" s="1"/>
      <c r="B935" s="1" t="str">
        <v>Ligne fictive 0479</v>
      </c>
      <c r="C935" s="1" t="str">
        <v>ml</v>
      </c>
      <c r="D935" s="5" t="n">
        <v>4</v>
      </c>
      <c r="E935" s="5" t="n">
        <f>G935*$L$2+J935*$M$2*$O$2</f>
        <v>29.705</v>
      </c>
      <c r="F935" s="5" t="n">
        <f>ROUND(D935*E935,2)</f>
        <v>118.82</v>
      </c>
      <c r="G935" s="5" t="n">
        <v>2.85</v>
      </c>
      <c r="H935" s="5" t="n">
        <f>D935*G935</f>
        <v>11.4</v>
      </c>
      <c r="I935" s="5" t="n">
        <v>0.5</v>
      </c>
      <c r="J935" s="5" t="n">
        <f>I935*(1+$N$2)</f>
        <v>0.5</v>
      </c>
      <c r="K935" s="5" t="n">
        <f>D935*J935</f>
        <v>2</v>
      </c>
      <c r="L935" s="5"/>
      <c r="M935" s="5"/>
      <c r="N935" s="5"/>
      <c r="O935" s="5"/>
    </row>
    <row r="936">
      <c r="A936" s="1"/>
      <c r="B936" s="1" t="str">
        <v>Réserve fictive 0059</v>
      </c>
      <c r="C936" s="1" t="str">
        <v>u</v>
      </c>
      <c r="D936" s="5"/>
      <c r="E936" s="5" t="n">
        <v>0</v>
      </c>
      <c r="F936" s="5" t="n">
        <v>0</v>
      </c>
      <c r="G936" s="5" t="n">
        <v>0</v>
      </c>
      <c r="H936" s="5" t="n">
        <v>0</v>
      </c>
      <c r="I936" s="5" t="n">
        <v>0</v>
      </c>
      <c r="J936" s="5" t="n">
        <v>0</v>
      </c>
      <c r="K936" s="5" t="n">
        <v>0</v>
      </c>
      <c r="L936" s="5"/>
      <c r="M936" s="5"/>
      <c r="N936" s="5"/>
      <c r="O936" s="5"/>
    </row>
    <row r="937">
      <c r="A937" s="1"/>
      <c r="B937" s="1" t="str">
        <v>Sous-total fictif 169</v>
      </c>
      <c r="C937" s="1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>
      <c r="A938" s="1"/>
      <c r="B938" s="6" t="str">
        <v>Section fictive 170</v>
      </c>
      <c r="C938" s="1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>
      <c r="A939" s="1"/>
      <c r="B939" s="1" t="str">
        <v>Ligne fictive 0480</v>
      </c>
      <c r="C939" s="1" t="str">
        <v>m2</v>
      </c>
      <c r="D939" s="5" t="n">
        <v>5</v>
      </c>
      <c r="E939" s="5" t="n">
        <f>G939*$L$2+J939*$M$2*$O$2</f>
        <v>36.686</v>
      </c>
      <c r="F939" s="5" t="n">
        <f>ROUND(D939*E939,2)</f>
        <v>183.43</v>
      </c>
      <c r="G939" s="5" t="n">
        <v>3.22</v>
      </c>
      <c r="H939" s="5" t="n">
        <f>D939*G939</f>
        <v>16.1</v>
      </c>
      <c r="I939" s="5" t="n">
        <v>0.625</v>
      </c>
      <c r="J939" s="5" t="n">
        <f>I939*(1+$N$2)</f>
        <v>0.625</v>
      </c>
      <c r="K939" s="5" t="n">
        <f>D939*J939</f>
        <v>3.125</v>
      </c>
      <c r="L939" s="5"/>
      <c r="M939" s="5"/>
      <c r="N939" s="5"/>
      <c r="O939" s="5"/>
    </row>
    <row r="940">
      <c r="A940" s="1"/>
      <c r="B940" s="1" t="str">
        <v>Ligne fictive 0481</v>
      </c>
      <c r="C940" s="1" t="str">
        <v>u</v>
      </c>
      <c r="D940" s="5" t="n">
        <v>1</v>
      </c>
      <c r="E940" s="5" t="n">
        <f>G940*$L$2+J940*$M$2*$O$2</f>
        <v>11.167</v>
      </c>
      <c r="F940" s="5" t="n">
        <f>ROUND(D940*E940,2)</f>
        <v>11.17</v>
      </c>
      <c r="G940" s="5" t="n">
        <v>3.59</v>
      </c>
      <c r="H940" s="5" t="n">
        <f>D940*G940</f>
        <v>3.59</v>
      </c>
      <c r="I940" s="5" t="n">
        <v>0.125</v>
      </c>
      <c r="J940" s="5" t="n">
        <f>I940*(1+$N$2)</f>
        <v>0.125</v>
      </c>
      <c r="K940" s="5" t="n">
        <f>D940*J940</f>
        <v>0.125</v>
      </c>
      <c r="L940" s="5"/>
      <c r="M940" s="5"/>
      <c r="N940" s="5"/>
      <c r="O940" s="5"/>
    </row>
    <row r="941">
      <c r="A941" s="1"/>
      <c r="B941" s="1" t="str">
        <v>Ligne fictive 0482</v>
      </c>
      <c r="C941" s="1" t="str">
        <v>ml</v>
      </c>
      <c r="D941" s="5" t="n">
        <v>2</v>
      </c>
      <c r="E941" s="5" t="n">
        <f>G941*$L$2+J941*$M$2*$O$2</f>
        <v>18.148</v>
      </c>
      <c r="F941" s="5" t="n">
        <f>ROUND(D941*E941,2)</f>
        <v>36.3</v>
      </c>
      <c r="G941" s="5" t="n">
        <v>3.96</v>
      </c>
      <c r="H941" s="5" t="n">
        <f>D941*G941</f>
        <v>7.92</v>
      </c>
      <c r="I941" s="5" t="n">
        <v>0.25</v>
      </c>
      <c r="J941" s="5" t="n">
        <f>I941*(1+$N$2)</f>
        <v>0.25</v>
      </c>
      <c r="K941" s="5" t="n">
        <f>D941*J941</f>
        <v>0.5</v>
      </c>
      <c r="L941" s="5"/>
      <c r="M941" s="5"/>
      <c r="N941" s="5"/>
      <c r="O941" s="5"/>
    </row>
    <row r="942">
      <c r="A942" s="1"/>
      <c r="B942" s="1" t="str">
        <v>Statut fictif 060</v>
      </c>
      <c r="C942" s="1" t="str">
        <v>HL</v>
      </c>
      <c r="D942" s="5" t="n">
        <v>3</v>
      </c>
      <c r="E942" s="5" t="n">
        <v>0</v>
      </c>
      <c r="F942" s="5" t="n">
        <v>0</v>
      </c>
      <c r="G942" s="5" t="n">
        <v>7.25</v>
      </c>
      <c r="H942" s="5" t="n">
        <v>0</v>
      </c>
      <c r="I942" s="5" t="n">
        <v>0.375</v>
      </c>
      <c r="J942" s="5" t="n">
        <v>0</v>
      </c>
      <c r="K942" s="5" t="n">
        <v>0</v>
      </c>
      <c r="L942" s="5"/>
      <c r="M942" s="5"/>
      <c r="N942" s="5"/>
      <c r="O942" s="5"/>
    </row>
    <row r="943">
      <c r="A943" s="1"/>
      <c r="B943" s="1" t="str">
        <v>Sous-total fictif 170</v>
      </c>
      <c r="C943" s="1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>
      <c r="A944" s="1"/>
      <c r="B944" s="6" t="str">
        <v>Section fictive 171</v>
      </c>
      <c r="C944" s="1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>
      <c r="A945" s="1"/>
      <c r="B945" s="1" t="str">
        <v>Ligne fictive 0483</v>
      </c>
      <c r="C945" s="1" t="str">
        <v>m2</v>
      </c>
      <c r="D945" s="5" t="n">
        <v>3</v>
      </c>
      <c r="E945" s="5" t="n">
        <f>G945*$L$2+J945*$M$2*$O$2</f>
        <v>25.129</v>
      </c>
      <c r="F945" s="5" t="n">
        <f>ROUND(D945*E945,2)</f>
        <v>75.39</v>
      </c>
      <c r="G945" s="5" t="n">
        <v>4.33</v>
      </c>
      <c r="H945" s="5" t="n">
        <f>D945*G945</f>
        <v>12.99</v>
      </c>
      <c r="I945" s="5" t="n">
        <v>0.375</v>
      </c>
      <c r="J945" s="5" t="n">
        <f>I945*(1+$N$2)</f>
        <v>0.375</v>
      </c>
      <c r="K945" s="5" t="n">
        <f>D945*J945</f>
        <v>1.125</v>
      </c>
      <c r="L945" s="5"/>
      <c r="M945" s="5"/>
      <c r="N945" s="5"/>
      <c r="O945" s="5"/>
    </row>
    <row r="946">
      <c r="A946" s="1"/>
      <c r="B946" s="1" t="str">
        <v>Ligne fictive 0484</v>
      </c>
      <c r="C946" s="1" t="str">
        <v>u</v>
      </c>
      <c r="D946" s="5" t="n">
        <v>4</v>
      </c>
      <c r="E946" s="5" t="n">
        <f>G946*$L$2+J946*$M$2*$O$2</f>
        <v>32.11</v>
      </c>
      <c r="F946" s="5" t="n">
        <f>ROUND(D946*E946,2)</f>
        <v>128.44</v>
      </c>
      <c r="G946" s="5" t="n">
        <v>4.7</v>
      </c>
      <c r="H946" s="5" t="n">
        <f>D946*G946</f>
        <v>18.8</v>
      </c>
      <c r="I946" s="5" t="n">
        <v>0.5</v>
      </c>
      <c r="J946" s="5" t="n">
        <f>I946*(1+$N$2)</f>
        <v>0.5</v>
      </c>
      <c r="K946" s="5" t="n">
        <f>D946*J946</f>
        <v>2</v>
      </c>
      <c r="L946" s="5"/>
      <c r="M946" s="5"/>
      <c r="N946" s="5"/>
      <c r="O946" s="5"/>
    </row>
    <row r="947">
      <c r="A947" s="1"/>
      <c r="B947" s="1" t="str">
        <v>Ligne fictive 0485</v>
      </c>
      <c r="C947" s="1" t="str">
        <v>ml</v>
      </c>
      <c r="D947" s="5" t="n">
        <v>5</v>
      </c>
      <c r="E947" s="5" t="n">
        <f>G947*$L$2+J947*$M$2*$O$2</f>
        <v>39.091</v>
      </c>
      <c r="F947" s="5" t="n">
        <f>ROUND(D947*E947,2)</f>
        <v>195.46</v>
      </c>
      <c r="G947" s="5" t="n">
        <v>5.07</v>
      </c>
      <c r="H947" s="5" t="n">
        <f>D947*G947</f>
        <v>25.35</v>
      </c>
      <c r="I947" s="5" t="n">
        <v>0.625</v>
      </c>
      <c r="J947" s="5" t="n">
        <f>I947*(1+$N$2)</f>
        <v>0.625</v>
      </c>
      <c r="K947" s="5" t="n">
        <f>D947*J947</f>
        <v>3.125</v>
      </c>
      <c r="L947" s="5"/>
      <c r="M947" s="5"/>
      <c r="N947" s="5"/>
      <c r="O947" s="5"/>
    </row>
    <row r="948">
      <c r="A948" s="1"/>
      <c r="B948" s="1" t="str">
        <v>Sous-total fictif 171</v>
      </c>
      <c r="C948" s="1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>
      <c r="A949" s="1"/>
      <c r="B949" s="6" t="str">
        <v>Section fictive 172</v>
      </c>
      <c r="C949" s="1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>
      <c r="A950" s="1"/>
      <c r="B950" s="1" t="str">
        <v>Ligne fictive 0486</v>
      </c>
      <c r="C950" s="1" t="str">
        <v>m2</v>
      </c>
      <c r="D950" s="5" t="n">
        <v>1</v>
      </c>
      <c r="E950" s="5" t="n">
        <f>G950*$L$2+J950*$M$2*$O$2</f>
        <v>13.572000000000001</v>
      </c>
      <c r="F950" s="5" t="n">
        <f>ROUND(D950*E950,2)</f>
        <v>13.57</v>
      </c>
      <c r="G950" s="5" t="n">
        <v>5.44</v>
      </c>
      <c r="H950" s="5" t="n">
        <f>D950*G950</f>
        <v>5.44</v>
      </c>
      <c r="I950" s="5" t="n">
        <v>0.125</v>
      </c>
      <c r="J950" s="5" t="n">
        <f>I950*(1+$N$2)</f>
        <v>0.125</v>
      </c>
      <c r="K950" s="5" t="n">
        <f>D950*J950</f>
        <v>0.125</v>
      </c>
      <c r="L950" s="5"/>
      <c r="M950" s="5"/>
      <c r="N950" s="5"/>
      <c r="O950" s="5"/>
    </row>
    <row r="951">
      <c r="A951" s="1"/>
      <c r="B951" s="1" t="str">
        <v>Ligne fictive 0487</v>
      </c>
      <c r="C951" s="1" t="str">
        <v>u</v>
      </c>
      <c r="D951" s="5" t="n">
        <v>2</v>
      </c>
      <c r="E951" s="5" t="n">
        <f>G951*$L$2+J951*$M$2*$O$2</f>
        <v>20.553</v>
      </c>
      <c r="F951" s="5" t="n">
        <f>ROUND(D951*E951,2)</f>
        <v>41.11</v>
      </c>
      <c r="G951" s="5" t="n">
        <v>5.81</v>
      </c>
      <c r="H951" s="5" t="n">
        <f>D951*G951</f>
        <v>11.62</v>
      </c>
      <c r="I951" s="5" t="n">
        <v>0.25</v>
      </c>
      <c r="J951" s="5" t="n">
        <f>I951*(1+$N$2)</f>
        <v>0.25</v>
      </c>
      <c r="K951" s="5" t="n">
        <f>D951*J951</f>
        <v>0.5</v>
      </c>
      <c r="L951" s="5"/>
      <c r="M951" s="5"/>
      <c r="N951" s="5"/>
      <c r="O951" s="5"/>
    </row>
    <row r="952">
      <c r="A952" s="1"/>
      <c r="B952" s="1" t="str">
        <v>Ligne fictive 0488</v>
      </c>
      <c r="C952" s="1" t="str">
        <v>ml</v>
      </c>
      <c r="D952" s="5" t="n">
        <v>3</v>
      </c>
      <c r="E952" s="5" t="n">
        <f>G952*$L$2+J952*$M$2*$O$2</f>
        <v>27.534</v>
      </c>
      <c r="F952" s="5" t="n">
        <f>ROUND(D952*E952,2)</f>
        <v>82.6</v>
      </c>
      <c r="G952" s="5" t="n">
        <v>6.18</v>
      </c>
      <c r="H952" s="5" t="n">
        <f>D952*G952</f>
        <v>18.54</v>
      </c>
      <c r="I952" s="5" t="n">
        <v>0.375</v>
      </c>
      <c r="J952" s="5" t="n">
        <f>I952*(1+$N$2)</f>
        <v>0.375</v>
      </c>
      <c r="K952" s="5" t="n">
        <f>D952*J952</f>
        <v>1.125</v>
      </c>
      <c r="L952" s="5"/>
      <c r="M952" s="5"/>
      <c r="N952" s="5"/>
      <c r="O952" s="5"/>
    </row>
    <row r="953">
      <c r="A953" s="1"/>
      <c r="B953" s="1" t="str">
        <v>Statut fictif 061</v>
      </c>
      <c r="C953" s="1" t="str">
        <v>HL</v>
      </c>
      <c r="D953" s="5" t="n">
        <v>1</v>
      </c>
      <c r="E953" s="5" t="n">
        <v>0</v>
      </c>
      <c r="F953" s="5" t="n">
        <v>0</v>
      </c>
      <c r="G953" s="5" t="n">
        <v>7.25</v>
      </c>
      <c r="H953" s="5" t="n">
        <v>0</v>
      </c>
      <c r="I953" s="5" t="n">
        <v>0.375</v>
      </c>
      <c r="J953" s="5" t="n">
        <v>0</v>
      </c>
      <c r="K953" s="5" t="n">
        <v>0</v>
      </c>
      <c r="L953" s="5"/>
      <c r="M953" s="5"/>
      <c r="N953" s="5"/>
      <c r="O953" s="5"/>
    </row>
    <row r="954">
      <c r="A954" s="1"/>
      <c r="B954" s="1" t="str">
        <v>Réserve fictive 0060</v>
      </c>
      <c r="C954" s="1" t="str">
        <v>u</v>
      </c>
      <c r="D954" s="5"/>
      <c r="E954" s="5" t="n">
        <v>0</v>
      </c>
      <c r="F954" s="5" t="n">
        <v>0</v>
      </c>
      <c r="G954" s="5" t="n">
        <v>0</v>
      </c>
      <c r="H954" s="5" t="n">
        <v>0</v>
      </c>
      <c r="I954" s="5" t="n">
        <v>0</v>
      </c>
      <c r="J954" s="5" t="n">
        <v>0</v>
      </c>
      <c r="K954" s="5" t="n">
        <v>0</v>
      </c>
      <c r="L954" s="5"/>
      <c r="M954" s="5"/>
      <c r="N954" s="5"/>
      <c r="O954" s="5"/>
    </row>
    <row r="955">
      <c r="A955" s="1"/>
      <c r="B955" s="1" t="str">
        <v>Sous-total fictif 172</v>
      </c>
      <c r="C955" s="1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>
      <c r="A956" s="1"/>
      <c r="B956" s="6" t="str">
        <v>Section fictive 173</v>
      </c>
      <c r="C956" s="1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>
      <c r="A957" s="1"/>
      <c r="B957" s="1" t="str">
        <v>Ligne fictive 0489</v>
      </c>
      <c r="C957" s="1" t="str">
        <v>m2</v>
      </c>
      <c r="D957" s="5" t="n">
        <v>4</v>
      </c>
      <c r="E957" s="5" t="n">
        <f>G957*$L$2+J957*$M$2*$O$2</f>
        <v>34.515</v>
      </c>
      <c r="F957" s="5" t="n">
        <f>ROUND(D957*E957,2)</f>
        <v>138.06</v>
      </c>
      <c r="G957" s="5" t="n">
        <v>6.55</v>
      </c>
      <c r="H957" s="5" t="n">
        <f>D957*G957</f>
        <v>26.2</v>
      </c>
      <c r="I957" s="5" t="n">
        <v>0.5</v>
      </c>
      <c r="J957" s="5" t="n">
        <f>I957*(1+$N$2)</f>
        <v>0.5</v>
      </c>
      <c r="K957" s="5" t="n">
        <f>D957*J957</f>
        <v>2</v>
      </c>
      <c r="L957" s="5"/>
      <c r="M957" s="5"/>
      <c r="N957" s="5"/>
      <c r="O957" s="5"/>
    </row>
    <row r="958">
      <c r="A958" s="1"/>
      <c r="B958" s="1" t="str">
        <v>Ligne fictive 0490</v>
      </c>
      <c r="C958" s="1" t="str">
        <v>u</v>
      </c>
      <c r="D958" s="5" t="n">
        <v>5</v>
      </c>
      <c r="E958" s="5" t="n">
        <f>G958*$L$2+J958*$M$2*$O$2</f>
        <v>41.496</v>
      </c>
      <c r="F958" s="5" t="n">
        <f>ROUND(D958*E958,2)</f>
        <v>207.48</v>
      </c>
      <c r="G958" s="5" t="n">
        <v>6.92</v>
      </c>
      <c r="H958" s="5" t="n">
        <f>D958*G958</f>
        <v>34.6</v>
      </c>
      <c r="I958" s="5" t="n">
        <v>0.625</v>
      </c>
      <c r="J958" s="5" t="n">
        <f>I958*(1+$N$2)</f>
        <v>0.625</v>
      </c>
      <c r="K958" s="5" t="n">
        <f>D958*J958</f>
        <v>3.125</v>
      </c>
      <c r="L958" s="5"/>
      <c r="M958" s="5"/>
      <c r="N958" s="5"/>
      <c r="O958" s="5"/>
    </row>
    <row r="959">
      <c r="A959" s="1"/>
      <c r="B959" s="1" t="str">
        <v>Ligne fictive 0491</v>
      </c>
      <c r="C959" s="1" t="str">
        <v>ml</v>
      </c>
      <c r="D959" s="5" t="n">
        <v>1</v>
      </c>
      <c r="E959" s="5" t="n">
        <f>G959*$L$2+J959*$M$2*$O$2</f>
        <v>15.977</v>
      </c>
      <c r="F959" s="5" t="n">
        <f>ROUND(D959*E959,2)</f>
        <v>15.98</v>
      </c>
      <c r="G959" s="5" t="n">
        <v>7.29</v>
      </c>
      <c r="H959" s="5" t="n">
        <f>D959*G959</f>
        <v>7.29</v>
      </c>
      <c r="I959" s="5" t="n">
        <v>0.125</v>
      </c>
      <c r="J959" s="5" t="n">
        <f>I959*(1+$N$2)</f>
        <v>0.125</v>
      </c>
      <c r="K959" s="5" t="n">
        <f>D959*J959</f>
        <v>0.125</v>
      </c>
      <c r="L959" s="5"/>
      <c r="M959" s="5"/>
      <c r="N959" s="5"/>
      <c r="O959" s="5"/>
    </row>
    <row r="960">
      <c r="A960" s="1"/>
      <c r="B960" s="1" t="str">
        <v>Sous-total fictif 173</v>
      </c>
      <c r="C960" s="1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>
      <c r="A961" s="1"/>
      <c r="B961" s="6" t="str">
        <v>Section fictive 174</v>
      </c>
      <c r="C961" s="1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>
      <c r="A962" s="1"/>
      <c r="B962" s="1" t="str">
        <v>Ligne fictive 0492</v>
      </c>
      <c r="C962" s="1" t="str">
        <v>m2</v>
      </c>
      <c r="D962" s="5" t="n">
        <v>2</v>
      </c>
      <c r="E962" s="5" t="n">
        <f>G962*$L$2+J962*$M$2*$O$2</f>
        <v>22.958</v>
      </c>
      <c r="F962" s="5" t="n">
        <f>ROUND(D962*E962,2)</f>
        <v>45.92</v>
      </c>
      <c r="G962" s="5" t="n">
        <v>7.66</v>
      </c>
      <c r="H962" s="5" t="n">
        <f>D962*G962</f>
        <v>15.32</v>
      </c>
      <c r="I962" s="5" t="n">
        <v>0.25</v>
      </c>
      <c r="J962" s="5" t="n">
        <f>I962*(1+$N$2)</f>
        <v>0.25</v>
      </c>
      <c r="K962" s="5" t="n">
        <f>D962*J962</f>
        <v>0.5</v>
      </c>
      <c r="L962" s="5"/>
      <c r="M962" s="5"/>
      <c r="N962" s="5"/>
      <c r="O962" s="5"/>
    </row>
    <row r="963">
      <c r="A963" s="1"/>
      <c r="B963" s="1" t="str">
        <v>Ligne fictive 0493</v>
      </c>
      <c r="C963" s="1" t="str">
        <v>u</v>
      </c>
      <c r="D963" s="5" t="n">
        <v>3</v>
      </c>
      <c r="E963" s="5" t="n">
        <f>G963*$L$2+J963*$M$2*$O$2</f>
        <v>29.939</v>
      </c>
      <c r="F963" s="5" t="n">
        <f>ROUND(D963*E963,2)</f>
        <v>89.82</v>
      </c>
      <c r="G963" s="5" t="n">
        <v>8.03</v>
      </c>
      <c r="H963" s="5" t="n">
        <f>D963*G963</f>
        <v>24.089999999999996</v>
      </c>
      <c r="I963" s="5" t="n">
        <v>0.375</v>
      </c>
      <c r="J963" s="5" t="n">
        <f>I963*(1+$N$2)</f>
        <v>0.375</v>
      </c>
      <c r="K963" s="5" t="n">
        <f>D963*J963</f>
        <v>1.125</v>
      </c>
      <c r="L963" s="5"/>
      <c r="M963" s="5"/>
      <c r="N963" s="5"/>
      <c r="O963" s="5"/>
    </row>
    <row r="964">
      <c r="A964" s="1"/>
      <c r="B964" s="1" t="str">
        <v>Ligne fictive 0494</v>
      </c>
      <c r="C964" s="1" t="str">
        <v>ml</v>
      </c>
      <c r="D964" s="5" t="n">
        <v>4</v>
      </c>
      <c r="E964" s="5" t="n">
        <f>G964*$L$2+J964*$M$2*$O$2</f>
        <v>28.743</v>
      </c>
      <c r="F964" s="5" t="n">
        <f>ROUND(D964*E964,2)</f>
        <v>114.97</v>
      </c>
      <c r="G964" s="5" t="n">
        <v>2.11</v>
      </c>
      <c r="H964" s="5" t="n">
        <f>D964*G964</f>
        <v>8.44</v>
      </c>
      <c r="I964" s="5" t="n">
        <v>0.5</v>
      </c>
      <c r="J964" s="5" t="n">
        <f>I964*(1+$N$2)</f>
        <v>0.5</v>
      </c>
      <c r="K964" s="5" t="n">
        <f>D964*J964</f>
        <v>2</v>
      </c>
      <c r="L964" s="5"/>
      <c r="M964" s="5"/>
      <c r="N964" s="5"/>
      <c r="O964" s="5"/>
    </row>
    <row r="965">
      <c r="A965" s="1"/>
      <c r="B965" s="1" t="str">
        <v>Réserve fictive 0061</v>
      </c>
      <c r="C965" s="1" t="str">
        <v>u</v>
      </c>
      <c r="D965" s="5"/>
      <c r="E965" s="5" t="n">
        <v>0</v>
      </c>
      <c r="F965" s="5" t="n">
        <v>0</v>
      </c>
      <c r="G965" s="5" t="n">
        <v>0</v>
      </c>
      <c r="H965" s="5" t="n">
        <v>0</v>
      </c>
      <c r="I965" s="5" t="n">
        <v>0</v>
      </c>
      <c r="J965" s="5" t="n">
        <v>0</v>
      </c>
      <c r="K965" s="5" t="n">
        <v>0</v>
      </c>
      <c r="L965" s="5"/>
      <c r="M965" s="5"/>
      <c r="N965" s="5"/>
      <c r="O965" s="5"/>
    </row>
    <row r="966">
      <c r="A966" s="1"/>
      <c r="B966" s="1" t="str">
        <v>Sous-total fictif 174</v>
      </c>
      <c r="C966" s="1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>
      <c r="A967" s="1"/>
      <c r="B967" s="6" t="str">
        <v>Section fictive 175</v>
      </c>
      <c r="C967" s="1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>
      <c r="A968" s="1"/>
      <c r="B968" s="1" t="str">
        <v>Ligne fictive 0495</v>
      </c>
      <c r="C968" s="1" t="str">
        <v>m2</v>
      </c>
      <c r="D968" s="5" t="n">
        <v>5</v>
      </c>
      <c r="E968" s="5" t="n">
        <f>G968*$L$2+J968*$M$2*$O$2</f>
        <v>35.724000000000004</v>
      </c>
      <c r="F968" s="5" t="n">
        <f>ROUND(D968*E968,2)</f>
        <v>178.62</v>
      </c>
      <c r="G968" s="5" t="n">
        <v>2.48</v>
      </c>
      <c r="H968" s="5" t="n">
        <f>D968*G968</f>
        <v>12.4</v>
      </c>
      <c r="I968" s="5" t="n">
        <v>0.625</v>
      </c>
      <c r="J968" s="5" t="n">
        <f>I968*(1+$N$2)</f>
        <v>0.625</v>
      </c>
      <c r="K968" s="5" t="n">
        <f>D968*J968</f>
        <v>3.125</v>
      </c>
      <c r="L968" s="5"/>
      <c r="M968" s="5"/>
      <c r="N968" s="5"/>
      <c r="O968" s="5"/>
    </row>
    <row r="969">
      <c r="A969" s="1"/>
      <c r="B969" s="1" t="str">
        <v>Ligne fictive 0496</v>
      </c>
      <c r="C969" s="1" t="str">
        <v>u</v>
      </c>
      <c r="D969" s="5" t="n">
        <v>1</v>
      </c>
      <c r="E969" s="5" t="n">
        <f>G969*$L$2+J969*$M$2*$O$2</f>
        <v>10.205</v>
      </c>
      <c r="F969" s="5" t="n">
        <f>ROUND(D969*E969,2)</f>
        <v>10.21</v>
      </c>
      <c r="G969" s="5" t="n">
        <v>2.85</v>
      </c>
      <c r="H969" s="5" t="n">
        <f>D969*G969</f>
        <v>2.85</v>
      </c>
      <c r="I969" s="5" t="n">
        <v>0.125</v>
      </c>
      <c r="J969" s="5" t="n">
        <f>I969*(1+$N$2)</f>
        <v>0.125</v>
      </c>
      <c r="K969" s="5" t="n">
        <f>D969*J969</f>
        <v>0.125</v>
      </c>
      <c r="L969" s="5"/>
      <c r="M969" s="5"/>
      <c r="N969" s="5"/>
      <c r="O969" s="5"/>
    </row>
    <row r="970">
      <c r="A970" s="1"/>
      <c r="B970" s="1" t="str">
        <v>Statut fictif 062</v>
      </c>
      <c r="C970" s="1" t="str">
        <v>HL</v>
      </c>
      <c r="D970" s="5" t="n">
        <v>2</v>
      </c>
      <c r="E970" s="5" t="n">
        <v>0</v>
      </c>
      <c r="F970" s="5" t="n">
        <v>0</v>
      </c>
      <c r="G970" s="5" t="n">
        <v>7.25</v>
      </c>
      <c r="H970" s="5" t="n">
        <v>0</v>
      </c>
      <c r="I970" s="5" t="n">
        <v>0.375</v>
      </c>
      <c r="J970" s="5" t="n">
        <v>0</v>
      </c>
      <c r="K970" s="5" t="n">
        <v>0</v>
      </c>
      <c r="L970" s="5"/>
      <c r="M970" s="5"/>
      <c r="N970" s="5"/>
      <c r="O970" s="5"/>
    </row>
    <row r="971">
      <c r="A971" s="1"/>
      <c r="B971" s="1" t="str">
        <v>Sous-total fictif 175</v>
      </c>
      <c r="C971" s="1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>
      <c r="A972" s="1"/>
      <c r="B972" s="6" t="str">
        <v>Section fictive 176</v>
      </c>
      <c r="C972" s="1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>
      <c r="A973" s="1"/>
      <c r="B973" s="1" t="str">
        <v>Ligne fictive 0497</v>
      </c>
      <c r="C973" s="1" t="str">
        <v>ml</v>
      </c>
      <c r="D973" s="5" t="n">
        <v>2</v>
      </c>
      <c r="E973" s="5" t="n">
        <f>G973*$L$2+J973*$M$2*$O$2</f>
        <v>17.186</v>
      </c>
      <c r="F973" s="5" t="n">
        <f>ROUND(D973*E973,2)</f>
        <v>34.37</v>
      </c>
      <c r="G973" s="5" t="n">
        <v>3.22</v>
      </c>
      <c r="H973" s="5" t="n">
        <f>D973*G973</f>
        <v>6.44</v>
      </c>
      <c r="I973" s="5" t="n">
        <v>0.25</v>
      </c>
      <c r="J973" s="5" t="n">
        <f>I973*(1+$N$2)</f>
        <v>0.25</v>
      </c>
      <c r="K973" s="5" t="n">
        <f>D973*J973</f>
        <v>0.5</v>
      </c>
      <c r="L973" s="5"/>
      <c r="M973" s="5"/>
      <c r="N973" s="5"/>
      <c r="O973" s="5"/>
    </row>
    <row r="974">
      <c r="A974" s="1"/>
      <c r="B974" s="1" t="str">
        <v>Ligne fictive 0498</v>
      </c>
      <c r="C974" s="1" t="str">
        <v>m2</v>
      </c>
      <c r="D974" s="5" t="n">
        <v>3</v>
      </c>
      <c r="E974" s="5" t="n">
        <f>G974*$L$2+J974*$M$2*$O$2</f>
        <v>24.167</v>
      </c>
      <c r="F974" s="5" t="n">
        <f>ROUND(D974*E974,2)</f>
        <v>72.5</v>
      </c>
      <c r="G974" s="5" t="n">
        <v>3.59</v>
      </c>
      <c r="H974" s="5" t="n">
        <f>D974*G974</f>
        <v>10.77</v>
      </c>
      <c r="I974" s="5" t="n">
        <v>0.375</v>
      </c>
      <c r="J974" s="5" t="n">
        <f>I974*(1+$N$2)</f>
        <v>0.375</v>
      </c>
      <c r="K974" s="5" t="n">
        <f>D974*J974</f>
        <v>1.125</v>
      </c>
      <c r="L974" s="5"/>
      <c r="M974" s="5"/>
      <c r="N974" s="5"/>
      <c r="O974" s="5"/>
    </row>
    <row r="975">
      <c r="A975" s="1"/>
      <c r="B975" s="1" t="str">
        <v>Ligne fictive 0499</v>
      </c>
      <c r="C975" s="1" t="str">
        <v>u</v>
      </c>
      <c r="D975" s="5" t="n">
        <v>4</v>
      </c>
      <c r="E975" s="5" t="n">
        <f>G975*$L$2+J975*$M$2*$O$2</f>
        <v>31.148</v>
      </c>
      <c r="F975" s="5" t="n">
        <f>ROUND(D975*E975,2)</f>
        <v>124.59</v>
      </c>
      <c r="G975" s="5" t="n">
        <v>3.96</v>
      </c>
      <c r="H975" s="5" t="n">
        <f>D975*G975</f>
        <v>15.84</v>
      </c>
      <c r="I975" s="5" t="n">
        <v>0.5</v>
      </c>
      <c r="J975" s="5" t="n">
        <f>I975*(1+$N$2)</f>
        <v>0.5</v>
      </c>
      <c r="K975" s="5" t="n">
        <f>D975*J975</f>
        <v>2</v>
      </c>
      <c r="L975" s="5"/>
      <c r="M975" s="5"/>
      <c r="N975" s="5"/>
      <c r="O975" s="5"/>
    </row>
    <row r="976">
      <c r="A976" s="1"/>
      <c r="B976" s="1" t="str">
        <v>Sous-total fictif 176</v>
      </c>
      <c r="C976" s="1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>
      <c r="A977" s="1"/>
      <c r="B977" s="6" t="str">
        <v>Section fictive 177</v>
      </c>
      <c r="C977" s="1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>
      <c r="A978" s="1"/>
      <c r="B978" s="1" t="str">
        <v>Ligne fictive 0500</v>
      </c>
      <c r="C978" s="1" t="str">
        <v>ml</v>
      </c>
      <c r="D978" s="5" t="n">
        <v>5</v>
      </c>
      <c r="E978" s="5" t="n">
        <f>G978*$L$2+J978*$M$2*$O$2</f>
        <v>38.129</v>
      </c>
      <c r="F978" s="5" t="n">
        <f>ROUND(D978*E978,2)</f>
        <v>190.65</v>
      </c>
      <c r="G978" s="5" t="n">
        <v>4.33</v>
      </c>
      <c r="H978" s="5" t="n">
        <f>D978*G978</f>
        <v>21.65</v>
      </c>
      <c r="I978" s="5" t="n">
        <v>0.625</v>
      </c>
      <c r="J978" s="5" t="n">
        <f>I978*(1+$N$2)</f>
        <v>0.625</v>
      </c>
      <c r="K978" s="5" t="n">
        <f>D978*J978</f>
        <v>3.125</v>
      </c>
      <c r="L978" s="5"/>
      <c r="M978" s="5"/>
      <c r="N978" s="5"/>
      <c r="O978" s="5"/>
    </row>
    <row r="979">
      <c r="A979" s="1"/>
      <c r="B979" s="1" t="str">
        <v>Ligne fictive 0501</v>
      </c>
      <c r="C979" s="1" t="str">
        <v>m2</v>
      </c>
      <c r="D979" s="5" t="n">
        <v>1</v>
      </c>
      <c r="E979" s="5" t="n">
        <f>G979*$L$2+J979*$M$2*$O$2</f>
        <v>12.61</v>
      </c>
      <c r="F979" s="5" t="n">
        <f>ROUND(D979*E979,2)</f>
        <v>12.61</v>
      </c>
      <c r="G979" s="5" t="n">
        <v>4.7</v>
      </c>
      <c r="H979" s="5" t="n">
        <f>D979*G979</f>
        <v>4.7</v>
      </c>
      <c r="I979" s="5" t="n">
        <v>0.125</v>
      </c>
      <c r="J979" s="5" t="n">
        <f>I979*(1+$N$2)</f>
        <v>0.125</v>
      </c>
      <c r="K979" s="5" t="n">
        <f>D979*J979</f>
        <v>0.125</v>
      </c>
      <c r="L979" s="5"/>
      <c r="M979" s="5"/>
      <c r="N979" s="5"/>
      <c r="O979" s="5"/>
    </row>
    <row r="980">
      <c r="A980" s="1"/>
      <c r="B980" s="1" t="str">
        <v>Ligne fictive 0502</v>
      </c>
      <c r="C980" s="1" t="str">
        <v>u</v>
      </c>
      <c r="D980" s="5" t="n">
        <v>2</v>
      </c>
      <c r="E980" s="5" t="n">
        <f>G980*$L$2+J980*$M$2*$O$2</f>
        <v>19.591</v>
      </c>
      <c r="F980" s="5" t="n">
        <f>ROUND(D980*E980,2)</f>
        <v>39.18</v>
      </c>
      <c r="G980" s="5" t="n">
        <v>5.07</v>
      </c>
      <c r="H980" s="5" t="n">
        <f>D980*G980</f>
        <v>10.14</v>
      </c>
      <c r="I980" s="5" t="n">
        <v>0.25</v>
      </c>
      <c r="J980" s="5" t="n">
        <f>I980*(1+$N$2)</f>
        <v>0.25</v>
      </c>
      <c r="K980" s="5" t="n">
        <f>D980*J980</f>
        <v>0.5</v>
      </c>
      <c r="L980" s="5"/>
      <c r="M980" s="5"/>
      <c r="N980" s="5"/>
      <c r="O980" s="5"/>
    </row>
    <row r="981">
      <c r="A981" s="1"/>
      <c r="B981" s="1" t="str">
        <v>Réserve fictive 0062</v>
      </c>
      <c r="C981" s="1" t="str">
        <v>u</v>
      </c>
      <c r="D981" s="5"/>
      <c r="E981" s="5" t="n">
        <v>0</v>
      </c>
      <c r="F981" s="5" t="n">
        <v>0</v>
      </c>
      <c r="G981" s="5" t="n">
        <v>0</v>
      </c>
      <c r="H981" s="5" t="n">
        <v>0</v>
      </c>
      <c r="I981" s="5" t="n">
        <v>0</v>
      </c>
      <c r="J981" s="5" t="n">
        <v>0</v>
      </c>
      <c r="K981" s="5" t="n">
        <v>0</v>
      </c>
      <c r="L981" s="5"/>
      <c r="M981" s="5"/>
      <c r="N981" s="5"/>
      <c r="O981" s="5"/>
    </row>
    <row r="982">
      <c r="A982" s="1"/>
      <c r="B982" s="1" t="str">
        <v>Sous-total fictif 177</v>
      </c>
      <c r="C982" s="1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>
      <c r="A983" s="1"/>
      <c r="B983" s="6" t="str">
        <v>Section fictive 178</v>
      </c>
      <c r="C983" s="1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>
      <c r="A984" s="1"/>
      <c r="B984" s="1" t="str">
        <v>Ligne fictive 0503</v>
      </c>
      <c r="C984" s="1" t="str">
        <v>ml</v>
      </c>
      <c r="D984" s="5" t="n">
        <v>3</v>
      </c>
      <c r="E984" s="5" t="n">
        <f>G984*$L$2+J984*$M$2*$O$2</f>
        <v>26.572000000000003</v>
      </c>
      <c r="F984" s="5" t="n">
        <f>ROUND(D984*E984,2)</f>
        <v>79.72</v>
      </c>
      <c r="G984" s="5" t="n">
        <v>5.44</v>
      </c>
      <c r="H984" s="5" t="n">
        <f>D984*G984</f>
        <v>16.32</v>
      </c>
      <c r="I984" s="5" t="n">
        <v>0.375</v>
      </c>
      <c r="J984" s="5" t="n">
        <f>I984*(1+$N$2)</f>
        <v>0.375</v>
      </c>
      <c r="K984" s="5" t="n">
        <f>D984*J984</f>
        <v>1.125</v>
      </c>
      <c r="L984" s="5"/>
      <c r="M984" s="5"/>
      <c r="N984" s="5"/>
      <c r="O984" s="5"/>
    </row>
    <row r="985">
      <c r="A985" s="1"/>
      <c r="B985" s="1" t="str">
        <v>Ligne fictive 0504</v>
      </c>
      <c r="C985" s="1" t="str">
        <v>m2</v>
      </c>
      <c r="D985" s="5" t="n">
        <v>4</v>
      </c>
      <c r="E985" s="5" t="n">
        <f>G985*$L$2+J985*$M$2*$O$2</f>
        <v>33.553</v>
      </c>
      <c r="F985" s="5" t="n">
        <f>ROUND(D985*E985,2)</f>
        <v>134.21</v>
      </c>
      <c r="G985" s="5" t="n">
        <v>5.81</v>
      </c>
      <c r="H985" s="5" t="n">
        <f>D985*G985</f>
        <v>23.24</v>
      </c>
      <c r="I985" s="5" t="n">
        <v>0.5</v>
      </c>
      <c r="J985" s="5" t="n">
        <f>I985*(1+$N$2)</f>
        <v>0.5</v>
      </c>
      <c r="K985" s="5" t="n">
        <f>D985*J985</f>
        <v>2</v>
      </c>
      <c r="L985" s="5"/>
      <c r="M985" s="5"/>
      <c r="N985" s="5"/>
      <c r="O985" s="5"/>
    </row>
    <row r="986">
      <c r="A986" s="1"/>
      <c r="B986" s="1" t="str">
        <v>Ligne fictive 0505</v>
      </c>
      <c r="C986" s="1" t="str">
        <v>u</v>
      </c>
      <c r="D986" s="5" t="n">
        <v>5</v>
      </c>
      <c r="E986" s="5" t="n">
        <f>G986*$L$2+J986*$M$2*$O$2</f>
        <v>40.534</v>
      </c>
      <c r="F986" s="5" t="n">
        <f>ROUND(D986*E986,2)</f>
        <v>202.67</v>
      </c>
      <c r="G986" s="5" t="n">
        <v>6.18</v>
      </c>
      <c r="H986" s="5" t="n">
        <f>D986*G986</f>
        <v>30.9</v>
      </c>
      <c r="I986" s="5" t="n">
        <v>0.625</v>
      </c>
      <c r="J986" s="5" t="n">
        <f>I986*(1+$N$2)</f>
        <v>0.625</v>
      </c>
      <c r="K986" s="5" t="n">
        <f>D986*J986</f>
        <v>3.125</v>
      </c>
      <c r="L986" s="5"/>
      <c r="M986" s="5"/>
      <c r="N986" s="5"/>
      <c r="O986" s="5"/>
    </row>
    <row r="987">
      <c r="A987" s="1"/>
      <c r="B987" s="1" t="str">
        <v>Statut fictif 063</v>
      </c>
      <c r="C987" s="1" t="str">
        <v>HL</v>
      </c>
      <c r="D987" s="5" t="n">
        <v>3</v>
      </c>
      <c r="E987" s="5" t="n">
        <v>0</v>
      </c>
      <c r="F987" s="5" t="n">
        <v>0</v>
      </c>
      <c r="G987" s="5" t="n">
        <v>7.25</v>
      </c>
      <c r="H987" s="5" t="n">
        <v>0</v>
      </c>
      <c r="I987" s="5" t="n">
        <v>0.375</v>
      </c>
      <c r="J987" s="5" t="n">
        <v>0</v>
      </c>
      <c r="K987" s="5" t="n">
        <v>0</v>
      </c>
      <c r="L987" s="5"/>
      <c r="M987" s="5"/>
      <c r="N987" s="5"/>
      <c r="O987" s="5"/>
    </row>
    <row r="988">
      <c r="A988" s="1"/>
      <c r="B988" s="1" t="str">
        <v>Sous-total fictif 178</v>
      </c>
      <c r="C988" s="1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>
      <c r="A989" s="1"/>
      <c r="B989" s="6" t="str">
        <v>Section fictive 179</v>
      </c>
      <c r="C989" s="1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>
      <c r="A990" s="1"/>
      <c r="B990" s="1" t="str">
        <v>Ligne fictive 0506</v>
      </c>
      <c r="C990" s="1" t="str">
        <v>ml</v>
      </c>
      <c r="D990" s="5" t="n">
        <v>1</v>
      </c>
      <c r="E990" s="5" t="n">
        <f>G990*$L$2+J990*$M$2*$O$2</f>
        <v>15.015</v>
      </c>
      <c r="F990" s="5" t="n">
        <f>ROUND(D990*E990,2)</f>
        <v>15.02</v>
      </c>
      <c r="G990" s="5" t="n">
        <v>6.55</v>
      </c>
      <c r="H990" s="5" t="n">
        <f>D990*G990</f>
        <v>6.55</v>
      </c>
      <c r="I990" s="5" t="n">
        <v>0.125</v>
      </c>
      <c r="J990" s="5" t="n">
        <f>I990*(1+$N$2)</f>
        <v>0.125</v>
      </c>
      <c r="K990" s="5" t="n">
        <f>D990*J990</f>
        <v>0.125</v>
      </c>
      <c r="L990" s="5"/>
      <c r="M990" s="5"/>
      <c r="N990" s="5"/>
      <c r="O990" s="5"/>
    </row>
    <row r="991">
      <c r="A991" s="1"/>
      <c r="B991" s="1" t="str">
        <v>Ligne fictive 0507</v>
      </c>
      <c r="C991" s="1" t="str">
        <v>m2</v>
      </c>
      <c r="D991" s="5" t="n">
        <v>2</v>
      </c>
      <c r="E991" s="5" t="n">
        <f>G991*$L$2+J991*$M$2*$O$2</f>
        <v>21.996000000000002</v>
      </c>
      <c r="F991" s="5" t="n">
        <f>ROUND(D991*E991,2)</f>
        <v>43.99</v>
      </c>
      <c r="G991" s="5" t="n">
        <v>6.92</v>
      </c>
      <c r="H991" s="5" t="n">
        <f>D991*G991</f>
        <v>13.84</v>
      </c>
      <c r="I991" s="5" t="n">
        <v>0.25</v>
      </c>
      <c r="J991" s="5" t="n">
        <f>I991*(1+$N$2)</f>
        <v>0.25</v>
      </c>
      <c r="K991" s="5" t="n">
        <f>D991*J991</f>
        <v>0.5</v>
      </c>
      <c r="L991" s="5"/>
      <c r="M991" s="5"/>
      <c r="N991" s="5"/>
      <c r="O991" s="5"/>
    </row>
    <row r="992">
      <c r="A992" s="1"/>
      <c r="B992" s="1" t="str">
        <v>Ligne fictive 0508</v>
      </c>
      <c r="C992" s="1" t="str">
        <v>u</v>
      </c>
      <c r="D992" s="5" t="n">
        <v>3</v>
      </c>
      <c r="E992" s="5" t="n">
        <f>G992*$L$2+J992*$M$2*$O$2</f>
        <v>28.977</v>
      </c>
      <c r="F992" s="5" t="n">
        <f>ROUND(D992*E992,2)</f>
        <v>86.93</v>
      </c>
      <c r="G992" s="5" t="n">
        <v>7.29</v>
      </c>
      <c r="H992" s="5" t="n">
        <f>D992*G992</f>
        <v>21.87</v>
      </c>
      <c r="I992" s="5" t="n">
        <v>0.375</v>
      </c>
      <c r="J992" s="5" t="n">
        <f>I992*(1+$N$2)</f>
        <v>0.375</v>
      </c>
      <c r="K992" s="5" t="n">
        <f>D992*J992</f>
        <v>1.125</v>
      </c>
      <c r="L992" s="5"/>
      <c r="M992" s="5"/>
      <c r="N992" s="5"/>
      <c r="O992" s="5"/>
    </row>
    <row r="993">
      <c r="A993" s="1"/>
      <c r="B993" s="1" t="str">
        <v>Sous-total fictif 179</v>
      </c>
      <c r="C993" s="1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>
      <c r="A994" s="1"/>
      <c r="B994" s="6" t="str">
        <v>Section fictive 180</v>
      </c>
      <c r="C994" s="1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>
      <c r="A995" s="1"/>
      <c r="B995" s="1" t="str">
        <v>Ligne fictive 0509</v>
      </c>
      <c r="C995" s="1" t="str">
        <v>ml</v>
      </c>
      <c r="D995" s="5" t="n">
        <v>4</v>
      </c>
      <c r="E995" s="5" t="n">
        <f>G995*$L$2+J995*$M$2*$O$2</f>
        <v>35.958</v>
      </c>
      <c r="F995" s="5" t="n">
        <f>ROUND(D995*E995,2)</f>
        <v>143.83</v>
      </c>
      <c r="G995" s="5" t="n">
        <v>7.66</v>
      </c>
      <c r="H995" s="5" t="n">
        <f>D995*G995</f>
        <v>30.64</v>
      </c>
      <c r="I995" s="5" t="n">
        <v>0.5</v>
      </c>
      <c r="J995" s="5" t="n">
        <f>I995*(1+$N$2)</f>
        <v>0.5</v>
      </c>
      <c r="K995" s="5" t="n">
        <f>D995*J995</f>
        <v>2</v>
      </c>
      <c r="L995" s="5"/>
      <c r="M995" s="5"/>
      <c r="N995" s="5"/>
      <c r="O995" s="5"/>
    </row>
    <row r="996">
      <c r="A996" s="1"/>
      <c r="B996" s="1" t="str">
        <v>Ligne fictive 0510</v>
      </c>
      <c r="C996" s="1" t="str">
        <v>m2</v>
      </c>
      <c r="D996" s="5" t="n">
        <v>5</v>
      </c>
      <c r="E996" s="5" t="n">
        <f>G996*$L$2+J996*$M$2*$O$2</f>
        <v>42.939</v>
      </c>
      <c r="F996" s="5" t="n">
        <f>ROUND(D996*E996,2)</f>
        <v>214.7</v>
      </c>
      <c r="G996" s="5" t="n">
        <v>8.03</v>
      </c>
      <c r="H996" s="5" t="n">
        <f>D996*G996</f>
        <v>40.15</v>
      </c>
      <c r="I996" s="5" t="n">
        <v>0.625</v>
      </c>
      <c r="J996" s="5" t="n">
        <f>I996*(1+$N$2)</f>
        <v>0.625</v>
      </c>
      <c r="K996" s="5" t="n">
        <f>D996*J996</f>
        <v>3.125</v>
      </c>
      <c r="L996" s="5"/>
      <c r="M996" s="5"/>
      <c r="N996" s="5"/>
      <c r="O996" s="5"/>
    </row>
    <row r="997">
      <c r="A997" s="1"/>
      <c r="B997" s="1" t="str">
        <v>Ligne fictive 0511</v>
      </c>
      <c r="C997" s="1" t="str">
        <v>u</v>
      </c>
      <c r="D997" s="5" t="n">
        <v>1</v>
      </c>
      <c r="E997" s="5" t="n">
        <f>G997*$L$2+J997*$M$2*$O$2</f>
        <v>9.243</v>
      </c>
      <c r="F997" s="5" t="n">
        <f>ROUND(D997*E997,2)</f>
        <v>9.24</v>
      </c>
      <c r="G997" s="5" t="n">
        <v>2.11</v>
      </c>
      <c r="H997" s="5" t="n">
        <f>D997*G997</f>
        <v>2.11</v>
      </c>
      <c r="I997" s="5" t="n">
        <v>0.125</v>
      </c>
      <c r="J997" s="5" t="n">
        <f>I997*(1+$N$2)</f>
        <v>0.125</v>
      </c>
      <c r="K997" s="5" t="n">
        <f>D997*J997</f>
        <v>0.125</v>
      </c>
      <c r="L997" s="5"/>
      <c r="M997" s="5"/>
      <c r="N997" s="5"/>
      <c r="O997" s="5"/>
    </row>
    <row r="998">
      <c r="A998" s="1"/>
      <c r="B998" s="1" t="str">
        <v>Réserve fictive 0063</v>
      </c>
      <c r="C998" s="1" t="str">
        <v>u</v>
      </c>
      <c r="D998" s="5"/>
      <c r="E998" s="5" t="n">
        <v>0</v>
      </c>
      <c r="F998" s="5" t="n">
        <v>0</v>
      </c>
      <c r="G998" s="5" t="n">
        <v>0</v>
      </c>
      <c r="H998" s="5" t="n">
        <v>0</v>
      </c>
      <c r="I998" s="5" t="n">
        <v>0</v>
      </c>
      <c r="J998" s="5" t="n">
        <v>0</v>
      </c>
      <c r="K998" s="5" t="n">
        <v>0</v>
      </c>
      <c r="L998" s="5"/>
      <c r="M998" s="5"/>
      <c r="N998" s="5"/>
      <c r="O998" s="5"/>
    </row>
    <row r="999">
      <c r="A999" s="1"/>
      <c r="B999" s="1" t="str">
        <v>Sous-total fictif 180</v>
      </c>
      <c r="C999" s="1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>
      <c r="A1000" s="1"/>
      <c r="B1000" s="6" t="str">
        <v>Section fictive 181</v>
      </c>
      <c r="C1000" s="1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  <row r="1001">
      <c r="A1001" s="1"/>
      <c r="B1001" s="1" t="str">
        <v>Ligne fictive 0512</v>
      </c>
      <c r="C1001" s="1" t="str">
        <v>ml</v>
      </c>
      <c r="D1001" s="5" t="n">
        <v>2</v>
      </c>
      <c r="E1001" s="5" t="n">
        <f>G1001*$L$2+J1001*$M$2*$O$2</f>
        <v>16.224</v>
      </c>
      <c r="F1001" s="5" t="n">
        <f>ROUND(D1001*E1001,2)</f>
        <v>32.45</v>
      </c>
      <c r="G1001" s="5" t="n">
        <v>2.48</v>
      </c>
      <c r="H1001" s="5" t="n">
        <f>D1001*G1001</f>
        <v>4.96</v>
      </c>
      <c r="I1001" s="5" t="n">
        <v>0.25</v>
      </c>
      <c r="J1001" s="5" t="n">
        <f>I1001*(1+$N$2)</f>
        <v>0.25</v>
      </c>
      <c r="K1001" s="5" t="n">
        <f>D1001*J1001</f>
        <v>0.5</v>
      </c>
      <c r="L1001" s="5"/>
      <c r="M1001" s="5"/>
      <c r="N1001" s="5"/>
      <c r="O1001" s="5"/>
    </row>
    <row r="1002">
      <c r="A1002" s="1"/>
      <c r="B1002" s="1" t="str">
        <v>Ligne fictive 0513</v>
      </c>
      <c r="C1002" s="1" t="str">
        <v>m2</v>
      </c>
      <c r="D1002" s="5" t="n">
        <v>3</v>
      </c>
      <c r="E1002" s="5" t="n">
        <f>G1002*$L$2+J1002*$M$2*$O$2</f>
        <v>23.205</v>
      </c>
      <c r="F1002" s="5" t="n">
        <f>ROUND(D1002*E1002,2)</f>
        <v>69.61</v>
      </c>
      <c r="G1002" s="5" t="n">
        <v>2.85</v>
      </c>
      <c r="H1002" s="5" t="n">
        <f>D1002*G1002</f>
        <v>8.55</v>
      </c>
      <c r="I1002" s="5" t="n">
        <v>0.375</v>
      </c>
      <c r="J1002" s="5" t="n">
        <f>I1002*(1+$N$2)</f>
        <v>0.375</v>
      </c>
      <c r="K1002" s="5" t="n">
        <f>D1002*J1002</f>
        <v>1.125</v>
      </c>
      <c r="L1002" s="5"/>
      <c r="M1002" s="5"/>
      <c r="N1002" s="5"/>
      <c r="O1002" s="5"/>
    </row>
    <row r="1003">
      <c r="A1003" s="1"/>
      <c r="B1003" s="1" t="str">
        <v>Ligne fictive 0514</v>
      </c>
      <c r="C1003" s="1" t="str">
        <v>u</v>
      </c>
      <c r="D1003" s="5" t="n">
        <v>4</v>
      </c>
      <c r="E1003" s="5" t="n">
        <f>G1003*$L$2+J1003*$M$2*$O$2</f>
        <v>30.186</v>
      </c>
      <c r="F1003" s="5" t="n">
        <f>ROUND(D1003*E1003,2)</f>
        <v>120.74</v>
      </c>
      <c r="G1003" s="5" t="n">
        <v>3.22</v>
      </c>
      <c r="H1003" s="5" t="n">
        <f>D1003*G1003</f>
        <v>12.88</v>
      </c>
      <c r="I1003" s="5" t="n">
        <v>0.5</v>
      </c>
      <c r="J1003" s="5" t="n">
        <f>I1003*(1+$N$2)</f>
        <v>0.5</v>
      </c>
      <c r="K1003" s="5" t="n">
        <f>D1003*J1003</f>
        <v>2</v>
      </c>
      <c r="L1003" s="5"/>
      <c r="M1003" s="5"/>
      <c r="N1003" s="5"/>
      <c r="O1003" s="5"/>
    </row>
    <row r="1004">
      <c r="A1004" s="1"/>
      <c r="B1004" s="1" t="str">
        <v>Statut fictif 064</v>
      </c>
      <c r="C1004" s="1" t="str">
        <v>HL</v>
      </c>
      <c r="D1004" s="5" t="n">
        <v>1</v>
      </c>
      <c r="E1004" s="5" t="n">
        <v>0</v>
      </c>
      <c r="F1004" s="5" t="n">
        <v>0</v>
      </c>
      <c r="G1004" s="5" t="n">
        <v>7.25</v>
      </c>
      <c r="H1004" s="5" t="n">
        <v>0</v>
      </c>
      <c r="I1004" s="5" t="n">
        <v>0.375</v>
      </c>
      <c r="J1004" s="5" t="n">
        <v>0</v>
      </c>
      <c r="K1004" s="5" t="n">
        <v>0</v>
      </c>
      <c r="L1004" s="5"/>
      <c r="M1004" s="5"/>
      <c r="N1004" s="5"/>
      <c r="O1004" s="5"/>
    </row>
    <row r="1005">
      <c r="A1005" s="1"/>
      <c r="B1005" s="1" t="str">
        <v>Sous-total fictif 181</v>
      </c>
      <c r="C1005" s="1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</row>
    <row r="1006">
      <c r="A1006" s="1"/>
      <c r="B1006" s="6" t="str">
        <v>Section fictive 182</v>
      </c>
      <c r="C1006" s="1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</row>
    <row r="1007">
      <c r="A1007" s="1"/>
      <c r="B1007" s="1" t="str">
        <v>Ligne fictive 0515</v>
      </c>
      <c r="C1007" s="1" t="str">
        <v>ml</v>
      </c>
      <c r="D1007" s="5" t="n">
        <v>5</v>
      </c>
      <c r="E1007" s="5" t="n">
        <f>G1007*$L$2+J1007*$M$2*$O$2</f>
        <v>37.167</v>
      </c>
      <c r="F1007" s="5" t="n">
        <f>ROUND(D1007*E1007,2)</f>
        <v>185.84</v>
      </c>
      <c r="G1007" s="5" t="n">
        <v>3.59</v>
      </c>
      <c r="H1007" s="5" t="n">
        <f>D1007*G1007</f>
        <v>17.95</v>
      </c>
      <c r="I1007" s="5" t="n">
        <v>0.625</v>
      </c>
      <c r="J1007" s="5" t="n">
        <f>I1007*(1+$N$2)</f>
        <v>0.625</v>
      </c>
      <c r="K1007" s="5" t="n">
        <f>D1007*J1007</f>
        <v>3.125</v>
      </c>
      <c r="L1007" s="5"/>
      <c r="M1007" s="5"/>
      <c r="N1007" s="5"/>
      <c r="O1007" s="5"/>
    </row>
    <row r="1008">
      <c r="A1008" s="1"/>
      <c r="B1008" s="1" t="str">
        <v>Ligne fictive 0516</v>
      </c>
      <c r="C1008" s="1" t="str">
        <v>m2</v>
      </c>
      <c r="D1008" s="5" t="n">
        <v>1</v>
      </c>
      <c r="E1008" s="5" t="n">
        <f>G1008*$L$2+J1008*$M$2*$O$2</f>
        <v>11.648</v>
      </c>
      <c r="F1008" s="5" t="n">
        <f>ROUND(D1008*E1008,2)</f>
        <v>11.65</v>
      </c>
      <c r="G1008" s="5" t="n">
        <v>3.96</v>
      </c>
      <c r="H1008" s="5" t="n">
        <f>D1008*G1008</f>
        <v>3.96</v>
      </c>
      <c r="I1008" s="5" t="n">
        <v>0.125</v>
      </c>
      <c r="J1008" s="5" t="n">
        <f>I1008*(1+$N$2)</f>
        <v>0.125</v>
      </c>
      <c r="K1008" s="5" t="n">
        <f>D1008*J1008</f>
        <v>0.125</v>
      </c>
      <c r="L1008" s="5"/>
      <c r="M1008" s="5"/>
      <c r="N1008" s="5"/>
      <c r="O1008" s="5"/>
    </row>
    <row r="1009">
      <c r="A1009" s="1"/>
      <c r="B1009" s="1" t="str">
        <v>Sous-total fictif 182</v>
      </c>
      <c r="C1009" s="1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</row>
    <row r="1010">
      <c r="A1010" s="1"/>
      <c r="B1010" s="6" t="str">
        <v>Section fictive 183</v>
      </c>
      <c r="C1010" s="1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</row>
    <row r="1011">
      <c r="A1011" s="1"/>
      <c r="B1011" s="1" t="str">
        <v>Ligne fictive 0517</v>
      </c>
      <c r="C1011" s="1" t="str">
        <v>u</v>
      </c>
      <c r="D1011" s="5" t="n">
        <v>2</v>
      </c>
      <c r="E1011" s="5" t="n">
        <f>G1011*$L$2+J1011*$M$2*$O$2</f>
        <v>18.629</v>
      </c>
      <c r="F1011" s="5" t="n">
        <f>ROUND(D1011*E1011,2)</f>
        <v>37.26</v>
      </c>
      <c r="G1011" s="5" t="n">
        <v>4.33</v>
      </c>
      <c r="H1011" s="5" t="n">
        <f>D1011*G1011</f>
        <v>8.66</v>
      </c>
      <c r="I1011" s="5" t="n">
        <v>0.25</v>
      </c>
      <c r="J1011" s="5" t="n">
        <f>I1011*(1+$N$2)</f>
        <v>0.25</v>
      </c>
      <c r="K1011" s="5" t="n">
        <f>D1011*J1011</f>
        <v>0.5</v>
      </c>
      <c r="L1011" s="5"/>
      <c r="M1011" s="5"/>
      <c r="N1011" s="5"/>
      <c r="O1011" s="5"/>
    </row>
    <row r="1012">
      <c r="A1012" s="1"/>
      <c r="B1012" s="1" t="str">
        <v>Ligne fictive 0518</v>
      </c>
      <c r="C1012" s="1" t="str">
        <v>ml</v>
      </c>
      <c r="D1012" s="5" t="n">
        <v>3</v>
      </c>
      <c r="E1012" s="5" t="n">
        <f>G1012*$L$2+J1012*$M$2*$O$2</f>
        <v>25.61</v>
      </c>
      <c r="F1012" s="5" t="n">
        <f>ROUND(D1012*E1012,2)</f>
        <v>76.83</v>
      </c>
      <c r="G1012" s="5" t="n">
        <v>4.7</v>
      </c>
      <c r="H1012" s="5" t="n">
        <f>D1012*G1012</f>
        <v>14.100000000000001</v>
      </c>
      <c r="I1012" s="5" t="n">
        <v>0.375</v>
      </c>
      <c r="J1012" s="5" t="n">
        <f>I1012*(1+$N$2)</f>
        <v>0.375</v>
      </c>
      <c r="K1012" s="5" t="n">
        <f>D1012*J1012</f>
        <v>1.125</v>
      </c>
      <c r="L1012" s="5"/>
      <c r="M1012" s="5"/>
      <c r="N1012" s="5"/>
      <c r="O1012" s="5"/>
    </row>
    <row r="1013">
      <c r="A1013" s="1"/>
      <c r="B1013" s="1" t="str">
        <v>Ligne fictive 0519</v>
      </c>
      <c r="C1013" s="1" t="str">
        <v>m2</v>
      </c>
      <c r="D1013" s="5" t="n">
        <v>4</v>
      </c>
      <c r="E1013" s="5" t="n">
        <f>G1013*$L$2+J1013*$M$2*$O$2</f>
        <v>32.591</v>
      </c>
      <c r="F1013" s="5" t="n">
        <f>ROUND(D1013*E1013,2)</f>
        <v>130.36</v>
      </c>
      <c r="G1013" s="5" t="n">
        <v>5.07</v>
      </c>
      <c r="H1013" s="5" t="n">
        <f>D1013*G1013</f>
        <v>20.28</v>
      </c>
      <c r="I1013" s="5" t="n">
        <v>0.5</v>
      </c>
      <c r="J1013" s="5" t="n">
        <f>I1013*(1+$N$2)</f>
        <v>0.5</v>
      </c>
      <c r="K1013" s="5" t="n">
        <f>D1013*J1013</f>
        <v>2</v>
      </c>
      <c r="L1013" s="5"/>
      <c r="M1013" s="5"/>
      <c r="N1013" s="5"/>
      <c r="O1013" s="5"/>
    </row>
    <row r="1014">
      <c r="A1014" s="1"/>
      <c r="B1014" s="1" t="str">
        <v>Réserve fictive 0064</v>
      </c>
      <c r="C1014" s="1" t="str">
        <v>u</v>
      </c>
      <c r="D1014" s="5"/>
      <c r="E1014" s="5" t="n">
        <v>0</v>
      </c>
      <c r="F1014" s="5" t="n">
        <v>0</v>
      </c>
      <c r="G1014" s="5" t="n">
        <v>0</v>
      </c>
      <c r="H1014" s="5" t="n">
        <v>0</v>
      </c>
      <c r="I1014" s="5" t="n">
        <v>0</v>
      </c>
      <c r="J1014" s="5" t="n">
        <v>0</v>
      </c>
      <c r="K1014" s="5" t="n">
        <v>0</v>
      </c>
      <c r="L1014" s="5"/>
      <c r="M1014" s="5"/>
      <c r="N1014" s="5"/>
      <c r="O1014" s="5"/>
    </row>
    <row r="1015">
      <c r="A1015" s="1"/>
      <c r="B1015" s="1" t="str">
        <v>Sous-total fictif 183</v>
      </c>
      <c r="C1015" s="1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</row>
    <row r="1016">
      <c r="A1016" s="1"/>
      <c r="B1016" s="6" t="str">
        <v>Section fictive 184</v>
      </c>
      <c r="C1016" s="1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</row>
    <row r="1017">
      <c r="A1017" s="1"/>
      <c r="B1017" s="1" t="str">
        <v>Ligne fictive 0520</v>
      </c>
      <c r="C1017" s="1" t="str">
        <v>u</v>
      </c>
      <c r="D1017" s="5" t="n">
        <v>5</v>
      </c>
      <c r="E1017" s="5" t="n">
        <f>G1017*$L$2+J1017*$M$2*$O$2</f>
        <v>39.572</v>
      </c>
      <c r="F1017" s="5" t="n">
        <f>ROUND(D1017*E1017,2)</f>
        <v>197.86</v>
      </c>
      <c r="G1017" s="5" t="n">
        <v>5.44</v>
      </c>
      <c r="H1017" s="5" t="n">
        <f>D1017*G1017</f>
        <v>27.200000000000003</v>
      </c>
      <c r="I1017" s="5" t="n">
        <v>0.625</v>
      </c>
      <c r="J1017" s="5" t="n">
        <f>I1017*(1+$N$2)</f>
        <v>0.625</v>
      </c>
      <c r="K1017" s="5" t="n">
        <f>D1017*J1017</f>
        <v>3.125</v>
      </c>
      <c r="L1017" s="5"/>
      <c r="M1017" s="5"/>
      <c r="N1017" s="5"/>
      <c r="O1017" s="5"/>
    </row>
    <row r="1018">
      <c r="A1018" s="1"/>
      <c r="B1018" s="1" t="str">
        <v>Ligne fictive 0521</v>
      </c>
      <c r="C1018" s="1" t="str">
        <v>ml</v>
      </c>
      <c r="D1018" s="5" t="n">
        <v>1</v>
      </c>
      <c r="E1018" s="5" t="n">
        <f>G1018*$L$2+J1018*$M$2*$O$2</f>
        <v>14.053</v>
      </c>
      <c r="F1018" s="5" t="n">
        <f>ROUND(D1018*E1018,2)</f>
        <v>14.05</v>
      </c>
      <c r="G1018" s="5" t="n">
        <v>5.81</v>
      </c>
      <c r="H1018" s="5" t="n">
        <f>D1018*G1018</f>
        <v>5.81</v>
      </c>
      <c r="I1018" s="5" t="n">
        <v>0.125</v>
      </c>
      <c r="J1018" s="5" t="n">
        <f>I1018*(1+$N$2)</f>
        <v>0.125</v>
      </c>
      <c r="K1018" s="5" t="n">
        <f>D1018*J1018</f>
        <v>0.125</v>
      </c>
      <c r="L1018" s="5"/>
      <c r="M1018" s="5"/>
      <c r="N1018" s="5"/>
      <c r="O1018" s="5"/>
    </row>
    <row r="1019">
      <c r="A1019" s="1"/>
      <c r="B1019" s="1" t="str">
        <v>Ligne fictive 0522</v>
      </c>
      <c r="C1019" s="1" t="str">
        <v>m2</v>
      </c>
      <c r="D1019" s="5" t="n">
        <v>2</v>
      </c>
      <c r="E1019" s="5" t="n">
        <f>G1019*$L$2+J1019*$M$2*$O$2</f>
        <v>21.034</v>
      </c>
      <c r="F1019" s="5" t="n">
        <f>ROUND(D1019*E1019,2)</f>
        <v>42.07</v>
      </c>
      <c r="G1019" s="5" t="n">
        <v>6.18</v>
      </c>
      <c r="H1019" s="5" t="n">
        <f>D1019*G1019</f>
        <v>12.36</v>
      </c>
      <c r="I1019" s="5" t="n">
        <v>0.25</v>
      </c>
      <c r="J1019" s="5" t="n">
        <f>I1019*(1+$N$2)</f>
        <v>0.25</v>
      </c>
      <c r="K1019" s="5" t="n">
        <f>D1019*J1019</f>
        <v>0.5</v>
      </c>
      <c r="L1019" s="5"/>
      <c r="M1019" s="5"/>
      <c r="N1019" s="5"/>
      <c r="O1019" s="5"/>
    </row>
    <row r="1020">
      <c r="A1020" s="1"/>
      <c r="B1020" s="1" t="str">
        <v>Statut fictif 065</v>
      </c>
      <c r="C1020" s="1" t="str">
        <v>HL</v>
      </c>
      <c r="D1020" s="5" t="n">
        <v>2</v>
      </c>
      <c r="E1020" s="5" t="n">
        <v>0</v>
      </c>
      <c r="F1020" s="5" t="n">
        <v>0</v>
      </c>
      <c r="G1020" s="5" t="n">
        <v>7.25</v>
      </c>
      <c r="H1020" s="5" t="n">
        <v>0</v>
      </c>
      <c r="I1020" s="5" t="n">
        <v>0.375</v>
      </c>
      <c r="J1020" s="5" t="n">
        <v>0</v>
      </c>
      <c r="K1020" s="5" t="n">
        <v>0</v>
      </c>
      <c r="L1020" s="5"/>
      <c r="M1020" s="5"/>
      <c r="N1020" s="5"/>
      <c r="O1020" s="5"/>
    </row>
    <row r="1021">
      <c r="A1021" s="1"/>
      <c r="B1021" s="1" t="str">
        <v>Sous-total fictif 184</v>
      </c>
      <c r="C1021" s="1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</row>
    <row r="1022">
      <c r="A1022" s="1"/>
      <c r="B1022" s="6" t="str">
        <v>Section fictive 185</v>
      </c>
      <c r="C1022" s="1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</row>
    <row r="1023">
      <c r="A1023" s="1"/>
      <c r="B1023" s="1" t="str">
        <v>Ligne fictive 0523</v>
      </c>
      <c r="C1023" s="1" t="str">
        <v>u</v>
      </c>
      <c r="D1023" s="5" t="n">
        <v>3</v>
      </c>
      <c r="E1023" s="5" t="n">
        <f>G1023*$L$2+J1023*$M$2*$O$2</f>
        <v>28.015</v>
      </c>
      <c r="F1023" s="5" t="n">
        <f>ROUND(D1023*E1023,2)</f>
        <v>84.05</v>
      </c>
      <c r="G1023" s="5" t="n">
        <v>6.55</v>
      </c>
      <c r="H1023" s="5" t="n">
        <f>D1023*G1023</f>
        <v>19.65</v>
      </c>
      <c r="I1023" s="5" t="n">
        <v>0.375</v>
      </c>
      <c r="J1023" s="5" t="n">
        <f>I1023*(1+$N$2)</f>
        <v>0.375</v>
      </c>
      <c r="K1023" s="5" t="n">
        <f>D1023*J1023</f>
        <v>1.125</v>
      </c>
      <c r="L1023" s="5"/>
      <c r="M1023" s="5"/>
      <c r="N1023" s="5"/>
      <c r="O1023" s="5"/>
    </row>
    <row r="1024">
      <c r="A1024" s="1"/>
      <c r="B1024" s="1" t="str">
        <v>Ligne fictive 0524</v>
      </c>
      <c r="C1024" s="1" t="str">
        <v>ml</v>
      </c>
      <c r="D1024" s="5" t="n">
        <v>4</v>
      </c>
      <c r="E1024" s="5" t="n">
        <f>G1024*$L$2+J1024*$M$2*$O$2</f>
        <v>34.996</v>
      </c>
      <c r="F1024" s="5" t="n">
        <f>ROUND(D1024*E1024,2)</f>
        <v>139.98</v>
      </c>
      <c r="G1024" s="5" t="n">
        <v>6.92</v>
      </c>
      <c r="H1024" s="5" t="n">
        <f>D1024*G1024</f>
        <v>27.68</v>
      </c>
      <c r="I1024" s="5" t="n">
        <v>0.5</v>
      </c>
      <c r="J1024" s="5" t="n">
        <f>I1024*(1+$N$2)</f>
        <v>0.5</v>
      </c>
      <c r="K1024" s="5" t="n">
        <f>D1024*J1024</f>
        <v>2</v>
      </c>
      <c r="L1024" s="5"/>
      <c r="M1024" s="5"/>
      <c r="N1024" s="5"/>
      <c r="O1024" s="5"/>
    </row>
    <row r="1025">
      <c r="A1025" s="1"/>
      <c r="B1025" s="1" t="str">
        <v>Ligne fictive 0525</v>
      </c>
      <c r="C1025" s="1" t="str">
        <v>m2</v>
      </c>
      <c r="D1025" s="5" t="n">
        <v>5</v>
      </c>
      <c r="E1025" s="5" t="n">
        <f>G1025*$L$2+J1025*$M$2*$O$2</f>
        <v>41.977000000000004</v>
      </c>
      <c r="F1025" s="5" t="n">
        <f>ROUND(D1025*E1025,2)</f>
        <v>209.89</v>
      </c>
      <c r="G1025" s="5" t="n">
        <v>7.29</v>
      </c>
      <c r="H1025" s="5" t="n">
        <f>D1025*G1025</f>
        <v>36.45</v>
      </c>
      <c r="I1025" s="5" t="n">
        <v>0.625</v>
      </c>
      <c r="J1025" s="5" t="n">
        <f>I1025*(1+$N$2)</f>
        <v>0.625</v>
      </c>
      <c r="K1025" s="5" t="n">
        <f>D1025*J1025</f>
        <v>3.125</v>
      </c>
      <c r="L1025" s="5"/>
      <c r="M1025" s="5"/>
      <c r="N1025" s="5"/>
      <c r="O1025" s="5"/>
    </row>
    <row r="1026">
      <c r="A1026" s="1"/>
      <c r="B1026" s="1" t="str">
        <v>Sous-total fictif 185</v>
      </c>
      <c r="C1026" s="1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</row>
    <row r="1027">
      <c r="A1027" s="1"/>
      <c r="B1027" s="6" t="str">
        <v>Section fictive 186</v>
      </c>
      <c r="C1027" s="1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</row>
    <row r="1028">
      <c r="A1028" s="1"/>
      <c r="B1028" s="1" t="str">
        <v>Ligne fictive 0526</v>
      </c>
      <c r="C1028" s="1" t="str">
        <v>u</v>
      </c>
      <c r="D1028" s="5" t="n">
        <v>1</v>
      </c>
      <c r="E1028" s="5" t="n">
        <f>G1028*$L$2+J1028*$M$2*$O$2</f>
        <v>16.458</v>
      </c>
      <c r="F1028" s="5" t="n">
        <f>ROUND(D1028*E1028,2)</f>
        <v>16.46</v>
      </c>
      <c r="G1028" s="5" t="n">
        <v>7.66</v>
      </c>
      <c r="H1028" s="5" t="n">
        <f>D1028*G1028</f>
        <v>7.66</v>
      </c>
      <c r="I1028" s="5" t="n">
        <v>0.125</v>
      </c>
      <c r="J1028" s="5" t="n">
        <f>I1028*(1+$N$2)</f>
        <v>0.125</v>
      </c>
      <c r="K1028" s="5" t="n">
        <f>D1028*J1028</f>
        <v>0.125</v>
      </c>
      <c r="L1028" s="5"/>
      <c r="M1028" s="5"/>
      <c r="N1028" s="5"/>
      <c r="O1028" s="5"/>
    </row>
    <row r="1029">
      <c r="A1029" s="1"/>
      <c r="B1029" s="1" t="str">
        <v>Ligne fictive 0527</v>
      </c>
      <c r="C1029" s="1" t="str">
        <v>ml</v>
      </c>
      <c r="D1029" s="5" t="n">
        <v>2</v>
      </c>
      <c r="E1029" s="5" t="n">
        <f>G1029*$L$2+J1029*$M$2*$O$2</f>
        <v>23.439</v>
      </c>
      <c r="F1029" s="5" t="n">
        <f>ROUND(D1029*E1029,2)</f>
        <v>46.88</v>
      </c>
      <c r="G1029" s="5" t="n">
        <v>8.03</v>
      </c>
      <c r="H1029" s="5" t="n">
        <f>D1029*G1029</f>
        <v>16.06</v>
      </c>
      <c r="I1029" s="5" t="n">
        <v>0.25</v>
      </c>
      <c r="J1029" s="5" t="n">
        <f>I1029*(1+$N$2)</f>
        <v>0.25</v>
      </c>
      <c r="K1029" s="5" t="n">
        <f>D1029*J1029</f>
        <v>0.5</v>
      </c>
      <c r="L1029" s="5"/>
      <c r="M1029" s="5"/>
      <c r="N1029" s="5"/>
      <c r="O1029" s="5"/>
    </row>
    <row r="1030">
      <c r="A1030" s="1"/>
      <c r="B1030" s="1" t="str">
        <v>Ligne fictive 0528</v>
      </c>
      <c r="C1030" s="1" t="str">
        <v>m2</v>
      </c>
      <c r="D1030" s="5" t="n">
        <v>3</v>
      </c>
      <c r="E1030" s="5" t="n">
        <f>G1030*$L$2+J1030*$M$2*$O$2</f>
        <v>22.243</v>
      </c>
      <c r="F1030" s="5" t="n">
        <f>ROUND(D1030*E1030,2)</f>
        <v>66.73</v>
      </c>
      <c r="G1030" s="5" t="n">
        <v>2.11</v>
      </c>
      <c r="H1030" s="5" t="n">
        <f>D1030*G1030</f>
        <v>6.33</v>
      </c>
      <c r="I1030" s="5" t="n">
        <v>0.375</v>
      </c>
      <c r="J1030" s="5" t="n">
        <f>I1030*(1+$N$2)</f>
        <v>0.375</v>
      </c>
      <c r="K1030" s="5" t="n">
        <f>D1030*J1030</f>
        <v>1.125</v>
      </c>
      <c r="L1030" s="5"/>
      <c r="M1030" s="5"/>
      <c r="N1030" s="5"/>
      <c r="O1030" s="5"/>
    </row>
    <row r="1031">
      <c r="A1031" s="1"/>
      <c r="B1031" s="1" t="str">
        <v>Statut fictif 066</v>
      </c>
      <c r="C1031" s="1" t="str">
        <v>HL</v>
      </c>
      <c r="D1031" s="5" t="n">
        <v>3</v>
      </c>
      <c r="E1031" s="5" t="n">
        <v>0</v>
      </c>
      <c r="F1031" s="5" t="n">
        <v>0</v>
      </c>
      <c r="G1031" s="5" t="n">
        <v>7.25</v>
      </c>
      <c r="H1031" s="5" t="n">
        <v>0</v>
      </c>
      <c r="I1031" s="5" t="n">
        <v>0.375</v>
      </c>
      <c r="J1031" s="5" t="n">
        <v>0</v>
      </c>
      <c r="K1031" s="5" t="n">
        <v>0</v>
      </c>
      <c r="L1031" s="5"/>
      <c r="M1031" s="5"/>
      <c r="N1031" s="5"/>
      <c r="O1031" s="5"/>
    </row>
    <row r="1032">
      <c r="A1032" s="1"/>
      <c r="B1032" s="1" t="str">
        <v>Réserve fictive 0065</v>
      </c>
      <c r="C1032" s="1" t="str">
        <v>u</v>
      </c>
      <c r="D1032" s="5"/>
      <c r="E1032" s="5" t="n">
        <v>0</v>
      </c>
      <c r="F1032" s="5" t="n">
        <v>0</v>
      </c>
      <c r="G1032" s="5" t="n">
        <v>0</v>
      </c>
      <c r="H1032" s="5" t="n">
        <v>0</v>
      </c>
      <c r="I1032" s="5" t="n">
        <v>0</v>
      </c>
      <c r="J1032" s="5" t="n">
        <v>0</v>
      </c>
      <c r="K1032" s="5" t="n">
        <v>0</v>
      </c>
      <c r="L1032" s="5"/>
      <c r="M1032" s="5"/>
      <c r="N1032" s="5"/>
      <c r="O1032" s="5"/>
    </row>
    <row r="1033">
      <c r="A1033" s="1"/>
      <c r="B1033" s="1" t="str">
        <v>Sous-total fictif 186</v>
      </c>
      <c r="C1033" s="1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</row>
    <row r="1034">
      <c r="A1034" s="1"/>
      <c r="B1034" s="6" t="str">
        <v>Section fictive 187</v>
      </c>
      <c r="C1034" s="1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</row>
    <row r="1035">
      <c r="A1035" s="1"/>
      <c r="B1035" s="1" t="str">
        <v>Ligne fictive 0529</v>
      </c>
      <c r="C1035" s="1" t="str">
        <v>u</v>
      </c>
      <c r="D1035" s="5" t="n">
        <v>4</v>
      </c>
      <c r="E1035" s="5" t="n">
        <f>G1035*$L$2+J1035*$M$2*$O$2</f>
        <v>29.224</v>
      </c>
      <c r="F1035" s="5" t="n">
        <f>ROUND(D1035*E1035,2)</f>
        <v>116.9</v>
      </c>
      <c r="G1035" s="5" t="n">
        <v>2.48</v>
      </c>
      <c r="H1035" s="5" t="n">
        <f>D1035*G1035</f>
        <v>9.92</v>
      </c>
      <c r="I1035" s="5" t="n">
        <v>0.5</v>
      </c>
      <c r="J1035" s="5" t="n">
        <f>I1035*(1+$N$2)</f>
        <v>0.5</v>
      </c>
      <c r="K1035" s="5" t="n">
        <f>D1035*J1035</f>
        <v>2</v>
      </c>
      <c r="L1035" s="5"/>
      <c r="M1035" s="5"/>
      <c r="N1035" s="5"/>
      <c r="O1035" s="5"/>
    </row>
    <row r="1036">
      <c r="A1036" s="1"/>
      <c r="B1036" s="1" t="str">
        <v>Ligne fictive 0530</v>
      </c>
      <c r="C1036" s="1" t="str">
        <v>ml</v>
      </c>
      <c r="D1036" s="5" t="n">
        <v>5</v>
      </c>
      <c r="E1036" s="5" t="n">
        <f>G1036*$L$2+J1036*$M$2*$O$2</f>
        <v>36.205</v>
      </c>
      <c r="F1036" s="5" t="n">
        <f>ROUND(D1036*E1036,2)</f>
        <v>181.02</v>
      </c>
      <c r="G1036" s="5" t="n">
        <v>2.85</v>
      </c>
      <c r="H1036" s="5" t="n">
        <f>D1036*G1036</f>
        <v>14.25</v>
      </c>
      <c r="I1036" s="5" t="n">
        <v>0.625</v>
      </c>
      <c r="J1036" s="5" t="n">
        <f>I1036*(1+$N$2)</f>
        <v>0.625</v>
      </c>
      <c r="K1036" s="5" t="n">
        <f>D1036*J1036</f>
        <v>3.125</v>
      </c>
      <c r="L1036" s="5"/>
      <c r="M1036" s="5"/>
      <c r="N1036" s="5"/>
      <c r="O1036" s="5"/>
    </row>
    <row r="1037">
      <c r="A1037" s="1"/>
      <c r="B1037" s="1" t="str">
        <v>Ligne fictive 0531</v>
      </c>
      <c r="C1037" s="1" t="str">
        <v>m2</v>
      </c>
      <c r="D1037" s="5" t="n">
        <v>1</v>
      </c>
      <c r="E1037" s="5" t="n">
        <f>G1037*$L$2+J1037*$M$2*$O$2</f>
        <v>10.686</v>
      </c>
      <c r="F1037" s="5" t="n">
        <f>ROUND(D1037*E1037,2)</f>
        <v>10.69</v>
      </c>
      <c r="G1037" s="5" t="n">
        <v>3.22</v>
      </c>
      <c r="H1037" s="5" t="n">
        <f>D1037*G1037</f>
        <v>3.22</v>
      </c>
      <c r="I1037" s="5" t="n">
        <v>0.125</v>
      </c>
      <c r="J1037" s="5" t="n">
        <f>I1037*(1+$N$2)</f>
        <v>0.125</v>
      </c>
      <c r="K1037" s="5" t="n">
        <f>D1037*J1037</f>
        <v>0.125</v>
      </c>
      <c r="L1037" s="5"/>
      <c r="M1037" s="5"/>
      <c r="N1037" s="5"/>
      <c r="O1037" s="5"/>
    </row>
    <row r="1038">
      <c r="A1038" s="1"/>
      <c r="B1038" s="1" t="str">
        <v>Sous-total fictif 187</v>
      </c>
      <c r="C1038" s="1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</row>
    <row r="1039">
      <c r="A1039" s="1"/>
      <c r="B1039" s="6" t="str">
        <v>Section fictive 188</v>
      </c>
      <c r="C1039" s="1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</row>
    <row r="1040">
      <c r="A1040" s="1"/>
      <c r="B1040" s="1" t="str">
        <v>Ligne fictive 0532</v>
      </c>
      <c r="C1040" s="1" t="str">
        <v>u</v>
      </c>
      <c r="D1040" s="5" t="n">
        <v>2</v>
      </c>
      <c r="E1040" s="5" t="n">
        <f>G1040*$L$2+J1040*$M$2*$O$2</f>
        <v>17.667</v>
      </c>
      <c r="F1040" s="5" t="n">
        <f>ROUND(D1040*E1040,2)</f>
        <v>35.33</v>
      </c>
      <c r="G1040" s="5" t="n">
        <v>3.59</v>
      </c>
      <c r="H1040" s="5" t="n">
        <f>D1040*G1040</f>
        <v>7.18</v>
      </c>
      <c r="I1040" s="5" t="n">
        <v>0.25</v>
      </c>
      <c r="J1040" s="5" t="n">
        <f>I1040*(1+$N$2)</f>
        <v>0.25</v>
      </c>
      <c r="K1040" s="5" t="n">
        <f>D1040*J1040</f>
        <v>0.5</v>
      </c>
      <c r="L1040" s="5"/>
      <c r="M1040" s="5"/>
      <c r="N1040" s="5"/>
      <c r="O1040" s="5"/>
    </row>
    <row r="1041">
      <c r="A1041" s="1"/>
      <c r="B1041" s="1" t="str">
        <v>Ligne fictive 0533</v>
      </c>
      <c r="C1041" s="1" t="str">
        <v>ml</v>
      </c>
      <c r="D1041" s="5" t="n">
        <v>3</v>
      </c>
      <c r="E1041" s="5" t="n">
        <f>G1041*$L$2+J1041*$M$2*$O$2</f>
        <v>24.648</v>
      </c>
      <c r="F1041" s="5" t="n">
        <f>ROUND(D1041*E1041,2)</f>
        <v>73.94</v>
      </c>
      <c r="G1041" s="5" t="n">
        <v>3.96</v>
      </c>
      <c r="H1041" s="5" t="n">
        <f>D1041*G1041</f>
        <v>11.879999999999999</v>
      </c>
      <c r="I1041" s="5" t="n">
        <v>0.375</v>
      </c>
      <c r="J1041" s="5" t="n">
        <f>I1041*(1+$N$2)</f>
        <v>0.375</v>
      </c>
      <c r="K1041" s="5" t="n">
        <f>D1041*J1041</f>
        <v>1.125</v>
      </c>
      <c r="L1041" s="5"/>
      <c r="M1041" s="5"/>
      <c r="N1041" s="5"/>
      <c r="O1041" s="5"/>
    </row>
    <row r="1042">
      <c r="A1042" s="1"/>
      <c r="B1042" s="1" t="str">
        <v>Sous-total fictif 188</v>
      </c>
      <c r="C1042" s="1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</row>
    <row r="1043">
      <c r="A1043" s="1"/>
      <c r="B1043" s="6" t="str">
        <v>Section fictive 189</v>
      </c>
      <c r="C1043" s="1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</row>
    <row r="1044">
      <c r="A1044" s="1"/>
      <c r="B1044" s="1" t="str">
        <v>Ligne fictive 0534</v>
      </c>
      <c r="C1044" s="1" t="str">
        <v>m2</v>
      </c>
      <c r="D1044" s="5" t="n">
        <v>4</v>
      </c>
      <c r="E1044" s="5" t="n">
        <f>G1044*$L$2+J1044*$M$2*$O$2</f>
        <v>31.629</v>
      </c>
      <c r="F1044" s="5" t="n">
        <f>ROUND(D1044*E1044,2)</f>
        <v>126.52</v>
      </c>
      <c r="G1044" s="5" t="n">
        <v>4.33</v>
      </c>
      <c r="H1044" s="5" t="n">
        <f>D1044*G1044</f>
        <v>17.32</v>
      </c>
      <c r="I1044" s="5" t="n">
        <v>0.5</v>
      </c>
      <c r="J1044" s="5" t="n">
        <f>I1044*(1+$N$2)</f>
        <v>0.5</v>
      </c>
      <c r="K1044" s="5" t="n">
        <f>D1044*J1044</f>
        <v>2</v>
      </c>
      <c r="L1044" s="5"/>
      <c r="M1044" s="5"/>
      <c r="N1044" s="5"/>
      <c r="O1044" s="5"/>
    </row>
    <row r="1045">
      <c r="A1045" s="1"/>
      <c r="B1045" s="1" t="str">
        <v>Ligne fictive 0535</v>
      </c>
      <c r="C1045" s="1" t="str">
        <v>u</v>
      </c>
      <c r="D1045" s="5" t="n">
        <v>5</v>
      </c>
      <c r="E1045" s="5" t="n">
        <f>G1045*$L$2+J1045*$M$2*$O$2</f>
        <v>38.61</v>
      </c>
      <c r="F1045" s="5" t="n">
        <f>ROUND(D1045*E1045,2)</f>
        <v>193.05</v>
      </c>
      <c r="G1045" s="5" t="n">
        <v>4.7</v>
      </c>
      <c r="H1045" s="5" t="n">
        <f>D1045*G1045</f>
        <v>23.5</v>
      </c>
      <c r="I1045" s="5" t="n">
        <v>0.625</v>
      </c>
      <c r="J1045" s="5" t="n">
        <f>I1045*(1+$N$2)</f>
        <v>0.625</v>
      </c>
      <c r="K1045" s="5" t="n">
        <f>D1045*J1045</f>
        <v>3.125</v>
      </c>
      <c r="L1045" s="5"/>
      <c r="M1045" s="5"/>
      <c r="N1045" s="5"/>
      <c r="O1045" s="5"/>
    </row>
    <row r="1046">
      <c r="A1046" s="1"/>
      <c r="B1046" s="1" t="str">
        <v>Ligne fictive 0536</v>
      </c>
      <c r="C1046" s="1" t="str">
        <v>ml</v>
      </c>
      <c r="D1046" s="5" t="n">
        <v>1</v>
      </c>
      <c r="E1046" s="5" t="n">
        <f>G1046*$L$2+J1046*$M$2*$O$2</f>
        <v>13.091000000000001</v>
      </c>
      <c r="F1046" s="5" t="n">
        <f>ROUND(D1046*E1046,2)</f>
        <v>13.09</v>
      </c>
      <c r="G1046" s="5" t="n">
        <v>5.07</v>
      </c>
      <c r="H1046" s="5" t="n">
        <f>D1046*G1046</f>
        <v>5.07</v>
      </c>
      <c r="I1046" s="5" t="n">
        <v>0.125</v>
      </c>
      <c r="J1046" s="5" t="n">
        <f>I1046*(1+$N$2)</f>
        <v>0.125</v>
      </c>
      <c r="K1046" s="5" t="n">
        <f>D1046*J1046</f>
        <v>0.125</v>
      </c>
      <c r="L1046" s="5"/>
      <c r="M1046" s="5"/>
      <c r="N1046" s="5"/>
      <c r="O1046" s="5"/>
    </row>
    <row r="1047">
      <c r="A1047" s="1"/>
      <c r="B1047" s="1" t="str">
        <v>Statut fictif 067</v>
      </c>
      <c r="C1047" s="1" t="str">
        <v>HL</v>
      </c>
      <c r="D1047" s="5" t="n">
        <v>1</v>
      </c>
      <c r="E1047" s="5" t="n">
        <v>0</v>
      </c>
      <c r="F1047" s="5" t="n">
        <v>0</v>
      </c>
      <c r="G1047" s="5" t="n">
        <v>7.25</v>
      </c>
      <c r="H1047" s="5" t="n">
        <v>0</v>
      </c>
      <c r="I1047" s="5" t="n">
        <v>0.375</v>
      </c>
      <c r="J1047" s="5" t="n">
        <v>0</v>
      </c>
      <c r="K1047" s="5" t="n">
        <v>0</v>
      </c>
      <c r="L1047" s="5"/>
      <c r="M1047" s="5"/>
      <c r="N1047" s="5"/>
      <c r="O1047" s="5"/>
    </row>
    <row r="1048">
      <c r="A1048" s="1"/>
      <c r="B1048" s="1" t="str">
        <v>Réserve fictive 0066</v>
      </c>
      <c r="C1048" s="1" t="str">
        <v>u</v>
      </c>
      <c r="D1048" s="5"/>
      <c r="E1048" s="5" t="n">
        <v>0</v>
      </c>
      <c r="F1048" s="5" t="n">
        <v>0</v>
      </c>
      <c r="G1048" s="5" t="n">
        <v>0</v>
      </c>
      <c r="H1048" s="5" t="n">
        <v>0</v>
      </c>
      <c r="I1048" s="5" t="n">
        <v>0</v>
      </c>
      <c r="J1048" s="5" t="n">
        <v>0</v>
      </c>
      <c r="K1048" s="5" t="n">
        <v>0</v>
      </c>
      <c r="L1048" s="5"/>
      <c r="M1048" s="5"/>
      <c r="N1048" s="5"/>
      <c r="O1048" s="5"/>
    </row>
    <row r="1049">
      <c r="A1049" s="1"/>
      <c r="B1049" s="1" t="str">
        <v>Sous-total fictif 189</v>
      </c>
      <c r="C1049" s="1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</row>
    <row r="1050">
      <c r="A1050" s="1"/>
      <c r="B1050" s="6" t="str">
        <v>Section fictive 190</v>
      </c>
      <c r="C1050" s="1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</row>
    <row r="1051">
      <c r="A1051" s="1"/>
      <c r="B1051" s="1" t="str">
        <v>Ligne fictive 0537</v>
      </c>
      <c r="C1051" s="1" t="str">
        <v>m2</v>
      </c>
      <c r="D1051" s="5" t="n">
        <v>2</v>
      </c>
      <c r="E1051" s="5" t="n">
        <f>G1051*$L$2+J1051*$M$2*$O$2</f>
        <v>20.072000000000003</v>
      </c>
      <c r="F1051" s="5" t="n">
        <f>ROUND(D1051*E1051,2)</f>
        <v>40.14</v>
      </c>
      <c r="G1051" s="5" t="n">
        <v>5.44</v>
      </c>
      <c r="H1051" s="5" t="n">
        <f>D1051*G1051</f>
        <v>10.88</v>
      </c>
      <c r="I1051" s="5" t="n">
        <v>0.25</v>
      </c>
      <c r="J1051" s="5" t="n">
        <f>I1051*(1+$N$2)</f>
        <v>0.25</v>
      </c>
      <c r="K1051" s="5" t="n">
        <f>D1051*J1051</f>
        <v>0.5</v>
      </c>
      <c r="L1051" s="5"/>
      <c r="M1051" s="5"/>
      <c r="N1051" s="5"/>
      <c r="O1051" s="5"/>
    </row>
    <row r="1052">
      <c r="A1052" s="1"/>
      <c r="B1052" s="1" t="str">
        <v>Ligne fictive 0538</v>
      </c>
      <c r="C1052" s="1" t="str">
        <v>u</v>
      </c>
      <c r="D1052" s="5" t="n">
        <v>3</v>
      </c>
      <c r="E1052" s="5" t="n">
        <f>G1052*$L$2+J1052*$M$2*$O$2</f>
        <v>27.053</v>
      </c>
      <c r="F1052" s="5" t="n">
        <f>ROUND(D1052*E1052,2)</f>
        <v>81.16</v>
      </c>
      <c r="G1052" s="5" t="n">
        <v>5.81</v>
      </c>
      <c r="H1052" s="5" t="n">
        <f>D1052*G1052</f>
        <v>17.43</v>
      </c>
      <c r="I1052" s="5" t="n">
        <v>0.375</v>
      </c>
      <c r="J1052" s="5" t="n">
        <f>I1052*(1+$N$2)</f>
        <v>0.375</v>
      </c>
      <c r="K1052" s="5" t="n">
        <f>D1052*J1052</f>
        <v>1.125</v>
      </c>
      <c r="L1052" s="5"/>
      <c r="M1052" s="5"/>
      <c r="N1052" s="5"/>
      <c r="O1052" s="5"/>
    </row>
    <row r="1053">
      <c r="A1053" s="1"/>
      <c r="B1053" s="1" t="str">
        <v>Ligne fictive 0539</v>
      </c>
      <c r="C1053" s="1" t="str">
        <v>ml</v>
      </c>
      <c r="D1053" s="5" t="n">
        <v>4</v>
      </c>
      <c r="E1053" s="5" t="n">
        <f>G1053*$L$2+J1053*$M$2*$O$2</f>
        <v>34.034</v>
      </c>
      <c r="F1053" s="5" t="n">
        <f>ROUND(D1053*E1053,2)</f>
        <v>136.14</v>
      </c>
      <c r="G1053" s="5" t="n">
        <v>6.18</v>
      </c>
      <c r="H1053" s="5" t="n">
        <f>D1053*G1053</f>
        <v>24.72</v>
      </c>
      <c r="I1053" s="5" t="n">
        <v>0.5</v>
      </c>
      <c r="J1053" s="5" t="n">
        <f>I1053*(1+$N$2)</f>
        <v>0.5</v>
      </c>
      <c r="K1053" s="5" t="n">
        <f>D1053*J1053</f>
        <v>2</v>
      </c>
      <c r="L1053" s="5"/>
      <c r="M1053" s="5"/>
      <c r="N1053" s="5"/>
      <c r="O1053" s="5"/>
    </row>
    <row r="1054">
      <c r="A1054" s="1"/>
      <c r="B1054" s="1" t="str">
        <v>Sous-total fictif 190</v>
      </c>
      <c r="C1054" s="1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</row>
    <row r="1055">
      <c r="A1055" s="1"/>
      <c r="B1055" s="6" t="str">
        <v>Section fictive 191</v>
      </c>
      <c r="C1055" s="1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</row>
    <row r="1056">
      <c r="A1056" s="1"/>
      <c r="B1056" s="1" t="str">
        <v>Ligne fictive 0540</v>
      </c>
      <c r="C1056" s="1" t="str">
        <v>m2</v>
      </c>
      <c r="D1056" s="5" t="n">
        <v>5</v>
      </c>
      <c r="E1056" s="5" t="n">
        <f>G1056*$L$2+J1056*$M$2*$O$2</f>
        <v>41.015</v>
      </c>
      <c r="F1056" s="5" t="n">
        <f>ROUND(D1056*E1056,2)</f>
        <v>205.08</v>
      </c>
      <c r="G1056" s="5" t="n">
        <v>6.55</v>
      </c>
      <c r="H1056" s="5" t="n">
        <f>D1056*G1056</f>
        <v>32.75</v>
      </c>
      <c r="I1056" s="5" t="n">
        <v>0.625</v>
      </c>
      <c r="J1056" s="5" t="n">
        <f>I1056*(1+$N$2)</f>
        <v>0.625</v>
      </c>
      <c r="K1056" s="5" t="n">
        <f>D1056*J1056</f>
        <v>3.125</v>
      </c>
      <c r="L1056" s="5"/>
      <c r="M1056" s="5"/>
      <c r="N1056" s="5"/>
      <c r="O1056" s="5"/>
    </row>
    <row r="1057">
      <c r="A1057" s="1"/>
      <c r="B1057" s="1" t="str">
        <v>Ligne fictive 0541</v>
      </c>
      <c r="C1057" s="1" t="str">
        <v>u</v>
      </c>
      <c r="D1057" s="5" t="n">
        <v>1</v>
      </c>
      <c r="E1057" s="5" t="n">
        <f>G1057*$L$2+J1057*$M$2*$O$2</f>
        <v>15.496</v>
      </c>
      <c r="F1057" s="5" t="n">
        <f>ROUND(D1057*E1057,2)</f>
        <v>15.5</v>
      </c>
      <c r="G1057" s="5" t="n">
        <v>6.92</v>
      </c>
      <c r="H1057" s="5" t="n">
        <f>D1057*G1057</f>
        <v>6.92</v>
      </c>
      <c r="I1057" s="5" t="n">
        <v>0.125</v>
      </c>
      <c r="J1057" s="5" t="n">
        <f>I1057*(1+$N$2)</f>
        <v>0.125</v>
      </c>
      <c r="K1057" s="5" t="n">
        <f>D1057*J1057</f>
        <v>0.125</v>
      </c>
      <c r="L1057" s="5"/>
      <c r="M1057" s="5"/>
      <c r="N1057" s="5"/>
      <c r="O1057" s="5"/>
    </row>
    <row r="1058">
      <c r="A1058" s="1"/>
      <c r="B1058" s="1" t="str">
        <v>Ligne fictive 0542</v>
      </c>
      <c r="C1058" s="1" t="str">
        <v>ml</v>
      </c>
      <c r="D1058" s="5" t="n">
        <v>2</v>
      </c>
      <c r="E1058" s="5" t="n">
        <f>G1058*$L$2+J1058*$M$2*$O$2</f>
        <v>22.477</v>
      </c>
      <c r="F1058" s="5" t="n">
        <f>ROUND(D1058*E1058,2)</f>
        <v>44.95</v>
      </c>
      <c r="G1058" s="5" t="n">
        <v>7.29</v>
      </c>
      <c r="H1058" s="5" t="n">
        <f>D1058*G1058</f>
        <v>14.58</v>
      </c>
      <c r="I1058" s="5" t="n">
        <v>0.25</v>
      </c>
      <c r="J1058" s="5" t="n">
        <f>I1058*(1+$N$2)</f>
        <v>0.25</v>
      </c>
      <c r="K1058" s="5" t="n">
        <f>D1058*J1058</f>
        <v>0.5</v>
      </c>
      <c r="L1058" s="5"/>
      <c r="M1058" s="5"/>
      <c r="N1058" s="5"/>
      <c r="O1058" s="5"/>
    </row>
    <row r="1059">
      <c r="A1059" s="1"/>
      <c r="B1059" s="1" t="str">
        <v>Sous-total fictif 191</v>
      </c>
      <c r="C1059" s="1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</row>
    <row r="1060">
      <c r="A1060" s="1"/>
      <c r="B1060" s="6" t="str">
        <v>Section fictive 192</v>
      </c>
      <c r="C1060" s="1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</row>
    <row r="1061">
      <c r="A1061" s="1"/>
      <c r="B1061" s="1" t="str">
        <v>Ligne fictive 0543</v>
      </c>
      <c r="C1061" s="1" t="str">
        <v>m2</v>
      </c>
      <c r="D1061" s="5" t="n">
        <v>3</v>
      </c>
      <c r="E1061" s="5" t="n">
        <f>G1061*$L$2+J1061*$M$2*$O$2</f>
        <v>29.458</v>
      </c>
      <c r="F1061" s="5" t="n">
        <f>ROUND(D1061*E1061,2)</f>
        <v>88.37</v>
      </c>
      <c r="G1061" s="5" t="n">
        <v>7.66</v>
      </c>
      <c r="H1061" s="5" t="n">
        <f>D1061*G1061</f>
        <v>22.98</v>
      </c>
      <c r="I1061" s="5" t="n">
        <v>0.375</v>
      </c>
      <c r="J1061" s="5" t="n">
        <f>I1061*(1+$N$2)</f>
        <v>0.375</v>
      </c>
      <c r="K1061" s="5" t="n">
        <f>D1061*J1061</f>
        <v>1.125</v>
      </c>
      <c r="L1061" s="5"/>
      <c r="M1061" s="5"/>
      <c r="N1061" s="5"/>
      <c r="O1061" s="5"/>
    </row>
    <row r="1062">
      <c r="A1062" s="1"/>
      <c r="B1062" s="1" t="str">
        <v>Ligne fictive 0544</v>
      </c>
      <c r="C1062" s="1" t="str">
        <v>u</v>
      </c>
      <c r="D1062" s="5" t="n">
        <v>4</v>
      </c>
      <c r="E1062" s="5" t="n">
        <f>G1062*$L$2+J1062*$M$2*$O$2</f>
        <v>36.439</v>
      </c>
      <c r="F1062" s="5" t="n">
        <f>ROUND(D1062*E1062,2)</f>
        <v>145.76</v>
      </c>
      <c r="G1062" s="5" t="n">
        <v>8.03</v>
      </c>
      <c r="H1062" s="5" t="n">
        <f>D1062*G1062</f>
        <v>32.12</v>
      </c>
      <c r="I1062" s="5" t="n">
        <v>0.5</v>
      </c>
      <c r="J1062" s="5" t="n">
        <f>I1062*(1+$N$2)</f>
        <v>0.5</v>
      </c>
      <c r="K1062" s="5" t="n">
        <f>D1062*J1062</f>
        <v>2</v>
      </c>
      <c r="L1062" s="5"/>
      <c r="M1062" s="5"/>
      <c r="N1062" s="5"/>
      <c r="O1062" s="5"/>
    </row>
    <row r="1063">
      <c r="A1063" s="1"/>
      <c r="B1063" s="1" t="str">
        <v>Ligne fictive 0545</v>
      </c>
      <c r="C1063" s="1" t="str">
        <v>ml</v>
      </c>
      <c r="D1063" s="5" t="n">
        <v>5</v>
      </c>
      <c r="E1063" s="5" t="n">
        <f>G1063*$L$2+J1063*$M$2*$O$2</f>
        <v>35.243</v>
      </c>
      <c r="F1063" s="5" t="n">
        <f>ROUND(D1063*E1063,2)</f>
        <v>176.22</v>
      </c>
      <c r="G1063" s="5" t="n">
        <v>2.11</v>
      </c>
      <c r="H1063" s="5" t="n">
        <f>D1063*G1063</f>
        <v>10.549999999999999</v>
      </c>
      <c r="I1063" s="5" t="n">
        <v>0.625</v>
      </c>
      <c r="J1063" s="5" t="n">
        <f>I1063*(1+$N$2)</f>
        <v>0.625</v>
      </c>
      <c r="K1063" s="5" t="n">
        <f>D1063*J1063</f>
        <v>3.125</v>
      </c>
      <c r="L1063" s="5"/>
      <c r="M1063" s="5"/>
      <c r="N1063" s="5"/>
      <c r="O1063" s="5"/>
    </row>
    <row r="1064">
      <c r="A1064" s="1"/>
      <c r="B1064" s="1" t="str">
        <v>Statut fictif 068</v>
      </c>
      <c r="C1064" s="1" t="str">
        <v>HL</v>
      </c>
      <c r="D1064" s="5" t="n">
        <v>2</v>
      </c>
      <c r="E1064" s="5" t="n">
        <v>0</v>
      </c>
      <c r="F1064" s="5" t="n">
        <v>0</v>
      </c>
      <c r="G1064" s="5" t="n">
        <v>7.25</v>
      </c>
      <c r="H1064" s="5" t="n">
        <v>0</v>
      </c>
      <c r="I1064" s="5" t="n">
        <v>0.375</v>
      </c>
      <c r="J1064" s="5" t="n">
        <v>0</v>
      </c>
      <c r="K1064" s="5" t="n">
        <v>0</v>
      </c>
      <c r="L1064" s="5"/>
      <c r="M1064" s="5"/>
      <c r="N1064" s="5"/>
      <c r="O1064" s="5"/>
    </row>
    <row r="1065">
      <c r="A1065" s="1"/>
      <c r="B1065" s="1" t="str">
        <v>Réserve fictive 0067</v>
      </c>
      <c r="C1065" s="1" t="str">
        <v>u</v>
      </c>
      <c r="D1065" s="5"/>
      <c r="E1065" s="5" t="n">
        <v>0</v>
      </c>
      <c r="F1065" s="5" t="n">
        <v>0</v>
      </c>
      <c r="G1065" s="5" t="n">
        <v>0</v>
      </c>
      <c r="H1065" s="5" t="n">
        <v>0</v>
      </c>
      <c r="I1065" s="5" t="n">
        <v>0</v>
      </c>
      <c r="J1065" s="5" t="n">
        <v>0</v>
      </c>
      <c r="K1065" s="5" t="n">
        <v>0</v>
      </c>
      <c r="L1065" s="5"/>
      <c r="M1065" s="5"/>
      <c r="N1065" s="5"/>
      <c r="O1065" s="5"/>
    </row>
    <row r="1066">
      <c r="A1066" s="1"/>
      <c r="B1066" s="1" t="str">
        <v>Sous-total fictif 192</v>
      </c>
      <c r="C1066" s="1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</row>
    <row r="1067">
      <c r="A1067" s="1"/>
      <c r="B1067" s="6" t="str">
        <v>Section fictive 193</v>
      </c>
      <c r="C1067" s="1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</row>
    <row r="1068">
      <c r="A1068" s="1"/>
      <c r="B1068" s="1" t="str">
        <v>Ligne fictive 0546</v>
      </c>
      <c r="C1068" s="1" t="str">
        <v>m2</v>
      </c>
      <c r="D1068" s="5" t="n">
        <v>1</v>
      </c>
      <c r="E1068" s="5" t="n">
        <f>G1068*$L$2+J1068*$M$2*$O$2</f>
        <v>9.724</v>
      </c>
      <c r="F1068" s="5" t="n">
        <f>ROUND(D1068*E1068,2)</f>
        <v>9.72</v>
      </c>
      <c r="G1068" s="5" t="n">
        <v>2.48</v>
      </c>
      <c r="H1068" s="5" t="n">
        <f>D1068*G1068</f>
        <v>2.48</v>
      </c>
      <c r="I1068" s="5" t="n">
        <v>0.125</v>
      </c>
      <c r="J1068" s="5" t="n">
        <f>I1068*(1+$N$2)</f>
        <v>0.125</v>
      </c>
      <c r="K1068" s="5" t="n">
        <f>D1068*J1068</f>
        <v>0.125</v>
      </c>
      <c r="L1068" s="5"/>
      <c r="M1068" s="5"/>
      <c r="N1068" s="5"/>
      <c r="O1068" s="5"/>
    </row>
    <row r="1069">
      <c r="A1069" s="1"/>
      <c r="B1069" s="1" t="str">
        <v>Ligne fictive 0547</v>
      </c>
      <c r="C1069" s="1" t="str">
        <v>u</v>
      </c>
      <c r="D1069" s="5" t="n">
        <v>2</v>
      </c>
      <c r="E1069" s="5" t="n">
        <f>G1069*$L$2+J1069*$M$2*$O$2</f>
        <v>16.705</v>
      </c>
      <c r="F1069" s="5" t="n">
        <f>ROUND(D1069*E1069,2)</f>
        <v>33.41</v>
      </c>
      <c r="G1069" s="5" t="n">
        <v>2.85</v>
      </c>
      <c r="H1069" s="5" t="n">
        <f>D1069*G1069</f>
        <v>5.7</v>
      </c>
      <c r="I1069" s="5" t="n">
        <v>0.25</v>
      </c>
      <c r="J1069" s="5" t="n">
        <f>I1069*(1+$N$2)</f>
        <v>0.25</v>
      </c>
      <c r="K1069" s="5" t="n">
        <f>D1069*J1069</f>
        <v>0.5</v>
      </c>
      <c r="L1069" s="5"/>
      <c r="M1069" s="5"/>
      <c r="N1069" s="5"/>
      <c r="O1069" s="5"/>
    </row>
    <row r="1070">
      <c r="A1070" s="1"/>
      <c r="B1070" s="1" t="str">
        <v>Ligne fictive 0548</v>
      </c>
      <c r="C1070" s="1" t="str">
        <v>ml</v>
      </c>
      <c r="D1070" s="5" t="n">
        <v>3</v>
      </c>
      <c r="E1070" s="5" t="n">
        <f>G1070*$L$2+J1070*$M$2*$O$2</f>
        <v>23.686</v>
      </c>
      <c r="F1070" s="5" t="n">
        <f>ROUND(D1070*E1070,2)</f>
        <v>71.06</v>
      </c>
      <c r="G1070" s="5" t="n">
        <v>3.22</v>
      </c>
      <c r="H1070" s="5" t="n">
        <f>D1070*G1070</f>
        <v>9.66</v>
      </c>
      <c r="I1070" s="5" t="n">
        <v>0.375</v>
      </c>
      <c r="J1070" s="5" t="n">
        <f>I1070*(1+$N$2)</f>
        <v>0.375</v>
      </c>
      <c r="K1070" s="5" t="n">
        <f>D1070*J1070</f>
        <v>1.125</v>
      </c>
      <c r="L1070" s="5"/>
      <c r="M1070" s="5"/>
      <c r="N1070" s="5"/>
      <c r="O1070" s="5"/>
    </row>
    <row r="1071">
      <c r="A1071" s="1"/>
      <c r="B1071" s="1" t="str">
        <v>Sous-total fictif 193</v>
      </c>
      <c r="C1071" s="1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</row>
    <row r="1072">
      <c r="A1072" s="1"/>
      <c r="B1072" s="6" t="str">
        <v>Section fictive 194</v>
      </c>
      <c r="C1072" s="1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</row>
    <row r="1073">
      <c r="A1073" s="1"/>
      <c r="B1073" s="1" t="str">
        <v>Ligne fictive 0549</v>
      </c>
      <c r="C1073" s="1" t="str">
        <v>m2</v>
      </c>
      <c r="D1073" s="5" t="n">
        <v>4</v>
      </c>
      <c r="E1073" s="5" t="n">
        <f>G1073*$L$2+J1073*$M$2*$O$2</f>
        <v>30.667</v>
      </c>
      <c r="F1073" s="5" t="n">
        <f>ROUND(D1073*E1073,2)</f>
        <v>122.67</v>
      </c>
      <c r="G1073" s="5" t="n">
        <v>3.59</v>
      </c>
      <c r="H1073" s="5" t="n">
        <f>D1073*G1073</f>
        <v>14.36</v>
      </c>
      <c r="I1073" s="5" t="n">
        <v>0.5</v>
      </c>
      <c r="J1073" s="5" t="n">
        <f>I1073*(1+$N$2)</f>
        <v>0.5</v>
      </c>
      <c r="K1073" s="5" t="n">
        <f>D1073*J1073</f>
        <v>2</v>
      </c>
      <c r="L1073" s="5"/>
      <c r="M1073" s="5"/>
      <c r="N1073" s="5"/>
      <c r="O1073" s="5"/>
    </row>
    <row r="1074">
      <c r="A1074" s="1"/>
      <c r="B1074" s="1" t="str">
        <v>Ligne fictive 0550</v>
      </c>
      <c r="C1074" s="1" t="str">
        <v>u</v>
      </c>
      <c r="D1074" s="5" t="n">
        <v>5</v>
      </c>
      <c r="E1074" s="5" t="n">
        <f>G1074*$L$2+J1074*$M$2*$O$2</f>
        <v>37.647999999999996</v>
      </c>
      <c r="F1074" s="5" t="n">
        <f>ROUND(D1074*E1074,2)</f>
        <v>188.24</v>
      </c>
      <c r="G1074" s="5" t="n">
        <v>3.96</v>
      </c>
      <c r="H1074" s="5" t="n">
        <f>D1074*G1074</f>
        <v>19.8</v>
      </c>
      <c r="I1074" s="5" t="n">
        <v>0.625</v>
      </c>
      <c r="J1074" s="5" t="n">
        <f>I1074*(1+$N$2)</f>
        <v>0.625</v>
      </c>
      <c r="K1074" s="5" t="n">
        <f>D1074*J1074</f>
        <v>3.125</v>
      </c>
      <c r="L1074" s="5"/>
      <c r="M1074" s="5"/>
      <c r="N1074" s="5"/>
      <c r="O1074" s="5"/>
    </row>
    <row r="1075">
      <c r="A1075" s="1"/>
      <c r="B1075" s="1" t="str">
        <v>Réserve fictive 0068</v>
      </c>
      <c r="C1075" s="1" t="str">
        <v>u</v>
      </c>
      <c r="D1075" s="5"/>
      <c r="E1075" s="5" t="n">
        <v>0</v>
      </c>
      <c r="F1075" s="5" t="n">
        <v>0</v>
      </c>
      <c r="G1075" s="5" t="n">
        <v>0</v>
      </c>
      <c r="H1075" s="5" t="n">
        <v>0</v>
      </c>
      <c r="I1075" s="5" t="n">
        <v>0</v>
      </c>
      <c r="J1075" s="5" t="n">
        <v>0</v>
      </c>
      <c r="K1075" s="5" t="n">
        <v>0</v>
      </c>
      <c r="L1075" s="5"/>
      <c r="M1075" s="5"/>
      <c r="N1075" s="5"/>
      <c r="O1075" s="5"/>
    </row>
    <row r="1076">
      <c r="A1076" s="1"/>
      <c r="B1076" s="1" t="str">
        <v>Sous-total fictif 194</v>
      </c>
      <c r="C1076" s="1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</row>
    <row r="1077">
      <c r="A1077" s="1"/>
      <c r="B1077" s="6" t="str">
        <v>Section fictive 195</v>
      </c>
      <c r="C1077" s="1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</row>
    <row r="1078">
      <c r="A1078" s="1"/>
      <c r="B1078" s="1" t="str">
        <v>Ligne fictive 0551</v>
      </c>
      <c r="C1078" s="1" t="str">
        <v>ml</v>
      </c>
      <c r="D1078" s="5" t="n">
        <v>1</v>
      </c>
      <c r="E1078" s="5" t="n">
        <f>G1078*$L$2+J1078*$M$2*$O$2</f>
        <v>12.129000000000001</v>
      </c>
      <c r="F1078" s="5" t="n">
        <f>ROUND(D1078*E1078,2)</f>
        <v>12.13</v>
      </c>
      <c r="G1078" s="5" t="n">
        <v>4.33</v>
      </c>
      <c r="H1078" s="5" t="n">
        <f>D1078*G1078</f>
        <v>4.33</v>
      </c>
      <c r="I1078" s="5" t="n">
        <v>0.125</v>
      </c>
      <c r="J1078" s="5" t="n">
        <f>I1078*(1+$N$2)</f>
        <v>0.125</v>
      </c>
      <c r="K1078" s="5" t="n">
        <f>D1078*J1078</f>
        <v>0.125</v>
      </c>
      <c r="L1078" s="5"/>
      <c r="M1078" s="5"/>
      <c r="N1078" s="5"/>
      <c r="O1078" s="5"/>
    </row>
    <row r="1079">
      <c r="A1079" s="1"/>
      <c r="B1079" s="1" t="str">
        <v>Ligne fictive 0552</v>
      </c>
      <c r="C1079" s="1" t="str">
        <v>m2</v>
      </c>
      <c r="D1079" s="5" t="n">
        <v>2</v>
      </c>
      <c r="E1079" s="5" t="n">
        <f>G1079*$L$2+J1079*$M$2*$O$2</f>
        <v>19.11</v>
      </c>
      <c r="F1079" s="5" t="n">
        <f>ROUND(D1079*E1079,2)</f>
        <v>38.22</v>
      </c>
      <c r="G1079" s="5" t="n">
        <v>4.7</v>
      </c>
      <c r="H1079" s="5" t="n">
        <f>D1079*G1079</f>
        <v>9.4</v>
      </c>
      <c r="I1079" s="5" t="n">
        <v>0.25</v>
      </c>
      <c r="J1079" s="5" t="n">
        <f>I1079*(1+$N$2)</f>
        <v>0.25</v>
      </c>
      <c r="K1079" s="5" t="n">
        <f>D1079*J1079</f>
        <v>0.5</v>
      </c>
      <c r="L1079" s="5"/>
      <c r="M1079" s="5"/>
      <c r="N1079" s="5"/>
      <c r="O1079" s="5"/>
    </row>
    <row r="1080">
      <c r="A1080" s="1"/>
      <c r="B1080" s="1" t="str">
        <v>Ligne fictive 0553</v>
      </c>
      <c r="C1080" s="1" t="str">
        <v>u</v>
      </c>
      <c r="D1080" s="5" t="n">
        <v>3</v>
      </c>
      <c r="E1080" s="5" t="n">
        <f>G1080*$L$2+J1080*$M$2*$O$2</f>
        <v>26.091</v>
      </c>
      <c r="F1080" s="5" t="n">
        <f>ROUND(D1080*E1080,2)</f>
        <v>78.27</v>
      </c>
      <c r="G1080" s="5" t="n">
        <v>5.07</v>
      </c>
      <c r="H1080" s="5" t="n">
        <f>D1080*G1080</f>
        <v>15.21</v>
      </c>
      <c r="I1080" s="5" t="n">
        <v>0.375</v>
      </c>
      <c r="J1080" s="5" t="n">
        <f>I1080*(1+$N$2)</f>
        <v>0.375</v>
      </c>
      <c r="K1080" s="5" t="n">
        <f>D1080*J1080</f>
        <v>1.125</v>
      </c>
      <c r="L1080" s="5"/>
      <c r="M1080" s="5"/>
      <c r="N1080" s="5"/>
      <c r="O1080" s="5"/>
    </row>
    <row r="1081">
      <c r="A1081" s="1"/>
      <c r="B1081" s="1" t="str">
        <v>Statut fictif 069</v>
      </c>
      <c r="C1081" s="1" t="str">
        <v>HL</v>
      </c>
      <c r="D1081" s="5" t="n">
        <v>3</v>
      </c>
      <c r="E1081" s="5" t="n">
        <v>0</v>
      </c>
      <c r="F1081" s="5" t="n">
        <v>0</v>
      </c>
      <c r="G1081" s="5" t="n">
        <v>7.25</v>
      </c>
      <c r="H1081" s="5" t="n">
        <v>0</v>
      </c>
      <c r="I1081" s="5" t="n">
        <v>0.375</v>
      </c>
      <c r="J1081" s="5" t="n">
        <v>0</v>
      </c>
      <c r="K1081" s="5" t="n">
        <v>0</v>
      </c>
      <c r="L1081" s="5"/>
      <c r="M1081" s="5"/>
      <c r="N1081" s="5"/>
      <c r="O1081" s="5"/>
    </row>
    <row r="1082">
      <c r="A1082" s="1"/>
      <c r="B1082" s="1" t="str">
        <v>Sous-total fictif 195</v>
      </c>
      <c r="C1082" s="1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</row>
    <row r="1083">
      <c r="A1083" s="1"/>
      <c r="B1083" s="6" t="str">
        <v>Section fictive 196</v>
      </c>
      <c r="C1083" s="1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</row>
    <row r="1084">
      <c r="A1084" s="1"/>
      <c r="B1084" s="1" t="str">
        <v>Ligne fictive 0554</v>
      </c>
      <c r="C1084" s="1" t="str">
        <v>ml</v>
      </c>
      <c r="D1084" s="5" t="n">
        <v>4</v>
      </c>
      <c r="E1084" s="5" t="n">
        <f>G1084*$L$2+J1084*$M$2*$O$2</f>
        <v>33.072</v>
      </c>
      <c r="F1084" s="5" t="n">
        <f>ROUND(D1084*E1084,2)</f>
        <v>132.29</v>
      </c>
      <c r="G1084" s="5" t="n">
        <v>5.44</v>
      </c>
      <c r="H1084" s="5" t="n">
        <f>D1084*G1084</f>
        <v>21.76</v>
      </c>
      <c r="I1084" s="5" t="n">
        <v>0.5</v>
      </c>
      <c r="J1084" s="5" t="n">
        <f>I1084*(1+$N$2)</f>
        <v>0.5</v>
      </c>
      <c r="K1084" s="5" t="n">
        <f>D1084*J1084</f>
        <v>2</v>
      </c>
      <c r="L1084" s="5"/>
      <c r="M1084" s="5"/>
      <c r="N1084" s="5"/>
      <c r="O1084" s="5"/>
    </row>
    <row r="1085">
      <c r="A1085" s="1"/>
      <c r="B1085" s="1" t="str">
        <v>Ligne fictive 0555</v>
      </c>
      <c r="C1085" s="1" t="str">
        <v>m2</v>
      </c>
      <c r="D1085" s="5" t="n">
        <v>5</v>
      </c>
      <c r="E1085" s="5" t="n">
        <f>G1085*$L$2+J1085*$M$2*$O$2</f>
        <v>40.053</v>
      </c>
      <c r="F1085" s="5" t="n">
        <f>ROUND(D1085*E1085,2)</f>
        <v>200.27</v>
      </c>
      <c r="G1085" s="5" t="n">
        <v>5.81</v>
      </c>
      <c r="H1085" s="5" t="n">
        <f>D1085*G1085</f>
        <v>29.049999999999997</v>
      </c>
      <c r="I1085" s="5" t="n">
        <v>0.625</v>
      </c>
      <c r="J1085" s="5" t="n">
        <f>I1085*(1+$N$2)</f>
        <v>0.625</v>
      </c>
      <c r="K1085" s="5" t="n">
        <f>D1085*J1085</f>
        <v>3.125</v>
      </c>
      <c r="L1085" s="5"/>
      <c r="M1085" s="5"/>
      <c r="N1085" s="5"/>
      <c r="O1085" s="5"/>
    </row>
    <row r="1086">
      <c r="A1086" s="1"/>
      <c r="B1086" s="1" t="str">
        <v>Ligne fictive 0556</v>
      </c>
      <c r="C1086" s="1" t="str">
        <v>u</v>
      </c>
      <c r="D1086" s="5" t="n">
        <v>1</v>
      </c>
      <c r="E1086" s="5" t="n">
        <f>G1086*$L$2+J1086*$M$2*$O$2</f>
        <v>14.534</v>
      </c>
      <c r="F1086" s="5" t="n">
        <f>ROUND(D1086*E1086,2)</f>
        <v>14.53</v>
      </c>
      <c r="G1086" s="5" t="n">
        <v>6.18</v>
      </c>
      <c r="H1086" s="5" t="n">
        <f>D1086*G1086</f>
        <v>6.18</v>
      </c>
      <c r="I1086" s="5" t="n">
        <v>0.125</v>
      </c>
      <c r="J1086" s="5" t="n">
        <f>I1086*(1+$N$2)</f>
        <v>0.125</v>
      </c>
      <c r="K1086" s="5" t="n">
        <f>D1086*J1086</f>
        <v>0.125</v>
      </c>
      <c r="L1086" s="5"/>
      <c r="M1086" s="5"/>
      <c r="N1086" s="5"/>
      <c r="O1086" s="5"/>
    </row>
    <row r="1087">
      <c r="A1087" s="1"/>
      <c r="B1087" s="1" t="str">
        <v>Sous-total fictif 196</v>
      </c>
      <c r="C1087" s="1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</row>
    <row r="1088">
      <c r="A1088" s="1"/>
      <c r="B1088" s="6" t="str">
        <v>Section fictive 197</v>
      </c>
      <c r="C1088" s="1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</row>
    <row r="1089">
      <c r="A1089" s="1"/>
      <c r="B1089" s="1" t="str">
        <v>Ligne fictive 0557</v>
      </c>
      <c r="C1089" s="1" t="str">
        <v>ml</v>
      </c>
      <c r="D1089" s="5" t="n">
        <v>2</v>
      </c>
      <c r="E1089" s="5" t="n">
        <f>G1089*$L$2+J1089*$M$2*$O$2</f>
        <v>21.515</v>
      </c>
      <c r="F1089" s="5" t="n">
        <f>ROUND(D1089*E1089,2)</f>
        <v>43.03</v>
      </c>
      <c r="G1089" s="5" t="n">
        <v>6.55</v>
      </c>
      <c r="H1089" s="5" t="n">
        <f>D1089*G1089</f>
        <v>13.1</v>
      </c>
      <c r="I1089" s="5" t="n">
        <v>0.25</v>
      </c>
      <c r="J1089" s="5" t="n">
        <f>I1089*(1+$N$2)</f>
        <v>0.25</v>
      </c>
      <c r="K1089" s="5" t="n">
        <f>D1089*J1089</f>
        <v>0.5</v>
      </c>
      <c r="L1089" s="5"/>
      <c r="M1089" s="5"/>
      <c r="N1089" s="5"/>
      <c r="O1089" s="5"/>
    </row>
    <row r="1090">
      <c r="A1090" s="1"/>
      <c r="B1090" s="1" t="str">
        <v>Ligne fictive 0558</v>
      </c>
      <c r="C1090" s="1" t="str">
        <v>m2</v>
      </c>
      <c r="D1090" s="5" t="n">
        <v>3</v>
      </c>
      <c r="E1090" s="5" t="n">
        <f>G1090*$L$2+J1090*$M$2*$O$2</f>
        <v>28.496000000000002</v>
      </c>
      <c r="F1090" s="5" t="n">
        <f>ROUND(D1090*E1090,2)</f>
        <v>85.49</v>
      </c>
      <c r="G1090" s="5" t="n">
        <v>6.92</v>
      </c>
      <c r="H1090" s="5" t="n">
        <f>D1090*G1090</f>
        <v>20.759999999999998</v>
      </c>
      <c r="I1090" s="5" t="n">
        <v>0.375</v>
      </c>
      <c r="J1090" s="5" t="n">
        <f>I1090*(1+$N$2)</f>
        <v>0.375</v>
      </c>
      <c r="K1090" s="5" t="n">
        <f>D1090*J1090</f>
        <v>1.125</v>
      </c>
      <c r="L1090" s="5"/>
      <c r="M1090" s="5"/>
      <c r="N1090" s="5"/>
      <c r="O1090" s="5"/>
    </row>
    <row r="1091">
      <c r="A1091" s="1"/>
      <c r="B1091" s="1" t="str">
        <v>Ligne fictive 0559</v>
      </c>
      <c r="C1091" s="1" t="str">
        <v>u</v>
      </c>
      <c r="D1091" s="5" t="n">
        <v>4</v>
      </c>
      <c r="E1091" s="5" t="n">
        <f>G1091*$L$2+J1091*$M$2*$O$2</f>
        <v>35.477000000000004</v>
      </c>
      <c r="F1091" s="5" t="n">
        <f>ROUND(D1091*E1091,2)</f>
        <v>141.91</v>
      </c>
      <c r="G1091" s="5" t="n">
        <v>7.29</v>
      </c>
      <c r="H1091" s="5" t="n">
        <f>D1091*G1091</f>
        <v>29.16</v>
      </c>
      <c r="I1091" s="5" t="n">
        <v>0.5</v>
      </c>
      <c r="J1091" s="5" t="n">
        <f>I1091*(1+$N$2)</f>
        <v>0.5</v>
      </c>
      <c r="K1091" s="5" t="n">
        <f>D1091*J1091</f>
        <v>2</v>
      </c>
      <c r="L1091" s="5"/>
      <c r="M1091" s="5"/>
      <c r="N1091" s="5"/>
      <c r="O1091" s="5"/>
    </row>
    <row r="1092">
      <c r="A1092" s="1"/>
      <c r="B1092" s="1" t="str">
        <v>Réserve fictive 0069</v>
      </c>
      <c r="C1092" s="1" t="str">
        <v>u</v>
      </c>
      <c r="D1092" s="5"/>
      <c r="E1092" s="5" t="n">
        <v>0</v>
      </c>
      <c r="F1092" s="5" t="n">
        <v>0</v>
      </c>
      <c r="G1092" s="5" t="n">
        <v>0</v>
      </c>
      <c r="H1092" s="5" t="n">
        <v>0</v>
      </c>
      <c r="I1092" s="5" t="n">
        <v>0</v>
      </c>
      <c r="J1092" s="5" t="n">
        <v>0</v>
      </c>
      <c r="K1092" s="5" t="n">
        <v>0</v>
      </c>
      <c r="L1092" s="5"/>
      <c r="M1092" s="5"/>
      <c r="N1092" s="5"/>
      <c r="O1092" s="5"/>
    </row>
    <row r="1093">
      <c r="A1093" s="1"/>
      <c r="B1093" s="1" t="str">
        <v>Sous-total fictif 197</v>
      </c>
      <c r="C1093" s="1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</row>
    <row r="1094">
      <c r="A1094" s="1"/>
      <c r="B1094" s="6" t="str">
        <v>Section fictive 198</v>
      </c>
      <c r="C1094" s="1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</row>
    <row r="1095">
      <c r="A1095" s="1"/>
      <c r="B1095" s="1" t="str">
        <v>Ligne fictive 0560</v>
      </c>
      <c r="C1095" s="1" t="str">
        <v>ml</v>
      </c>
      <c r="D1095" s="5" t="n">
        <v>5</v>
      </c>
      <c r="E1095" s="5" t="n">
        <f>G1095*$L$2+J1095*$M$2*$O$2</f>
        <v>42.458</v>
      </c>
      <c r="F1095" s="5" t="n">
        <f>ROUND(D1095*E1095,2)</f>
        <v>212.29</v>
      </c>
      <c r="G1095" s="5" t="n">
        <v>7.66</v>
      </c>
      <c r="H1095" s="5" t="n">
        <f>D1095*G1095</f>
        <v>38.3</v>
      </c>
      <c r="I1095" s="5" t="n">
        <v>0.625</v>
      </c>
      <c r="J1095" s="5" t="n">
        <f>I1095*(1+$N$2)</f>
        <v>0.625</v>
      </c>
      <c r="K1095" s="5" t="n">
        <f>D1095*J1095</f>
        <v>3.125</v>
      </c>
      <c r="L1095" s="5"/>
      <c r="M1095" s="5"/>
      <c r="N1095" s="5"/>
      <c r="O1095" s="5"/>
    </row>
    <row r="1096">
      <c r="A1096" s="1"/>
      <c r="B1096" s="1" t="str">
        <v>Ligne fictive 0561</v>
      </c>
      <c r="C1096" s="1" t="str">
        <v>m2</v>
      </c>
      <c r="D1096" s="5" t="n">
        <v>1</v>
      </c>
      <c r="E1096" s="5" t="n">
        <f>G1096*$L$2+J1096*$M$2*$O$2</f>
        <v>16.939</v>
      </c>
      <c r="F1096" s="5" t="n">
        <f>ROUND(D1096*E1096,2)</f>
        <v>16.94</v>
      </c>
      <c r="G1096" s="5" t="n">
        <v>8.03</v>
      </c>
      <c r="H1096" s="5" t="n">
        <f>D1096*G1096</f>
        <v>8.03</v>
      </c>
      <c r="I1096" s="5" t="n">
        <v>0.125</v>
      </c>
      <c r="J1096" s="5" t="n">
        <f>I1096*(1+$N$2)</f>
        <v>0.125</v>
      </c>
      <c r="K1096" s="5" t="n">
        <f>D1096*J1096</f>
        <v>0.125</v>
      </c>
      <c r="L1096" s="5"/>
      <c r="M1096" s="5"/>
      <c r="N1096" s="5"/>
      <c r="O1096" s="5"/>
    </row>
    <row r="1097">
      <c r="A1097" s="1"/>
      <c r="B1097" s="1" t="str">
        <v>Ligne fictive 0562</v>
      </c>
      <c r="C1097" s="1" t="str">
        <v>u</v>
      </c>
      <c r="D1097" s="5" t="n">
        <v>2</v>
      </c>
      <c r="E1097" s="5" t="n">
        <f>G1097*$L$2+J1097*$M$2*$O$2</f>
        <v>15.743</v>
      </c>
      <c r="F1097" s="5" t="n">
        <f>ROUND(D1097*E1097,2)</f>
        <v>31.49</v>
      </c>
      <c r="G1097" s="5" t="n">
        <v>2.11</v>
      </c>
      <c r="H1097" s="5" t="n">
        <f>D1097*G1097</f>
        <v>4.22</v>
      </c>
      <c r="I1097" s="5" t="n">
        <v>0.25</v>
      </c>
      <c r="J1097" s="5" t="n">
        <f>I1097*(1+$N$2)</f>
        <v>0.25</v>
      </c>
      <c r="K1097" s="5" t="n">
        <f>D1097*J1097</f>
        <v>0.5</v>
      </c>
      <c r="L1097" s="5"/>
      <c r="M1097" s="5"/>
      <c r="N1097" s="5"/>
      <c r="O1097" s="5"/>
    </row>
    <row r="1098">
      <c r="A1098" s="1"/>
      <c r="B1098" s="1" t="str">
        <v>Statut fictif 070</v>
      </c>
      <c r="C1098" s="1" t="str">
        <v>HL</v>
      </c>
      <c r="D1098" s="5" t="n">
        <v>1</v>
      </c>
      <c r="E1098" s="5" t="n">
        <v>0</v>
      </c>
      <c r="F1098" s="5" t="n">
        <v>0</v>
      </c>
      <c r="G1098" s="5" t="n">
        <v>7.25</v>
      </c>
      <c r="H1098" s="5" t="n">
        <v>0</v>
      </c>
      <c r="I1098" s="5" t="n">
        <v>0.375</v>
      </c>
      <c r="J1098" s="5" t="n">
        <v>0</v>
      </c>
      <c r="K1098" s="5" t="n">
        <v>0</v>
      </c>
      <c r="L1098" s="5"/>
      <c r="M1098" s="5"/>
      <c r="N1098" s="5"/>
      <c r="O1098" s="5"/>
    </row>
    <row r="1099">
      <c r="A1099" s="1"/>
      <c r="B1099" s="1" t="str">
        <v>Sous-total fictif 198</v>
      </c>
      <c r="C1099" s="1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</row>
    <row r="1100">
      <c r="A1100" s="1"/>
      <c r="B1100" s="6" t="str">
        <v>Section fictive 199</v>
      </c>
      <c r="C1100" s="1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</row>
    <row r="1101">
      <c r="A1101" s="1"/>
      <c r="B1101" s="1" t="str">
        <v>Ligne fictive 0563</v>
      </c>
      <c r="C1101" s="1" t="str">
        <v>ml</v>
      </c>
      <c r="D1101" s="5" t="n">
        <v>3</v>
      </c>
      <c r="E1101" s="5" t="n">
        <f>G1101*$L$2+J1101*$M$2*$O$2</f>
        <v>22.724</v>
      </c>
      <c r="F1101" s="5" t="n">
        <f>ROUND(D1101*E1101,2)</f>
        <v>68.17</v>
      </c>
      <c r="G1101" s="5" t="n">
        <v>2.48</v>
      </c>
      <c r="H1101" s="5" t="n">
        <f>D1101*G1101</f>
        <v>7.4399999999999995</v>
      </c>
      <c r="I1101" s="5" t="n">
        <v>0.375</v>
      </c>
      <c r="J1101" s="5" t="n">
        <f>I1101*(1+$N$2)</f>
        <v>0.375</v>
      </c>
      <c r="K1101" s="5" t="n">
        <f>D1101*J1101</f>
        <v>1.125</v>
      </c>
      <c r="L1101" s="5"/>
      <c r="M1101" s="5"/>
      <c r="N1101" s="5"/>
      <c r="O1101" s="5"/>
    </row>
    <row r="1102">
      <c r="A1102" s="1"/>
      <c r="B1102" s="1" t="str">
        <v>Ligne fictive 0564</v>
      </c>
      <c r="C1102" s="1" t="str">
        <v>m2</v>
      </c>
      <c r="D1102" s="5" t="n">
        <v>4</v>
      </c>
      <c r="E1102" s="5" t="n">
        <f>G1102*$L$2+J1102*$M$2*$O$2</f>
        <v>29.705</v>
      </c>
      <c r="F1102" s="5" t="n">
        <f>ROUND(D1102*E1102,2)</f>
        <v>118.82</v>
      </c>
      <c r="G1102" s="5" t="n">
        <v>2.85</v>
      </c>
      <c r="H1102" s="5" t="n">
        <f>D1102*G1102</f>
        <v>11.4</v>
      </c>
      <c r="I1102" s="5" t="n">
        <v>0.5</v>
      </c>
      <c r="J1102" s="5" t="n">
        <f>I1102*(1+$N$2)</f>
        <v>0.5</v>
      </c>
      <c r="K1102" s="5" t="n">
        <f>D1102*J1102</f>
        <v>2</v>
      </c>
      <c r="L1102" s="5"/>
      <c r="M1102" s="5"/>
      <c r="N1102" s="5"/>
      <c r="O1102" s="5"/>
    </row>
    <row r="1103">
      <c r="A1103" s="1"/>
      <c r="B1103" s="1" t="str">
        <v>Ligne fictive 0565</v>
      </c>
      <c r="C1103" s="1" t="str">
        <v>u</v>
      </c>
      <c r="D1103" s="5" t="n">
        <v>5</v>
      </c>
      <c r="E1103" s="5" t="n">
        <f>G1103*$L$2+J1103*$M$2*$O$2</f>
        <v>36.686</v>
      </c>
      <c r="F1103" s="5" t="n">
        <f>ROUND(D1103*E1103,2)</f>
        <v>183.43</v>
      </c>
      <c r="G1103" s="5" t="n">
        <v>3.22</v>
      </c>
      <c r="H1103" s="5" t="n">
        <f>D1103*G1103</f>
        <v>16.1</v>
      </c>
      <c r="I1103" s="5" t="n">
        <v>0.625</v>
      </c>
      <c r="J1103" s="5" t="n">
        <f>I1103*(1+$N$2)</f>
        <v>0.625</v>
      </c>
      <c r="K1103" s="5" t="n">
        <f>D1103*J1103</f>
        <v>3.125</v>
      </c>
      <c r="L1103" s="5"/>
      <c r="M1103" s="5"/>
      <c r="N1103" s="5"/>
      <c r="O1103" s="5"/>
    </row>
    <row r="1104">
      <c r="A1104" s="1"/>
      <c r="B1104" s="1" t="str">
        <v>Sous-total fictif 199</v>
      </c>
      <c r="C1104" s="1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</row>
    <row r="1105">
      <c r="A1105" s="1"/>
      <c r="B1105" s="6" t="str">
        <v>Section fictive 200</v>
      </c>
      <c r="C1105" s="1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</row>
    <row r="1106">
      <c r="A1106" s="1"/>
      <c r="B1106" s="1" t="str">
        <v>Ligne fictive 0566</v>
      </c>
      <c r="C1106" s="1" t="str">
        <v>ml</v>
      </c>
      <c r="D1106" s="5" t="n">
        <v>1</v>
      </c>
      <c r="E1106" s="5" t="n">
        <f>G1106*$L$2+J1106*$M$2*$O$2</f>
        <v>11.167</v>
      </c>
      <c r="F1106" s="5" t="n">
        <f>ROUND(D1106*E1106,2)</f>
        <v>11.17</v>
      </c>
      <c r="G1106" s="5" t="n">
        <v>3.59</v>
      </c>
      <c r="H1106" s="5" t="n">
        <f>D1106*G1106</f>
        <v>3.59</v>
      </c>
      <c r="I1106" s="5" t="n">
        <v>0.125</v>
      </c>
      <c r="J1106" s="5" t="n">
        <f>I1106*(1+$N$2)</f>
        <v>0.125</v>
      </c>
      <c r="K1106" s="5" t="n">
        <f>D1106*J1106</f>
        <v>0.125</v>
      </c>
      <c r="L1106" s="5"/>
      <c r="M1106" s="5"/>
      <c r="N1106" s="5"/>
      <c r="O1106" s="5"/>
    </row>
    <row r="1107">
      <c r="A1107" s="1"/>
      <c r="B1107" s="1" t="str">
        <v>Ligne fictive 0567</v>
      </c>
      <c r="C1107" s="1" t="str">
        <v>m2</v>
      </c>
      <c r="D1107" s="5" t="n">
        <v>2</v>
      </c>
      <c r="E1107" s="5" t="n">
        <f>G1107*$L$2+J1107*$M$2*$O$2</f>
        <v>18.148</v>
      </c>
      <c r="F1107" s="5" t="n">
        <f>ROUND(D1107*E1107,2)</f>
        <v>36.3</v>
      </c>
      <c r="G1107" s="5" t="n">
        <v>3.96</v>
      </c>
      <c r="H1107" s="5" t="n">
        <f>D1107*G1107</f>
        <v>7.92</v>
      </c>
      <c r="I1107" s="5" t="n">
        <v>0.25</v>
      </c>
      <c r="J1107" s="5" t="n">
        <f>I1107*(1+$N$2)</f>
        <v>0.25</v>
      </c>
      <c r="K1107" s="5" t="n">
        <f>D1107*J1107</f>
        <v>0.5</v>
      </c>
      <c r="L1107" s="5"/>
      <c r="M1107" s="5"/>
      <c r="N1107" s="5"/>
      <c r="O1107" s="5"/>
    </row>
    <row r="1108">
      <c r="A1108" s="1"/>
      <c r="B1108" s="1" t="str">
        <v>Réserve fictive 0070</v>
      </c>
      <c r="C1108" s="1" t="str">
        <v>u</v>
      </c>
      <c r="D1108" s="5"/>
      <c r="E1108" s="5" t="n">
        <v>0</v>
      </c>
      <c r="F1108" s="5" t="n">
        <v>0</v>
      </c>
      <c r="G1108" s="5" t="n">
        <v>0</v>
      </c>
      <c r="H1108" s="5" t="n">
        <v>0</v>
      </c>
      <c r="I1108" s="5" t="n">
        <v>0</v>
      </c>
      <c r="J1108" s="5" t="n">
        <v>0</v>
      </c>
      <c r="K1108" s="5" t="n">
        <v>0</v>
      </c>
      <c r="L1108" s="5"/>
      <c r="M1108" s="5"/>
      <c r="N1108" s="5"/>
      <c r="O1108" s="5"/>
    </row>
    <row r="1109">
      <c r="A1109" s="1"/>
      <c r="B1109" s="1" t="str">
        <v>Sous-total fictif 200</v>
      </c>
      <c r="C1109" s="1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</row>
    <row r="1110">
      <c r="A1110" s="1"/>
      <c r="B1110" s="6" t="str">
        <v>Section fictive 201</v>
      </c>
      <c r="C1110" s="1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</row>
    <row r="1111">
      <c r="A1111" s="1"/>
      <c r="B1111" s="1" t="str">
        <v>Ligne fictive 0568</v>
      </c>
      <c r="C1111" s="1" t="str">
        <v>u</v>
      </c>
      <c r="D1111" s="5" t="n">
        <v>3</v>
      </c>
      <c r="E1111" s="5" t="n">
        <f>G1111*$L$2+J1111*$M$2*$O$2</f>
        <v>25.129</v>
      </c>
      <c r="F1111" s="5" t="n">
        <f>ROUND(D1111*E1111,2)</f>
        <v>75.39</v>
      </c>
      <c r="G1111" s="5" t="n">
        <v>4.33</v>
      </c>
      <c r="H1111" s="5" t="n">
        <f>D1111*G1111</f>
        <v>12.99</v>
      </c>
      <c r="I1111" s="5" t="n">
        <v>0.375</v>
      </c>
      <c r="J1111" s="5" t="n">
        <f>I1111*(1+$N$2)</f>
        <v>0.375</v>
      </c>
      <c r="K1111" s="5" t="n">
        <f>D1111*J1111</f>
        <v>1.125</v>
      </c>
      <c r="L1111" s="5"/>
      <c r="M1111" s="5"/>
      <c r="N1111" s="5"/>
      <c r="O1111" s="5"/>
    </row>
    <row r="1112">
      <c r="A1112" s="1"/>
      <c r="B1112" s="1" t="str">
        <v>Ligne fictive 0569</v>
      </c>
      <c r="C1112" s="1" t="str">
        <v>ml</v>
      </c>
      <c r="D1112" s="5" t="n">
        <v>4</v>
      </c>
      <c r="E1112" s="5" t="n">
        <f>G1112*$L$2+J1112*$M$2*$O$2</f>
        <v>32.11</v>
      </c>
      <c r="F1112" s="5" t="n">
        <f>ROUND(D1112*E1112,2)</f>
        <v>128.44</v>
      </c>
      <c r="G1112" s="5" t="n">
        <v>4.7</v>
      </c>
      <c r="H1112" s="5" t="n">
        <f>D1112*G1112</f>
        <v>18.8</v>
      </c>
      <c r="I1112" s="5" t="n">
        <v>0.5</v>
      </c>
      <c r="J1112" s="5" t="n">
        <f>I1112*(1+$N$2)</f>
        <v>0.5</v>
      </c>
      <c r="K1112" s="5" t="n">
        <f>D1112*J1112</f>
        <v>2</v>
      </c>
      <c r="L1112" s="5"/>
      <c r="M1112" s="5"/>
      <c r="N1112" s="5"/>
      <c r="O1112" s="5"/>
    </row>
    <row r="1113">
      <c r="A1113" s="1"/>
      <c r="B1113" s="1" t="str">
        <v>Ligne fictive 0570</v>
      </c>
      <c r="C1113" s="1" t="str">
        <v>m2</v>
      </c>
      <c r="D1113" s="5" t="n">
        <v>5</v>
      </c>
      <c r="E1113" s="5" t="n">
        <f>G1113*$L$2+J1113*$M$2*$O$2</f>
        <v>39.091</v>
      </c>
      <c r="F1113" s="5" t="n">
        <f>ROUND(D1113*E1113,2)</f>
        <v>195.46</v>
      </c>
      <c r="G1113" s="5" t="n">
        <v>5.07</v>
      </c>
      <c r="H1113" s="5" t="n">
        <f>D1113*G1113</f>
        <v>25.35</v>
      </c>
      <c r="I1113" s="5" t="n">
        <v>0.625</v>
      </c>
      <c r="J1113" s="5" t="n">
        <f>I1113*(1+$N$2)</f>
        <v>0.625</v>
      </c>
      <c r="K1113" s="5" t="n">
        <f>D1113*J1113</f>
        <v>3.125</v>
      </c>
      <c r="L1113" s="5"/>
      <c r="M1113" s="5"/>
      <c r="N1113" s="5"/>
      <c r="O1113" s="5"/>
    </row>
    <row r="1114">
      <c r="A1114" s="1"/>
      <c r="B1114" s="1" t="str">
        <v>Statut fictif 071</v>
      </c>
      <c r="C1114" s="1" t="str">
        <v>HL</v>
      </c>
      <c r="D1114" s="5" t="n">
        <v>2</v>
      </c>
      <c r="E1114" s="5" t="n">
        <v>0</v>
      </c>
      <c r="F1114" s="5" t="n">
        <v>0</v>
      </c>
      <c r="G1114" s="5" t="n">
        <v>7.25</v>
      </c>
      <c r="H1114" s="5" t="n">
        <v>0</v>
      </c>
      <c r="I1114" s="5" t="n">
        <v>0.375</v>
      </c>
      <c r="J1114" s="5" t="n">
        <v>0</v>
      </c>
      <c r="K1114" s="5" t="n">
        <v>0</v>
      </c>
      <c r="L1114" s="5"/>
      <c r="M1114" s="5"/>
      <c r="N1114" s="5"/>
      <c r="O1114" s="5"/>
    </row>
    <row r="1115">
      <c r="A1115" s="1"/>
      <c r="B1115" s="1" t="str">
        <v>Sous-total fictif 201</v>
      </c>
      <c r="C1115" s="1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</row>
    <row r="1116">
      <c r="A1116" s="1"/>
      <c r="B1116" s="6" t="str">
        <v>Section fictive 202</v>
      </c>
      <c r="C1116" s="1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</row>
    <row r="1117">
      <c r="A1117" s="1"/>
      <c r="B1117" s="1" t="str">
        <v>Ligne fictive 0571</v>
      </c>
      <c r="C1117" s="1" t="str">
        <v>u</v>
      </c>
      <c r="D1117" s="5" t="n">
        <v>1</v>
      </c>
      <c r="E1117" s="5" t="n">
        <f>G1117*$L$2+J1117*$M$2*$O$2</f>
        <v>13.572000000000001</v>
      </c>
      <c r="F1117" s="5" t="n">
        <f>ROUND(D1117*E1117,2)</f>
        <v>13.57</v>
      </c>
      <c r="G1117" s="5" t="n">
        <v>5.44</v>
      </c>
      <c r="H1117" s="5" t="n">
        <f>D1117*G1117</f>
        <v>5.44</v>
      </c>
      <c r="I1117" s="5" t="n">
        <v>0.125</v>
      </c>
      <c r="J1117" s="5" t="n">
        <f>I1117*(1+$N$2)</f>
        <v>0.125</v>
      </c>
      <c r="K1117" s="5" t="n">
        <f>D1117*J1117</f>
        <v>0.125</v>
      </c>
      <c r="L1117" s="5"/>
      <c r="M1117" s="5"/>
      <c r="N1117" s="5"/>
      <c r="O1117" s="5"/>
    </row>
    <row r="1118">
      <c r="A1118" s="1"/>
      <c r="B1118" s="1" t="str">
        <v>Ligne fictive 0572</v>
      </c>
      <c r="C1118" s="1" t="str">
        <v>ml</v>
      </c>
      <c r="D1118" s="5" t="n">
        <v>2</v>
      </c>
      <c r="E1118" s="5" t="n">
        <f>G1118*$L$2+J1118*$M$2*$O$2</f>
        <v>20.553</v>
      </c>
      <c r="F1118" s="5" t="n">
        <f>ROUND(D1118*E1118,2)</f>
        <v>41.11</v>
      </c>
      <c r="G1118" s="5" t="n">
        <v>5.81</v>
      </c>
      <c r="H1118" s="5" t="n">
        <f>D1118*G1118</f>
        <v>11.62</v>
      </c>
      <c r="I1118" s="5" t="n">
        <v>0.25</v>
      </c>
      <c r="J1118" s="5" t="n">
        <f>I1118*(1+$N$2)</f>
        <v>0.25</v>
      </c>
      <c r="K1118" s="5" t="n">
        <f>D1118*J1118</f>
        <v>0.5</v>
      </c>
      <c r="L1118" s="5"/>
      <c r="M1118" s="5"/>
      <c r="N1118" s="5"/>
      <c r="O1118" s="5"/>
    </row>
    <row r="1119">
      <c r="A1119" s="1"/>
      <c r="B1119" s="1" t="str">
        <v>Ligne fictive 0573</v>
      </c>
      <c r="C1119" s="1" t="str">
        <v>m2</v>
      </c>
      <c r="D1119" s="5" t="n">
        <v>3</v>
      </c>
      <c r="E1119" s="5" t="n">
        <f>G1119*$L$2+J1119*$M$2*$O$2</f>
        <v>27.534</v>
      </c>
      <c r="F1119" s="5" t="n">
        <f>ROUND(D1119*E1119,2)</f>
        <v>82.6</v>
      </c>
      <c r="G1119" s="5" t="n">
        <v>6.18</v>
      </c>
      <c r="H1119" s="5" t="n">
        <f>D1119*G1119</f>
        <v>18.54</v>
      </c>
      <c r="I1119" s="5" t="n">
        <v>0.375</v>
      </c>
      <c r="J1119" s="5" t="n">
        <f>I1119*(1+$N$2)</f>
        <v>0.375</v>
      </c>
      <c r="K1119" s="5" t="n">
        <f>D1119*J1119</f>
        <v>1.125</v>
      </c>
      <c r="L1119" s="5"/>
      <c r="M1119" s="5"/>
      <c r="N1119" s="5"/>
      <c r="O1119" s="5"/>
    </row>
    <row r="1120">
      <c r="A1120" s="1"/>
      <c r="B1120" s="1" t="str">
        <v>Sous-total fictif 202</v>
      </c>
      <c r="C1120" s="1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</row>
    <row r="1121">
      <c r="A1121" s="1"/>
      <c r="B1121" s="6" t="str">
        <v>Section fictive 203</v>
      </c>
      <c r="C1121" s="1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</row>
    <row r="1122">
      <c r="A1122" s="1"/>
      <c r="B1122" s="1" t="str">
        <v>Ligne fictive 0574</v>
      </c>
      <c r="C1122" s="1" t="str">
        <v>u</v>
      </c>
      <c r="D1122" s="5" t="n">
        <v>4</v>
      </c>
      <c r="E1122" s="5" t="n">
        <f>G1122*$L$2+J1122*$M$2*$O$2</f>
        <v>34.515</v>
      </c>
      <c r="F1122" s="5" t="n">
        <f>ROUND(D1122*E1122,2)</f>
        <v>138.06</v>
      </c>
      <c r="G1122" s="5" t="n">
        <v>6.55</v>
      </c>
      <c r="H1122" s="5" t="n">
        <f>D1122*G1122</f>
        <v>26.2</v>
      </c>
      <c r="I1122" s="5" t="n">
        <v>0.5</v>
      </c>
      <c r="J1122" s="5" t="n">
        <f>I1122*(1+$N$2)</f>
        <v>0.5</v>
      </c>
      <c r="K1122" s="5" t="n">
        <f>D1122*J1122</f>
        <v>2</v>
      </c>
      <c r="L1122" s="5"/>
      <c r="M1122" s="5"/>
      <c r="N1122" s="5"/>
      <c r="O1122" s="5"/>
    </row>
    <row r="1123">
      <c r="A1123" s="1"/>
      <c r="B1123" s="1" t="str">
        <v>Ligne fictive 0575</v>
      </c>
      <c r="C1123" s="1" t="str">
        <v>ml</v>
      </c>
      <c r="D1123" s="5" t="n">
        <v>5</v>
      </c>
      <c r="E1123" s="5" t="n">
        <f>G1123*$L$2+J1123*$M$2*$O$2</f>
        <v>41.496</v>
      </c>
      <c r="F1123" s="5" t="n">
        <f>ROUND(D1123*E1123,2)</f>
        <v>207.48</v>
      </c>
      <c r="G1123" s="5" t="n">
        <v>6.92</v>
      </c>
      <c r="H1123" s="5" t="n">
        <f>D1123*G1123</f>
        <v>34.6</v>
      </c>
      <c r="I1123" s="5" t="n">
        <v>0.625</v>
      </c>
      <c r="J1123" s="5" t="n">
        <f>I1123*(1+$N$2)</f>
        <v>0.625</v>
      </c>
      <c r="K1123" s="5" t="n">
        <f>D1123*J1123</f>
        <v>3.125</v>
      </c>
      <c r="L1123" s="5"/>
      <c r="M1123" s="5"/>
      <c r="N1123" s="5"/>
      <c r="O1123" s="5"/>
    </row>
    <row r="1124">
      <c r="A1124" s="1"/>
      <c r="B1124" s="1" t="str">
        <v>Ligne fictive 0576</v>
      </c>
      <c r="C1124" s="1" t="str">
        <v>m2</v>
      </c>
      <c r="D1124" s="5" t="n">
        <v>1</v>
      </c>
      <c r="E1124" s="5" t="n">
        <f>G1124*$L$2+J1124*$M$2*$O$2</f>
        <v>15.977</v>
      </c>
      <c r="F1124" s="5" t="n">
        <f>ROUND(D1124*E1124,2)</f>
        <v>15.98</v>
      </c>
      <c r="G1124" s="5" t="n">
        <v>7.29</v>
      </c>
      <c r="H1124" s="5" t="n">
        <f>D1124*G1124</f>
        <v>7.29</v>
      </c>
      <c r="I1124" s="5" t="n">
        <v>0.125</v>
      </c>
      <c r="J1124" s="5" t="n">
        <f>I1124*(1+$N$2)</f>
        <v>0.125</v>
      </c>
      <c r="K1124" s="5" t="n">
        <f>D1124*J1124</f>
        <v>0.125</v>
      </c>
      <c r="L1124" s="5"/>
      <c r="M1124" s="5"/>
      <c r="N1124" s="5"/>
      <c r="O1124" s="5"/>
    </row>
    <row r="1125">
      <c r="A1125" s="1"/>
      <c r="B1125" s="1" t="str">
        <v>Statut fictif 072</v>
      </c>
      <c r="C1125" s="1" t="str">
        <v>HL</v>
      </c>
      <c r="D1125" s="5" t="n">
        <v>3</v>
      </c>
      <c r="E1125" s="5" t="n">
        <v>0</v>
      </c>
      <c r="F1125" s="5" t="n">
        <v>0</v>
      </c>
      <c r="G1125" s="5" t="n">
        <v>7.25</v>
      </c>
      <c r="H1125" s="5" t="n">
        <v>0</v>
      </c>
      <c r="I1125" s="5" t="n">
        <v>0.375</v>
      </c>
      <c r="J1125" s="5" t="n">
        <v>0</v>
      </c>
      <c r="K1125" s="5" t="n">
        <v>0</v>
      </c>
      <c r="L1125" s="5"/>
      <c r="M1125" s="5"/>
      <c r="N1125" s="5"/>
      <c r="O1125" s="5"/>
    </row>
    <row r="1126">
      <c r="A1126" s="1"/>
      <c r="B1126" s="1" t="str">
        <v>Réserve fictive 0071</v>
      </c>
      <c r="C1126" s="1" t="str">
        <v>u</v>
      </c>
      <c r="D1126" s="5"/>
      <c r="E1126" s="5" t="n">
        <v>0</v>
      </c>
      <c r="F1126" s="5" t="n">
        <v>0</v>
      </c>
      <c r="G1126" s="5" t="n">
        <v>0</v>
      </c>
      <c r="H1126" s="5" t="n">
        <v>0</v>
      </c>
      <c r="I1126" s="5" t="n">
        <v>0</v>
      </c>
      <c r="J1126" s="5" t="n">
        <v>0</v>
      </c>
      <c r="K1126" s="5" t="n">
        <v>0</v>
      </c>
      <c r="L1126" s="5"/>
      <c r="M1126" s="5"/>
      <c r="N1126" s="5"/>
      <c r="O1126" s="5"/>
    </row>
    <row r="1127">
      <c r="A1127" s="1"/>
      <c r="B1127" s="1" t="str">
        <v>Sous-total fictif 203</v>
      </c>
      <c r="C1127" s="1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</row>
    <row r="1128">
      <c r="A1128" s="1"/>
      <c r="B1128" s="6" t="str">
        <v>Section fictive 204</v>
      </c>
      <c r="C1128" s="1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</row>
    <row r="1129">
      <c r="A1129" s="1"/>
      <c r="B1129" s="1" t="str">
        <v>Ligne fictive 0577</v>
      </c>
      <c r="C1129" s="1" t="str">
        <v>u</v>
      </c>
      <c r="D1129" s="5" t="n">
        <v>2</v>
      </c>
      <c r="E1129" s="5" t="n">
        <f>G1129*$L$2+J1129*$M$2*$O$2</f>
        <v>22.958</v>
      </c>
      <c r="F1129" s="5" t="n">
        <f>ROUND(D1129*E1129,2)</f>
        <v>45.92</v>
      </c>
      <c r="G1129" s="5" t="n">
        <v>7.66</v>
      </c>
      <c r="H1129" s="5" t="n">
        <f>D1129*G1129</f>
        <v>15.32</v>
      </c>
      <c r="I1129" s="5" t="n">
        <v>0.25</v>
      </c>
      <c r="J1129" s="5" t="n">
        <f>I1129*(1+$N$2)</f>
        <v>0.25</v>
      </c>
      <c r="K1129" s="5" t="n">
        <f>D1129*J1129</f>
        <v>0.5</v>
      </c>
      <c r="L1129" s="5"/>
      <c r="M1129" s="5"/>
      <c r="N1129" s="5"/>
      <c r="O1129" s="5"/>
    </row>
    <row r="1130">
      <c r="A1130" s="1"/>
      <c r="B1130" s="1" t="str">
        <v>Ligne fictive 0578</v>
      </c>
      <c r="C1130" s="1" t="str">
        <v>ml</v>
      </c>
      <c r="D1130" s="5" t="n">
        <v>3</v>
      </c>
      <c r="E1130" s="5" t="n">
        <f>G1130*$L$2+J1130*$M$2*$O$2</f>
        <v>29.939</v>
      </c>
      <c r="F1130" s="5" t="n">
        <f>ROUND(D1130*E1130,2)</f>
        <v>89.82</v>
      </c>
      <c r="G1130" s="5" t="n">
        <v>8.03</v>
      </c>
      <c r="H1130" s="5" t="n">
        <f>D1130*G1130</f>
        <v>24.089999999999996</v>
      </c>
      <c r="I1130" s="5" t="n">
        <v>0.375</v>
      </c>
      <c r="J1130" s="5" t="n">
        <f>I1130*(1+$N$2)</f>
        <v>0.375</v>
      </c>
      <c r="K1130" s="5" t="n">
        <f>D1130*J1130</f>
        <v>1.125</v>
      </c>
      <c r="L1130" s="5"/>
      <c r="M1130" s="5"/>
      <c r="N1130" s="5"/>
      <c r="O1130" s="5"/>
    </row>
    <row r="1131">
      <c r="A1131" s="1"/>
      <c r="B1131" s="1" t="str">
        <v>Ligne fictive 0579</v>
      </c>
      <c r="C1131" s="1" t="str">
        <v>m2</v>
      </c>
      <c r="D1131" s="5" t="n">
        <v>4</v>
      </c>
      <c r="E1131" s="5" t="n">
        <f>G1131*$L$2+J1131*$M$2*$O$2</f>
        <v>28.743</v>
      </c>
      <c r="F1131" s="5" t="n">
        <f>ROUND(D1131*E1131,2)</f>
        <v>114.97</v>
      </c>
      <c r="G1131" s="5" t="n">
        <v>2.11</v>
      </c>
      <c r="H1131" s="5" t="n">
        <f>D1131*G1131</f>
        <v>8.44</v>
      </c>
      <c r="I1131" s="5" t="n">
        <v>0.5</v>
      </c>
      <c r="J1131" s="5" t="n">
        <f>I1131*(1+$N$2)</f>
        <v>0.5</v>
      </c>
      <c r="K1131" s="5" t="n">
        <f>D1131*J1131</f>
        <v>2</v>
      </c>
      <c r="L1131" s="5"/>
      <c r="M1131" s="5"/>
      <c r="N1131" s="5"/>
      <c r="O1131" s="5"/>
    </row>
    <row r="1132">
      <c r="A1132" s="1"/>
      <c r="B1132" s="1" t="str">
        <v>Sous-total fictif 204</v>
      </c>
      <c r="C1132" s="1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</row>
    <row r="1133">
      <c r="A1133" s="1"/>
      <c r="B1133" s="6" t="str">
        <v>Section fictive 205</v>
      </c>
      <c r="C1133" s="1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</row>
    <row r="1134">
      <c r="A1134" s="1"/>
      <c r="B1134" s="1" t="str">
        <v>Ligne fictive 0580</v>
      </c>
      <c r="C1134" s="1" t="str">
        <v>u</v>
      </c>
      <c r="D1134" s="5" t="n">
        <v>5</v>
      </c>
      <c r="E1134" s="5" t="n">
        <f>G1134*$L$2+J1134*$M$2*$O$2</f>
        <v>35.724000000000004</v>
      </c>
      <c r="F1134" s="5" t="n">
        <f>ROUND(D1134*E1134,2)</f>
        <v>178.62</v>
      </c>
      <c r="G1134" s="5" t="n">
        <v>2.48</v>
      </c>
      <c r="H1134" s="5" t="n">
        <f>D1134*G1134</f>
        <v>12.4</v>
      </c>
      <c r="I1134" s="5" t="n">
        <v>0.625</v>
      </c>
      <c r="J1134" s="5" t="n">
        <f>I1134*(1+$N$2)</f>
        <v>0.625</v>
      </c>
      <c r="K1134" s="5" t="n">
        <f>D1134*J1134</f>
        <v>3.125</v>
      </c>
      <c r="L1134" s="5"/>
      <c r="M1134" s="5"/>
      <c r="N1134" s="5"/>
      <c r="O1134" s="5"/>
    </row>
    <row r="1135">
      <c r="A1135" s="1"/>
      <c r="B1135" s="1" t="str">
        <v>Ligne fictive 0581</v>
      </c>
      <c r="C1135" s="1" t="str">
        <v>ml</v>
      </c>
      <c r="D1135" s="5" t="n">
        <v>1</v>
      </c>
      <c r="E1135" s="5" t="n">
        <f>G1135*$L$2+J1135*$M$2*$O$2</f>
        <v>10.205</v>
      </c>
      <c r="F1135" s="5" t="n">
        <f>ROUND(D1135*E1135,2)</f>
        <v>10.21</v>
      </c>
      <c r="G1135" s="5" t="n">
        <v>2.85</v>
      </c>
      <c r="H1135" s="5" t="n">
        <f>D1135*G1135</f>
        <v>2.85</v>
      </c>
      <c r="I1135" s="5" t="n">
        <v>0.125</v>
      </c>
      <c r="J1135" s="5" t="n">
        <f>I1135*(1+$N$2)</f>
        <v>0.125</v>
      </c>
      <c r="K1135" s="5" t="n">
        <f>D1135*J1135</f>
        <v>0.125</v>
      </c>
      <c r="L1135" s="5"/>
      <c r="M1135" s="5"/>
      <c r="N1135" s="5"/>
      <c r="O1135" s="5"/>
    </row>
    <row r="1136">
      <c r="A1136" s="1"/>
      <c r="B1136" s="1" t="str">
        <v>Ligne fictive 0582</v>
      </c>
      <c r="C1136" s="1" t="str">
        <v>m2</v>
      </c>
      <c r="D1136" s="5" t="n">
        <v>2</v>
      </c>
      <c r="E1136" s="5" t="n">
        <f>G1136*$L$2+J1136*$M$2*$O$2</f>
        <v>17.186</v>
      </c>
      <c r="F1136" s="5" t="n">
        <f>ROUND(D1136*E1136,2)</f>
        <v>34.37</v>
      </c>
      <c r="G1136" s="5" t="n">
        <v>3.22</v>
      </c>
      <c r="H1136" s="5" t="n">
        <f>D1136*G1136</f>
        <v>6.44</v>
      </c>
      <c r="I1136" s="5" t="n">
        <v>0.25</v>
      </c>
      <c r="J1136" s="5" t="n">
        <f>I1136*(1+$N$2)</f>
        <v>0.25</v>
      </c>
      <c r="K1136" s="5" t="n">
        <f>D1136*J1136</f>
        <v>0.5</v>
      </c>
      <c r="L1136" s="5"/>
      <c r="M1136" s="5"/>
      <c r="N1136" s="5"/>
      <c r="O1136" s="5"/>
    </row>
    <row r="1137">
      <c r="A1137" s="1"/>
      <c r="B1137" s="1" t="str">
        <v>Sous-total fictif 205</v>
      </c>
      <c r="C1137" s="1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</row>
    <row r="1138">
      <c r="A1138" s="1"/>
      <c r="B1138" s="6" t="str">
        <v>Section fictive 206</v>
      </c>
      <c r="C1138" s="1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</row>
    <row r="1139">
      <c r="A1139" s="1"/>
      <c r="B1139" s="1" t="str">
        <v>Ligne fictive 0583</v>
      </c>
      <c r="C1139" s="1" t="str">
        <v>u</v>
      </c>
      <c r="D1139" s="5" t="n">
        <v>3</v>
      </c>
      <c r="E1139" s="5" t="n">
        <f>G1139*$L$2+J1139*$M$2*$O$2</f>
        <v>24.167</v>
      </c>
      <c r="F1139" s="5" t="n">
        <f>ROUND(D1139*E1139,2)</f>
        <v>72.5</v>
      </c>
      <c r="G1139" s="5" t="n">
        <v>3.59</v>
      </c>
      <c r="H1139" s="5" t="n">
        <f>D1139*G1139</f>
        <v>10.77</v>
      </c>
      <c r="I1139" s="5" t="n">
        <v>0.375</v>
      </c>
      <c r="J1139" s="5" t="n">
        <f>I1139*(1+$N$2)</f>
        <v>0.375</v>
      </c>
      <c r="K1139" s="5" t="n">
        <f>D1139*J1139</f>
        <v>1.125</v>
      </c>
      <c r="L1139" s="5"/>
      <c r="M1139" s="5"/>
      <c r="N1139" s="5"/>
      <c r="O1139" s="5"/>
    </row>
    <row r="1140">
      <c r="A1140" s="1"/>
      <c r="B1140" s="1" t="str">
        <v>Ligne fictive 0584</v>
      </c>
      <c r="C1140" s="1" t="str">
        <v>ml</v>
      </c>
      <c r="D1140" s="5" t="n">
        <v>4</v>
      </c>
      <c r="E1140" s="5" t="n">
        <f>G1140*$L$2+J1140*$M$2*$O$2</f>
        <v>31.148</v>
      </c>
      <c r="F1140" s="5" t="n">
        <f>ROUND(D1140*E1140,2)</f>
        <v>124.59</v>
      </c>
      <c r="G1140" s="5" t="n">
        <v>3.96</v>
      </c>
      <c r="H1140" s="5" t="n">
        <f>D1140*G1140</f>
        <v>15.84</v>
      </c>
      <c r="I1140" s="5" t="n">
        <v>0.5</v>
      </c>
      <c r="J1140" s="5" t="n">
        <f>I1140*(1+$N$2)</f>
        <v>0.5</v>
      </c>
      <c r="K1140" s="5" t="n">
        <f>D1140*J1140</f>
        <v>2</v>
      </c>
      <c r="L1140" s="5"/>
      <c r="M1140" s="5"/>
      <c r="N1140" s="5"/>
      <c r="O1140" s="5"/>
    </row>
    <row r="1141">
      <c r="A1141" s="1"/>
      <c r="B1141" s="1" t="str">
        <v>Ligne fictive 0585</v>
      </c>
      <c r="C1141" s="1" t="str">
        <v>m2</v>
      </c>
      <c r="D1141" s="5" t="n">
        <v>5</v>
      </c>
      <c r="E1141" s="5" t="n">
        <f>G1141*$L$2+J1141*$M$2*$O$2</f>
        <v>38.129</v>
      </c>
      <c r="F1141" s="5" t="n">
        <f>ROUND(D1141*E1141,2)</f>
        <v>190.65</v>
      </c>
      <c r="G1141" s="5" t="n">
        <v>4.33</v>
      </c>
      <c r="H1141" s="5" t="n">
        <f>D1141*G1141</f>
        <v>21.65</v>
      </c>
      <c r="I1141" s="5" t="n">
        <v>0.625</v>
      </c>
      <c r="J1141" s="5" t="n">
        <f>I1141*(1+$N$2)</f>
        <v>0.625</v>
      </c>
      <c r="K1141" s="5" t="n">
        <f>D1141*J1141</f>
        <v>3.125</v>
      </c>
      <c r="L1141" s="5"/>
      <c r="M1141" s="5"/>
      <c r="N1141" s="5"/>
      <c r="O1141" s="5"/>
    </row>
    <row r="1142">
      <c r="A1142" s="1"/>
      <c r="B1142" s="1" t="str">
        <v>Statut fictif 073</v>
      </c>
      <c r="C1142" s="1" t="str">
        <v>HL</v>
      </c>
      <c r="D1142" s="5" t="n">
        <v>1</v>
      </c>
      <c r="E1142" s="5" t="n">
        <v>0</v>
      </c>
      <c r="F1142" s="5" t="n">
        <v>0</v>
      </c>
      <c r="G1142" s="5" t="n">
        <v>7.25</v>
      </c>
      <c r="H1142" s="5" t="n">
        <v>0</v>
      </c>
      <c r="I1142" s="5" t="n">
        <v>0.375</v>
      </c>
      <c r="J1142" s="5" t="n">
        <v>0</v>
      </c>
      <c r="K1142" s="5" t="n">
        <v>0</v>
      </c>
      <c r="L1142" s="5"/>
      <c r="M1142" s="5"/>
      <c r="N1142" s="5"/>
      <c r="O1142" s="5"/>
    </row>
    <row r="1143">
      <c r="A1143" s="1"/>
      <c r="B1143" s="1" t="str">
        <v>Réserve fictive 0072</v>
      </c>
      <c r="C1143" s="1" t="str">
        <v>u</v>
      </c>
      <c r="D1143" s="5"/>
      <c r="E1143" s="5" t="n">
        <v>0</v>
      </c>
      <c r="F1143" s="5" t="n">
        <v>0</v>
      </c>
      <c r="G1143" s="5" t="n">
        <v>0</v>
      </c>
      <c r="H1143" s="5" t="n">
        <v>0</v>
      </c>
      <c r="I1143" s="5" t="n">
        <v>0</v>
      </c>
      <c r="J1143" s="5" t="n">
        <v>0</v>
      </c>
      <c r="K1143" s="5" t="n">
        <v>0</v>
      </c>
      <c r="L1143" s="5"/>
      <c r="M1143" s="5"/>
      <c r="N1143" s="5"/>
      <c r="O1143" s="5"/>
    </row>
    <row r="1144">
      <c r="A1144" s="1"/>
      <c r="B1144" s="1" t="str">
        <v>Sous-total fictif 206</v>
      </c>
      <c r="C1144" s="1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</row>
    <row r="1145">
      <c r="A1145" s="1"/>
      <c r="B1145" s="6" t="str">
        <v>Section fictive 207</v>
      </c>
      <c r="C1145" s="1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</row>
    <row r="1146">
      <c r="A1146" s="1"/>
      <c r="B1146" s="1" t="str">
        <v>Ligne fictive 0586</v>
      </c>
      <c r="C1146" s="1" t="str">
        <v>u</v>
      </c>
      <c r="D1146" s="5" t="n">
        <v>1</v>
      </c>
      <c r="E1146" s="5" t="n">
        <f>G1146*$L$2+J1146*$M$2*$O$2</f>
        <v>12.61</v>
      </c>
      <c r="F1146" s="5" t="n">
        <f>ROUND(D1146*E1146,2)</f>
        <v>12.61</v>
      </c>
      <c r="G1146" s="5" t="n">
        <v>4.7</v>
      </c>
      <c r="H1146" s="5" t="n">
        <f>D1146*G1146</f>
        <v>4.7</v>
      </c>
      <c r="I1146" s="5" t="n">
        <v>0.125</v>
      </c>
      <c r="J1146" s="5" t="n">
        <f>I1146*(1+$N$2)</f>
        <v>0.125</v>
      </c>
      <c r="K1146" s="5" t="n">
        <f>D1146*J1146</f>
        <v>0.125</v>
      </c>
      <c r="L1146" s="5"/>
      <c r="M1146" s="5"/>
      <c r="N1146" s="5"/>
      <c r="O1146" s="5"/>
    </row>
    <row r="1147">
      <c r="A1147" s="1"/>
      <c r="B1147" s="1" t="str">
        <v>Ligne fictive 0587</v>
      </c>
      <c r="C1147" s="1" t="str">
        <v>ml</v>
      </c>
      <c r="D1147" s="5" t="n">
        <v>2</v>
      </c>
      <c r="E1147" s="5" t="n">
        <f>G1147*$L$2+J1147*$M$2*$O$2</f>
        <v>19.591</v>
      </c>
      <c r="F1147" s="5" t="n">
        <f>ROUND(D1147*E1147,2)</f>
        <v>39.18</v>
      </c>
      <c r="G1147" s="5" t="n">
        <v>5.07</v>
      </c>
      <c r="H1147" s="5" t="n">
        <f>D1147*G1147</f>
        <v>10.14</v>
      </c>
      <c r="I1147" s="5" t="n">
        <v>0.25</v>
      </c>
      <c r="J1147" s="5" t="n">
        <f>I1147*(1+$N$2)</f>
        <v>0.25</v>
      </c>
      <c r="K1147" s="5" t="n">
        <f>D1147*J1147</f>
        <v>0.5</v>
      </c>
      <c r="L1147" s="5"/>
      <c r="M1147" s="5"/>
      <c r="N1147" s="5"/>
      <c r="O1147" s="5"/>
    </row>
    <row r="1148">
      <c r="A1148" s="1"/>
      <c r="B1148" s="1" t="str">
        <v>Sous-total fictif 207</v>
      </c>
      <c r="C1148" s="1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</row>
    <row r="1149">
      <c r="A1149" s="1"/>
      <c r="B1149" s="6" t="str">
        <v>Section fictive 208</v>
      </c>
      <c r="C1149" s="1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</row>
    <row r="1150">
      <c r="A1150" s="1"/>
      <c r="B1150" s="1" t="str">
        <v>Ligne fictive 0588</v>
      </c>
      <c r="C1150" s="1" t="str">
        <v>m2</v>
      </c>
      <c r="D1150" s="5" t="n">
        <v>3</v>
      </c>
      <c r="E1150" s="5" t="n">
        <f>G1150*$L$2+J1150*$M$2*$O$2</f>
        <v>26.572000000000003</v>
      </c>
      <c r="F1150" s="5" t="n">
        <f>ROUND(D1150*E1150,2)</f>
        <v>79.72</v>
      </c>
      <c r="G1150" s="5" t="n">
        <v>5.44</v>
      </c>
      <c r="H1150" s="5" t="n">
        <f>D1150*G1150</f>
        <v>16.32</v>
      </c>
      <c r="I1150" s="5" t="n">
        <v>0.375</v>
      </c>
      <c r="J1150" s="5" t="n">
        <f>I1150*(1+$N$2)</f>
        <v>0.375</v>
      </c>
      <c r="K1150" s="5" t="n">
        <f>D1150*J1150</f>
        <v>1.125</v>
      </c>
      <c r="L1150" s="5"/>
      <c r="M1150" s="5"/>
      <c r="N1150" s="5"/>
      <c r="O1150" s="5"/>
    </row>
    <row r="1151">
      <c r="A1151" s="1"/>
      <c r="B1151" s="1" t="str">
        <v>Ligne fictive 0589</v>
      </c>
      <c r="C1151" s="1" t="str">
        <v>u</v>
      </c>
      <c r="D1151" s="5" t="n">
        <v>4</v>
      </c>
      <c r="E1151" s="5" t="n">
        <f>G1151*$L$2+J1151*$M$2*$O$2</f>
        <v>33.553</v>
      </c>
      <c r="F1151" s="5" t="n">
        <f>ROUND(D1151*E1151,2)</f>
        <v>134.21</v>
      </c>
      <c r="G1151" s="5" t="n">
        <v>5.81</v>
      </c>
      <c r="H1151" s="5" t="n">
        <f>D1151*G1151</f>
        <v>23.24</v>
      </c>
      <c r="I1151" s="5" t="n">
        <v>0.5</v>
      </c>
      <c r="J1151" s="5" t="n">
        <f>I1151*(1+$N$2)</f>
        <v>0.5</v>
      </c>
      <c r="K1151" s="5" t="n">
        <f>D1151*J1151</f>
        <v>2</v>
      </c>
      <c r="L1151" s="5"/>
      <c r="M1151" s="5"/>
      <c r="N1151" s="5"/>
      <c r="O1151" s="5"/>
    </row>
    <row r="1152">
      <c r="A1152" s="1"/>
      <c r="B1152" s="1" t="str">
        <v>Ligne fictive 0590</v>
      </c>
      <c r="C1152" s="1" t="str">
        <v>ml</v>
      </c>
      <c r="D1152" s="5" t="n">
        <v>5</v>
      </c>
      <c r="E1152" s="5" t="n">
        <f>G1152*$L$2+J1152*$M$2*$O$2</f>
        <v>40.534</v>
      </c>
      <c r="F1152" s="5" t="n">
        <f>ROUND(D1152*E1152,2)</f>
        <v>202.67</v>
      </c>
      <c r="G1152" s="5" t="n">
        <v>6.18</v>
      </c>
      <c r="H1152" s="5" t="n">
        <f>D1152*G1152</f>
        <v>30.9</v>
      </c>
      <c r="I1152" s="5" t="n">
        <v>0.625</v>
      </c>
      <c r="J1152" s="5" t="n">
        <f>I1152*(1+$N$2)</f>
        <v>0.625</v>
      </c>
      <c r="K1152" s="5" t="n">
        <f>D1152*J1152</f>
        <v>3.125</v>
      </c>
      <c r="L1152" s="5"/>
      <c r="M1152" s="5"/>
      <c r="N1152" s="5"/>
      <c r="O1152" s="5"/>
    </row>
    <row r="1153">
      <c r="A1153" s="1"/>
      <c r="B1153" s="1" t="str">
        <v>Sous-total fictif 208</v>
      </c>
      <c r="C1153" s="1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</row>
    <row r="1154">
      <c r="A1154" s="1"/>
      <c r="B1154" s="6" t="str">
        <v>Section fictive 209</v>
      </c>
      <c r="C1154" s="1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</row>
    <row r="1155">
      <c r="A1155" s="1"/>
      <c r="B1155" s="1" t="str">
        <v>Ligne fictive 0591</v>
      </c>
      <c r="C1155" s="1" t="str">
        <v>m2</v>
      </c>
      <c r="D1155" s="5" t="n">
        <v>1</v>
      </c>
      <c r="E1155" s="5" t="n">
        <f>G1155*$L$2+J1155*$M$2*$O$2</f>
        <v>15.015</v>
      </c>
      <c r="F1155" s="5" t="n">
        <f>ROUND(D1155*E1155,2)</f>
        <v>15.02</v>
      </c>
      <c r="G1155" s="5" t="n">
        <v>6.55</v>
      </c>
      <c r="H1155" s="5" t="n">
        <f>D1155*G1155</f>
        <v>6.55</v>
      </c>
      <c r="I1155" s="5" t="n">
        <v>0.125</v>
      </c>
      <c r="J1155" s="5" t="n">
        <f>I1155*(1+$N$2)</f>
        <v>0.125</v>
      </c>
      <c r="K1155" s="5" t="n">
        <f>D1155*J1155</f>
        <v>0.125</v>
      </c>
      <c r="L1155" s="5"/>
      <c r="M1155" s="5"/>
      <c r="N1155" s="5"/>
      <c r="O1155" s="5"/>
    </row>
    <row r="1156">
      <c r="A1156" s="1"/>
      <c r="B1156" s="1" t="str">
        <v>Ligne fictive 0592</v>
      </c>
      <c r="C1156" s="1" t="str">
        <v>u</v>
      </c>
      <c r="D1156" s="5" t="n">
        <v>2</v>
      </c>
      <c r="E1156" s="5" t="n">
        <f>G1156*$L$2+J1156*$M$2*$O$2</f>
        <v>21.996000000000002</v>
      </c>
      <c r="F1156" s="5" t="n">
        <f>ROUND(D1156*E1156,2)</f>
        <v>43.99</v>
      </c>
      <c r="G1156" s="5" t="n">
        <v>6.92</v>
      </c>
      <c r="H1156" s="5" t="n">
        <f>D1156*G1156</f>
        <v>13.84</v>
      </c>
      <c r="I1156" s="5" t="n">
        <v>0.25</v>
      </c>
      <c r="J1156" s="5" t="n">
        <f>I1156*(1+$N$2)</f>
        <v>0.25</v>
      </c>
      <c r="K1156" s="5" t="n">
        <f>D1156*J1156</f>
        <v>0.5</v>
      </c>
      <c r="L1156" s="5"/>
      <c r="M1156" s="5"/>
      <c r="N1156" s="5"/>
      <c r="O1156" s="5"/>
    </row>
    <row r="1157">
      <c r="A1157" s="1"/>
      <c r="B1157" s="1" t="str">
        <v>Ligne fictive 0593</v>
      </c>
      <c r="C1157" s="1" t="str">
        <v>ml</v>
      </c>
      <c r="D1157" s="5" t="n">
        <v>3</v>
      </c>
      <c r="E1157" s="5" t="n">
        <f>G1157*$L$2+J1157*$M$2*$O$2</f>
        <v>28.977</v>
      </c>
      <c r="F1157" s="5" t="n">
        <f>ROUND(D1157*E1157,2)</f>
        <v>86.93</v>
      </c>
      <c r="G1157" s="5" t="n">
        <v>7.29</v>
      </c>
      <c r="H1157" s="5" t="n">
        <f>D1157*G1157</f>
        <v>21.87</v>
      </c>
      <c r="I1157" s="5" t="n">
        <v>0.375</v>
      </c>
      <c r="J1157" s="5" t="n">
        <f>I1157*(1+$N$2)</f>
        <v>0.375</v>
      </c>
      <c r="K1157" s="5" t="n">
        <f>D1157*J1157</f>
        <v>1.125</v>
      </c>
      <c r="L1157" s="5"/>
      <c r="M1157" s="5"/>
      <c r="N1157" s="5"/>
      <c r="O1157" s="5"/>
    </row>
    <row r="1158">
      <c r="A1158" s="1"/>
      <c r="B1158" s="1" t="str">
        <v>Statut fictif 074</v>
      </c>
      <c r="C1158" s="1" t="str">
        <v>HL</v>
      </c>
      <c r="D1158" s="5" t="n">
        <v>2</v>
      </c>
      <c r="E1158" s="5" t="n">
        <v>0</v>
      </c>
      <c r="F1158" s="5" t="n">
        <v>0</v>
      </c>
      <c r="G1158" s="5" t="n">
        <v>7.25</v>
      </c>
      <c r="H1158" s="5" t="n">
        <v>0</v>
      </c>
      <c r="I1158" s="5" t="n">
        <v>0.375</v>
      </c>
      <c r="J1158" s="5" t="n">
        <v>0</v>
      </c>
      <c r="K1158" s="5" t="n">
        <v>0</v>
      </c>
      <c r="L1158" s="5"/>
      <c r="M1158" s="5"/>
      <c r="N1158" s="5"/>
      <c r="O1158" s="5"/>
    </row>
    <row r="1159">
      <c r="A1159" s="1"/>
      <c r="B1159" s="1" t="str">
        <v>Réserve fictive 0073</v>
      </c>
      <c r="C1159" s="1" t="str">
        <v>u</v>
      </c>
      <c r="D1159" s="5"/>
      <c r="E1159" s="5" t="n">
        <v>0</v>
      </c>
      <c r="F1159" s="5" t="n">
        <v>0</v>
      </c>
      <c r="G1159" s="5" t="n">
        <v>0</v>
      </c>
      <c r="H1159" s="5" t="n">
        <v>0</v>
      </c>
      <c r="I1159" s="5" t="n">
        <v>0</v>
      </c>
      <c r="J1159" s="5" t="n">
        <v>0</v>
      </c>
      <c r="K1159" s="5" t="n">
        <v>0</v>
      </c>
      <c r="L1159" s="5"/>
      <c r="M1159" s="5"/>
      <c r="N1159" s="5"/>
      <c r="O1159" s="5"/>
    </row>
    <row r="1160">
      <c r="A1160" s="1"/>
      <c r="B1160" s="1" t="str">
        <v>Sous-total fictif 209</v>
      </c>
      <c r="C1160" s="1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</row>
    <row r="1161">
      <c r="A1161" s="1"/>
      <c r="B1161" s="6" t="str">
        <v>Section fictive 210</v>
      </c>
      <c r="C1161" s="1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</row>
    <row r="1162">
      <c r="A1162" s="1"/>
      <c r="B1162" s="1" t="str">
        <v>Ligne fictive 0594</v>
      </c>
      <c r="C1162" s="1" t="str">
        <v>m2</v>
      </c>
      <c r="D1162" s="5" t="n">
        <v>4</v>
      </c>
      <c r="E1162" s="5" t="n">
        <f>G1162*$L$2+J1162*$M$2*$O$2</f>
        <v>35.958</v>
      </c>
      <c r="F1162" s="5" t="n">
        <f>ROUND(D1162*E1162,2)</f>
        <v>143.83</v>
      </c>
      <c r="G1162" s="5" t="n">
        <v>7.66</v>
      </c>
      <c r="H1162" s="5" t="n">
        <f>D1162*G1162</f>
        <v>30.64</v>
      </c>
      <c r="I1162" s="5" t="n">
        <v>0.5</v>
      </c>
      <c r="J1162" s="5" t="n">
        <f>I1162*(1+$N$2)</f>
        <v>0.5</v>
      </c>
      <c r="K1162" s="5" t="n">
        <f>D1162*J1162</f>
        <v>2</v>
      </c>
      <c r="L1162" s="5"/>
      <c r="M1162" s="5"/>
      <c r="N1162" s="5"/>
      <c r="O1162" s="5"/>
    </row>
    <row r="1163">
      <c r="A1163" s="1"/>
      <c r="B1163" s="1" t="str">
        <v>Ligne fictive 0595</v>
      </c>
      <c r="C1163" s="1" t="str">
        <v>u</v>
      </c>
      <c r="D1163" s="5" t="n">
        <v>5</v>
      </c>
      <c r="E1163" s="5" t="n">
        <f>G1163*$L$2+J1163*$M$2*$O$2</f>
        <v>42.939</v>
      </c>
      <c r="F1163" s="5" t="n">
        <f>ROUND(D1163*E1163,2)</f>
        <v>214.7</v>
      </c>
      <c r="G1163" s="5" t="n">
        <v>8.03</v>
      </c>
      <c r="H1163" s="5" t="n">
        <f>D1163*G1163</f>
        <v>40.15</v>
      </c>
      <c r="I1163" s="5" t="n">
        <v>0.625</v>
      </c>
      <c r="J1163" s="5" t="n">
        <f>I1163*(1+$N$2)</f>
        <v>0.625</v>
      </c>
      <c r="K1163" s="5" t="n">
        <f>D1163*J1163</f>
        <v>3.125</v>
      </c>
      <c r="L1163" s="5"/>
      <c r="M1163" s="5"/>
      <c r="N1163" s="5"/>
      <c r="O1163" s="5"/>
    </row>
    <row r="1164">
      <c r="A1164" s="1"/>
      <c r="B1164" s="1" t="str">
        <v>Ligne fictive 0596</v>
      </c>
      <c r="C1164" s="1" t="str">
        <v>ml</v>
      </c>
      <c r="D1164" s="5" t="n">
        <v>1</v>
      </c>
      <c r="E1164" s="5" t="n">
        <f>G1164*$L$2+J1164*$M$2*$O$2</f>
        <v>9.243</v>
      </c>
      <c r="F1164" s="5" t="n">
        <f>ROUND(D1164*E1164,2)</f>
        <v>9.24</v>
      </c>
      <c r="G1164" s="5" t="n">
        <v>2.11</v>
      </c>
      <c r="H1164" s="5" t="n">
        <f>D1164*G1164</f>
        <v>2.11</v>
      </c>
      <c r="I1164" s="5" t="n">
        <v>0.125</v>
      </c>
      <c r="J1164" s="5" t="n">
        <f>I1164*(1+$N$2)</f>
        <v>0.125</v>
      </c>
      <c r="K1164" s="5" t="n">
        <f>D1164*J1164</f>
        <v>0.125</v>
      </c>
      <c r="L1164" s="5"/>
      <c r="M1164" s="5"/>
      <c r="N1164" s="5"/>
      <c r="O1164" s="5"/>
    </row>
    <row r="1165">
      <c r="A1165" s="1"/>
      <c r="B1165" s="1" t="str">
        <v>Sous-total fictif 210</v>
      </c>
      <c r="C1165" s="1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</row>
    <row r="1166">
      <c r="A1166" s="1"/>
      <c r="B1166" s="6" t="str">
        <v>Section fictive 211</v>
      </c>
      <c r="C1166" s="1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</row>
    <row r="1167">
      <c r="A1167" s="1"/>
      <c r="B1167" s="1" t="str">
        <v>Ligne fictive 0597</v>
      </c>
      <c r="C1167" s="1" t="str">
        <v>m2</v>
      </c>
      <c r="D1167" s="5" t="n">
        <v>2</v>
      </c>
      <c r="E1167" s="5" t="n">
        <f>G1167*$L$2+J1167*$M$2*$O$2</f>
        <v>16.224</v>
      </c>
      <c r="F1167" s="5" t="n">
        <f>ROUND(D1167*E1167,2)</f>
        <v>32.45</v>
      </c>
      <c r="G1167" s="5" t="n">
        <v>2.48</v>
      </c>
      <c r="H1167" s="5" t="n">
        <f>D1167*G1167</f>
        <v>4.96</v>
      </c>
      <c r="I1167" s="5" t="n">
        <v>0.25</v>
      </c>
      <c r="J1167" s="5" t="n">
        <f>I1167*(1+$N$2)</f>
        <v>0.25</v>
      </c>
      <c r="K1167" s="5" t="n">
        <f>D1167*J1167</f>
        <v>0.5</v>
      </c>
      <c r="L1167" s="5"/>
      <c r="M1167" s="5"/>
      <c r="N1167" s="5"/>
      <c r="O1167" s="5"/>
    </row>
    <row r="1168">
      <c r="A1168" s="1"/>
      <c r="B1168" s="1" t="str">
        <v>Ligne fictive 0598</v>
      </c>
      <c r="C1168" s="1" t="str">
        <v>u</v>
      </c>
      <c r="D1168" s="5" t="n">
        <v>3</v>
      </c>
      <c r="E1168" s="5" t="n">
        <f>G1168*$L$2+J1168*$M$2*$O$2</f>
        <v>23.205</v>
      </c>
      <c r="F1168" s="5" t="n">
        <f>ROUND(D1168*E1168,2)</f>
        <v>69.61</v>
      </c>
      <c r="G1168" s="5" t="n">
        <v>2.85</v>
      </c>
      <c r="H1168" s="5" t="n">
        <f>D1168*G1168</f>
        <v>8.55</v>
      </c>
      <c r="I1168" s="5" t="n">
        <v>0.375</v>
      </c>
      <c r="J1168" s="5" t="n">
        <f>I1168*(1+$N$2)</f>
        <v>0.375</v>
      </c>
      <c r="K1168" s="5" t="n">
        <f>D1168*J1168</f>
        <v>1.125</v>
      </c>
      <c r="L1168" s="5"/>
      <c r="M1168" s="5"/>
      <c r="N1168" s="5"/>
      <c r="O1168" s="5"/>
    </row>
    <row r="1169">
      <c r="A1169" s="1"/>
      <c r="B1169" s="1" t="str">
        <v>Ligne fictive 0599</v>
      </c>
      <c r="C1169" s="1" t="str">
        <v>ml</v>
      </c>
      <c r="D1169" s="5" t="n">
        <v>4</v>
      </c>
      <c r="E1169" s="5" t="n">
        <f>G1169*$L$2+J1169*$M$2*$O$2</f>
        <v>30.186</v>
      </c>
      <c r="F1169" s="5" t="n">
        <f>ROUND(D1169*E1169,2)</f>
        <v>120.74</v>
      </c>
      <c r="G1169" s="5" t="n">
        <v>3.22</v>
      </c>
      <c r="H1169" s="5" t="n">
        <f>D1169*G1169</f>
        <v>12.88</v>
      </c>
      <c r="I1169" s="5" t="n">
        <v>0.5</v>
      </c>
      <c r="J1169" s="5" t="n">
        <f>I1169*(1+$N$2)</f>
        <v>0.5</v>
      </c>
      <c r="K1169" s="5" t="n">
        <f>D1169*J1169</f>
        <v>2</v>
      </c>
      <c r="L1169" s="5"/>
      <c r="M1169" s="5"/>
      <c r="N1169" s="5"/>
      <c r="O1169" s="5"/>
    </row>
    <row r="1170">
      <c r="A1170" s="1"/>
      <c r="B1170" s="1" t="str">
        <v>Sous-total fictif 211</v>
      </c>
      <c r="C1170" s="1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</row>
    <row r="1171">
      <c r="A1171" s="1"/>
      <c r="B1171" s="6" t="str">
        <v>Section fictive 212</v>
      </c>
      <c r="C1171" s="1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</row>
    <row r="1172">
      <c r="A1172" s="1"/>
      <c r="B1172" s="1" t="str">
        <v>Ligne fictive 0600</v>
      </c>
      <c r="C1172" s="1" t="str">
        <v>m2</v>
      </c>
      <c r="D1172" s="5" t="n">
        <v>5</v>
      </c>
      <c r="E1172" s="5" t="n">
        <f>G1172*$L$2+J1172*$M$2*$O$2</f>
        <v>37.167</v>
      </c>
      <c r="F1172" s="5" t="n">
        <f>ROUND(D1172*E1172,2)</f>
        <v>185.84</v>
      </c>
      <c r="G1172" s="5" t="n">
        <v>3.59</v>
      </c>
      <c r="H1172" s="5" t="n">
        <f>D1172*G1172</f>
        <v>17.95</v>
      </c>
      <c r="I1172" s="5" t="n">
        <v>0.625</v>
      </c>
      <c r="J1172" s="5" t="n">
        <f>I1172*(1+$N$2)</f>
        <v>0.625</v>
      </c>
      <c r="K1172" s="5" t="n">
        <f>D1172*J1172</f>
        <v>3.125</v>
      </c>
      <c r="L1172" s="5"/>
      <c r="M1172" s="5"/>
      <c r="N1172" s="5"/>
      <c r="O1172" s="5"/>
    </row>
    <row r="1173">
      <c r="A1173" s="1"/>
      <c r="B1173" s="1" t="str">
        <v>Ligne fictive 0601</v>
      </c>
      <c r="C1173" s="1" t="str">
        <v>u</v>
      </c>
      <c r="D1173" s="5" t="n">
        <v>1</v>
      </c>
      <c r="E1173" s="5" t="n">
        <f>G1173*$L$2+J1173*$M$2*$O$2</f>
        <v>11.648</v>
      </c>
      <c r="F1173" s="5" t="n">
        <f>ROUND(D1173*E1173,2)</f>
        <v>11.65</v>
      </c>
      <c r="G1173" s="5" t="n">
        <v>3.96</v>
      </c>
      <c r="H1173" s="5" t="n">
        <f>D1173*G1173</f>
        <v>3.96</v>
      </c>
      <c r="I1173" s="5" t="n">
        <v>0.125</v>
      </c>
      <c r="J1173" s="5" t="n">
        <f>I1173*(1+$N$2)</f>
        <v>0.125</v>
      </c>
      <c r="K1173" s="5" t="n">
        <f>D1173*J1173</f>
        <v>0.125</v>
      </c>
      <c r="L1173" s="5"/>
      <c r="M1173" s="5"/>
      <c r="N1173" s="5"/>
      <c r="O1173" s="5"/>
    </row>
    <row r="1174">
      <c r="A1174" s="1"/>
      <c r="B1174" s="1" t="str">
        <v>Ligne fictive 0602</v>
      </c>
      <c r="C1174" s="1" t="str">
        <v>ml</v>
      </c>
      <c r="D1174" s="5" t="n">
        <v>2</v>
      </c>
      <c r="E1174" s="5" t="n">
        <f>G1174*$L$2+J1174*$M$2*$O$2</f>
        <v>18.629</v>
      </c>
      <c r="F1174" s="5" t="n">
        <f>ROUND(D1174*E1174,2)</f>
        <v>37.26</v>
      </c>
      <c r="G1174" s="5" t="n">
        <v>4.33</v>
      </c>
      <c r="H1174" s="5" t="n">
        <f>D1174*G1174</f>
        <v>8.66</v>
      </c>
      <c r="I1174" s="5" t="n">
        <v>0.25</v>
      </c>
      <c r="J1174" s="5" t="n">
        <f>I1174*(1+$N$2)</f>
        <v>0.25</v>
      </c>
      <c r="K1174" s="5" t="n">
        <f>D1174*J1174</f>
        <v>0.5</v>
      </c>
      <c r="L1174" s="5"/>
      <c r="M1174" s="5"/>
      <c r="N1174" s="5"/>
      <c r="O1174" s="5"/>
    </row>
    <row r="1175">
      <c r="A1175" s="1"/>
      <c r="B1175" s="1" t="str">
        <v>Statut fictif 075</v>
      </c>
      <c r="C1175" s="1" t="str">
        <v>NC</v>
      </c>
      <c r="D1175" s="5" t="n">
        <v>3</v>
      </c>
      <c r="E1175" s="5" t="n">
        <v>0</v>
      </c>
      <c r="F1175" s="5" t="n">
        <v>0</v>
      </c>
      <c r="G1175" s="5" t="n">
        <v>7.25</v>
      </c>
      <c r="H1175" s="5" t="n">
        <v>0</v>
      </c>
      <c r="I1175" s="5" t="n">
        <v>0.375</v>
      </c>
      <c r="J1175" s="5" t="n">
        <v>0</v>
      </c>
      <c r="K1175" s="5" t="n">
        <v>0</v>
      </c>
      <c r="L1175" s="5"/>
      <c r="M1175" s="5"/>
      <c r="N1175" s="5"/>
      <c r="O1175" s="5"/>
    </row>
    <row r="1176">
      <c r="A1176" s="1"/>
      <c r="B1176" s="1" t="str">
        <v>Réserve fictive 0074</v>
      </c>
      <c r="C1176" s="1" t="str">
        <v>u</v>
      </c>
      <c r="D1176" s="5"/>
      <c r="E1176" s="5" t="n">
        <v>0</v>
      </c>
      <c r="F1176" s="5" t="n">
        <v>0</v>
      </c>
      <c r="G1176" s="5" t="n">
        <v>0</v>
      </c>
      <c r="H1176" s="5" t="n">
        <v>0</v>
      </c>
      <c r="I1176" s="5" t="n">
        <v>0</v>
      </c>
      <c r="J1176" s="5" t="n">
        <v>0</v>
      </c>
      <c r="K1176" s="5" t="n">
        <v>0</v>
      </c>
      <c r="L1176" s="5"/>
      <c r="M1176" s="5"/>
      <c r="N1176" s="5"/>
      <c r="O1176" s="5"/>
    </row>
    <row r="1177">
      <c r="A1177" s="1"/>
      <c r="B1177" s="1" t="str">
        <v>Sous-total fictif 212</v>
      </c>
      <c r="C1177" s="1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</row>
    <row r="1178">
      <c r="A1178" s="1"/>
      <c r="B1178" s="6" t="str">
        <v>Section fictive 213</v>
      </c>
      <c r="C1178" s="1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</row>
    <row r="1179">
      <c r="A1179" s="1"/>
      <c r="B1179" s="1" t="str">
        <v>Ligne fictive 0603</v>
      </c>
      <c r="C1179" s="1" t="str">
        <v>m2</v>
      </c>
      <c r="D1179" s="5" t="n">
        <v>3</v>
      </c>
      <c r="E1179" s="5" t="n">
        <f>G1179*$L$2+J1179*$M$2*$O$2</f>
        <v>25.61</v>
      </c>
      <c r="F1179" s="5" t="n">
        <f>ROUND(D1179*E1179,2)</f>
        <v>76.83</v>
      </c>
      <c r="G1179" s="5" t="n">
        <v>4.7</v>
      </c>
      <c r="H1179" s="5" t="n">
        <f>D1179*G1179</f>
        <v>14.100000000000001</v>
      </c>
      <c r="I1179" s="5" t="n">
        <v>0.375</v>
      </c>
      <c r="J1179" s="5" t="n">
        <f>I1179*(1+$N$2)</f>
        <v>0.375</v>
      </c>
      <c r="K1179" s="5" t="n">
        <f>D1179*J1179</f>
        <v>1.125</v>
      </c>
      <c r="L1179" s="5"/>
      <c r="M1179" s="5"/>
      <c r="N1179" s="5"/>
      <c r="O1179" s="5"/>
    </row>
    <row r="1180">
      <c r="A1180" s="1"/>
      <c r="B1180" s="1" t="str">
        <v>Ligne fictive 0604</v>
      </c>
      <c r="C1180" s="1" t="str">
        <v>u</v>
      </c>
      <c r="D1180" s="5" t="n">
        <v>4</v>
      </c>
      <c r="E1180" s="5" t="n">
        <f>G1180*$L$2+J1180*$M$2*$O$2</f>
        <v>32.591</v>
      </c>
      <c r="F1180" s="5" t="n">
        <f>ROUND(D1180*E1180,2)</f>
        <v>130.36</v>
      </c>
      <c r="G1180" s="5" t="n">
        <v>5.07</v>
      </c>
      <c r="H1180" s="5" t="n">
        <f>D1180*G1180</f>
        <v>20.28</v>
      </c>
      <c r="I1180" s="5" t="n">
        <v>0.5</v>
      </c>
      <c r="J1180" s="5" t="n">
        <f>I1180*(1+$N$2)</f>
        <v>0.5</v>
      </c>
      <c r="K1180" s="5" t="n">
        <f>D1180*J1180</f>
        <v>2</v>
      </c>
      <c r="L1180" s="5"/>
      <c r="M1180" s="5"/>
      <c r="N1180" s="5"/>
      <c r="O1180" s="5"/>
    </row>
    <row r="1181">
      <c r="A1181" s="1"/>
      <c r="B1181" s="1" t="str">
        <v>Sous-total fictif 213</v>
      </c>
      <c r="C1181" s="1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</row>
    <row r="1182">
      <c r="A1182" s="1"/>
      <c r="B1182" s="6" t="str">
        <v>Section fictive 214</v>
      </c>
      <c r="C1182" s="1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</row>
    <row r="1183">
      <c r="A1183" s="1"/>
      <c r="B1183" s="1" t="str">
        <v>Ligne fictive 0605</v>
      </c>
      <c r="C1183" s="1" t="str">
        <v>ml</v>
      </c>
      <c r="D1183" s="5" t="n">
        <v>5</v>
      </c>
      <c r="E1183" s="5" t="n">
        <f>G1183*$L$2+J1183*$M$2*$O$2</f>
        <v>39.572</v>
      </c>
      <c r="F1183" s="5" t="n">
        <f>ROUND(D1183*E1183,2)</f>
        <v>197.86</v>
      </c>
      <c r="G1183" s="5" t="n">
        <v>5.44</v>
      </c>
      <c r="H1183" s="5" t="n">
        <f>D1183*G1183</f>
        <v>27.200000000000003</v>
      </c>
      <c r="I1183" s="5" t="n">
        <v>0.625</v>
      </c>
      <c r="J1183" s="5" t="n">
        <f>I1183*(1+$N$2)</f>
        <v>0.625</v>
      </c>
      <c r="K1183" s="5" t="n">
        <f>D1183*J1183</f>
        <v>3.125</v>
      </c>
      <c r="L1183" s="5"/>
      <c r="M1183" s="5"/>
      <c r="N1183" s="5"/>
      <c r="O1183" s="5"/>
    </row>
    <row r="1184">
      <c r="A1184" s="1"/>
      <c r="B1184" s="1" t="str">
        <v>Ligne fictive 0606</v>
      </c>
      <c r="C1184" s="1" t="str">
        <v>m2</v>
      </c>
      <c r="D1184" s="5" t="n">
        <v>1</v>
      </c>
      <c r="E1184" s="5" t="n">
        <f>G1184*$L$2+J1184*$M$2*$O$2</f>
        <v>14.053</v>
      </c>
      <c r="F1184" s="5" t="n">
        <f>ROUND(D1184*E1184,2)</f>
        <v>14.05</v>
      </c>
      <c r="G1184" s="5" t="n">
        <v>5.81</v>
      </c>
      <c r="H1184" s="5" t="n">
        <f>D1184*G1184</f>
        <v>5.81</v>
      </c>
      <c r="I1184" s="5" t="n">
        <v>0.125</v>
      </c>
      <c r="J1184" s="5" t="n">
        <f>I1184*(1+$N$2)</f>
        <v>0.125</v>
      </c>
      <c r="K1184" s="5" t="n">
        <f>D1184*J1184</f>
        <v>0.125</v>
      </c>
      <c r="L1184" s="5"/>
      <c r="M1184" s="5"/>
      <c r="N1184" s="5"/>
      <c r="O1184" s="5"/>
    </row>
    <row r="1185">
      <c r="A1185" s="1"/>
      <c r="B1185" s="1" t="str">
        <v>Ligne fictive 0607</v>
      </c>
      <c r="C1185" s="1" t="str">
        <v>u</v>
      </c>
      <c r="D1185" s="5" t="n">
        <v>2</v>
      </c>
      <c r="E1185" s="5" t="n">
        <f>G1185*$L$2+J1185*$M$2*$O$2</f>
        <v>21.034</v>
      </c>
      <c r="F1185" s="5" t="n">
        <f>ROUND(D1185*E1185,2)</f>
        <v>42.07</v>
      </c>
      <c r="G1185" s="5" t="n">
        <v>6.18</v>
      </c>
      <c r="H1185" s="5" t="n">
        <f>D1185*G1185</f>
        <v>12.36</v>
      </c>
      <c r="I1185" s="5" t="n">
        <v>0.25</v>
      </c>
      <c r="J1185" s="5" t="n">
        <f>I1185*(1+$N$2)</f>
        <v>0.25</v>
      </c>
      <c r="K1185" s="5" t="n">
        <f>D1185*J1185</f>
        <v>0.5</v>
      </c>
      <c r="L1185" s="5"/>
      <c r="M1185" s="5"/>
      <c r="N1185" s="5"/>
      <c r="O1185" s="5"/>
    </row>
    <row r="1186">
      <c r="A1186" s="1"/>
      <c r="B1186" s="1" t="str">
        <v>Réserve fictive 0075</v>
      </c>
      <c r="C1186" s="1" t="str">
        <v>u</v>
      </c>
      <c r="D1186" s="5"/>
      <c r="E1186" s="5" t="n">
        <v>0</v>
      </c>
      <c r="F1186" s="5" t="n">
        <v>0</v>
      </c>
      <c r="G1186" s="5" t="n">
        <v>0</v>
      </c>
      <c r="H1186" s="5" t="n">
        <v>0</v>
      </c>
      <c r="I1186" s="5" t="n">
        <v>0</v>
      </c>
      <c r="J1186" s="5" t="n">
        <v>0</v>
      </c>
      <c r="K1186" s="5" t="n">
        <v>0</v>
      </c>
      <c r="L1186" s="5"/>
      <c r="M1186" s="5"/>
      <c r="N1186" s="5"/>
      <c r="O1186" s="5"/>
    </row>
    <row r="1187">
      <c r="A1187" s="1"/>
      <c r="B1187" s="1" t="str">
        <v>Sous-total fictif 214</v>
      </c>
      <c r="C1187" s="1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</row>
    <row r="1188">
      <c r="A1188" s="1"/>
      <c r="B1188" s="6" t="str">
        <v>Section fictive 215</v>
      </c>
      <c r="C1188" s="1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</row>
    <row r="1189">
      <c r="A1189" s="1"/>
      <c r="B1189" s="1" t="str">
        <v>Ligne fictive 0608</v>
      </c>
      <c r="C1189" s="1" t="str">
        <v>ml</v>
      </c>
      <c r="D1189" s="5" t="n">
        <v>3</v>
      </c>
      <c r="E1189" s="5" t="n">
        <f>G1189*$L$2+J1189*$M$2*$O$2</f>
        <v>28.015</v>
      </c>
      <c r="F1189" s="5" t="n">
        <f>ROUND(D1189*E1189,2)</f>
        <v>84.05</v>
      </c>
      <c r="G1189" s="5" t="n">
        <v>6.55</v>
      </c>
      <c r="H1189" s="5" t="n">
        <f>D1189*G1189</f>
        <v>19.65</v>
      </c>
      <c r="I1189" s="5" t="n">
        <v>0.375</v>
      </c>
      <c r="J1189" s="5" t="n">
        <f>I1189*(1+$N$2)</f>
        <v>0.375</v>
      </c>
      <c r="K1189" s="5" t="n">
        <f>D1189*J1189</f>
        <v>1.125</v>
      </c>
      <c r="L1189" s="5"/>
      <c r="M1189" s="5"/>
      <c r="N1189" s="5"/>
      <c r="O1189" s="5"/>
    </row>
    <row r="1190">
      <c r="A1190" s="1"/>
      <c r="B1190" s="1" t="str">
        <v>Ligne fictive 0609</v>
      </c>
      <c r="C1190" s="1" t="str">
        <v>m2</v>
      </c>
      <c r="D1190" s="5" t="n">
        <v>4</v>
      </c>
      <c r="E1190" s="5" t="n">
        <f>G1190*$L$2+J1190*$M$2*$O$2</f>
        <v>34.996</v>
      </c>
      <c r="F1190" s="5" t="n">
        <f>ROUND(D1190*E1190,2)</f>
        <v>139.98</v>
      </c>
      <c r="G1190" s="5" t="n">
        <v>6.92</v>
      </c>
      <c r="H1190" s="5" t="n">
        <f>D1190*G1190</f>
        <v>27.68</v>
      </c>
      <c r="I1190" s="5" t="n">
        <v>0.5</v>
      </c>
      <c r="J1190" s="5" t="n">
        <f>I1190*(1+$N$2)</f>
        <v>0.5</v>
      </c>
      <c r="K1190" s="5" t="n">
        <f>D1190*J1190</f>
        <v>2</v>
      </c>
      <c r="L1190" s="5"/>
      <c r="M1190" s="5"/>
      <c r="N1190" s="5"/>
      <c r="O1190" s="5"/>
    </row>
    <row r="1191">
      <c r="A1191" s="1"/>
      <c r="B1191" s="1" t="str">
        <v>Ligne fictive 0610</v>
      </c>
      <c r="C1191" s="1" t="str">
        <v>u</v>
      </c>
      <c r="D1191" s="5" t="n">
        <v>5</v>
      </c>
      <c r="E1191" s="5" t="n">
        <f>G1191*$L$2+J1191*$M$2*$O$2</f>
        <v>41.977000000000004</v>
      </c>
      <c r="F1191" s="5" t="n">
        <f>ROUND(D1191*E1191,2)</f>
        <v>209.89</v>
      </c>
      <c r="G1191" s="5" t="n">
        <v>7.29</v>
      </c>
      <c r="H1191" s="5" t="n">
        <f>D1191*G1191</f>
        <v>36.45</v>
      </c>
      <c r="I1191" s="5" t="n">
        <v>0.625</v>
      </c>
      <c r="J1191" s="5" t="n">
        <f>I1191*(1+$N$2)</f>
        <v>0.625</v>
      </c>
      <c r="K1191" s="5" t="n">
        <f>D1191*J1191</f>
        <v>3.125</v>
      </c>
      <c r="L1191" s="5"/>
      <c r="M1191" s="5"/>
      <c r="N1191" s="5"/>
      <c r="O1191" s="5"/>
    </row>
    <row r="1192">
      <c r="A1192" s="1"/>
      <c r="B1192" s="1" t="str">
        <v>Statut fictif 076</v>
      </c>
      <c r="C1192" s="1" t="str">
        <v>NC</v>
      </c>
      <c r="D1192" s="5" t="n">
        <v>1</v>
      </c>
      <c r="E1192" s="5" t="n">
        <v>0</v>
      </c>
      <c r="F1192" s="5" t="n">
        <v>0</v>
      </c>
      <c r="G1192" s="5" t="n">
        <v>7.25</v>
      </c>
      <c r="H1192" s="5" t="n">
        <v>0</v>
      </c>
      <c r="I1192" s="5" t="n">
        <v>0.375</v>
      </c>
      <c r="J1192" s="5" t="n">
        <v>0</v>
      </c>
      <c r="K1192" s="5" t="n">
        <v>0</v>
      </c>
      <c r="L1192" s="5"/>
      <c r="M1192" s="5"/>
      <c r="N1192" s="5"/>
      <c r="O1192" s="5"/>
    </row>
    <row r="1193">
      <c r="A1193" s="1"/>
      <c r="B1193" s="1" t="str">
        <v>Sous-total fictif 215</v>
      </c>
      <c r="C1193" s="1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</row>
    <row r="1194">
      <c r="A1194" s="1"/>
      <c r="B1194" s="6" t="str">
        <v>Section fictive 216</v>
      </c>
      <c r="C1194" s="1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</row>
    <row r="1195">
      <c r="A1195" s="1"/>
      <c r="B1195" s="1" t="str">
        <v>Ligne fictive 0611</v>
      </c>
      <c r="C1195" s="1" t="str">
        <v>ml</v>
      </c>
      <c r="D1195" s="5" t="n">
        <v>1</v>
      </c>
      <c r="E1195" s="5" t="n">
        <f>G1195*$L$2+J1195*$M$2*$O$2</f>
        <v>16.458</v>
      </c>
      <c r="F1195" s="5" t="n">
        <f>ROUND(D1195*E1195,2)</f>
        <v>16.46</v>
      </c>
      <c r="G1195" s="5" t="n">
        <v>7.66</v>
      </c>
      <c r="H1195" s="5" t="n">
        <f>D1195*G1195</f>
        <v>7.66</v>
      </c>
      <c r="I1195" s="5" t="n">
        <v>0.125</v>
      </c>
      <c r="J1195" s="5" t="n">
        <f>I1195*(1+$N$2)</f>
        <v>0.125</v>
      </c>
      <c r="K1195" s="5" t="n">
        <f>D1195*J1195</f>
        <v>0.125</v>
      </c>
      <c r="L1195" s="5"/>
      <c r="M1195" s="5"/>
      <c r="N1195" s="5"/>
      <c r="O1195" s="5"/>
    </row>
    <row r="1196">
      <c r="A1196" s="1"/>
      <c r="B1196" s="1" t="str">
        <v>Ligne fictive 0612</v>
      </c>
      <c r="C1196" s="1" t="str">
        <v>m2</v>
      </c>
      <c r="D1196" s="5" t="n">
        <v>2</v>
      </c>
      <c r="E1196" s="5" t="n">
        <f>G1196*$L$2+J1196*$M$2*$O$2</f>
        <v>23.439</v>
      </c>
      <c r="F1196" s="5" t="n">
        <f>ROUND(D1196*E1196,2)</f>
        <v>46.88</v>
      </c>
      <c r="G1196" s="5" t="n">
        <v>8.03</v>
      </c>
      <c r="H1196" s="5" t="n">
        <f>D1196*G1196</f>
        <v>16.06</v>
      </c>
      <c r="I1196" s="5" t="n">
        <v>0.25</v>
      </c>
      <c r="J1196" s="5" t="n">
        <f>I1196*(1+$N$2)</f>
        <v>0.25</v>
      </c>
      <c r="K1196" s="5" t="n">
        <f>D1196*J1196</f>
        <v>0.5</v>
      </c>
      <c r="L1196" s="5"/>
      <c r="M1196" s="5"/>
      <c r="N1196" s="5"/>
      <c r="O1196" s="5"/>
    </row>
    <row r="1197">
      <c r="A1197" s="1"/>
      <c r="B1197" s="1" t="str">
        <v>Ligne fictive 0613</v>
      </c>
      <c r="C1197" s="1" t="str">
        <v>u</v>
      </c>
      <c r="D1197" s="5" t="n">
        <v>3</v>
      </c>
      <c r="E1197" s="5" t="n">
        <f>G1197*$L$2+J1197*$M$2*$O$2</f>
        <v>22.243</v>
      </c>
      <c r="F1197" s="5" t="n">
        <f>ROUND(D1197*E1197,2)</f>
        <v>66.73</v>
      </c>
      <c r="G1197" s="5" t="n">
        <v>2.11</v>
      </c>
      <c r="H1197" s="5" t="n">
        <f>D1197*G1197</f>
        <v>6.33</v>
      </c>
      <c r="I1197" s="5" t="n">
        <v>0.375</v>
      </c>
      <c r="J1197" s="5" t="n">
        <f>I1197*(1+$N$2)</f>
        <v>0.375</v>
      </c>
      <c r="K1197" s="5" t="n">
        <f>D1197*J1197</f>
        <v>1.125</v>
      </c>
      <c r="L1197" s="5"/>
      <c r="M1197" s="5"/>
      <c r="N1197" s="5"/>
      <c r="O1197" s="5"/>
    </row>
    <row r="1198">
      <c r="A1198" s="1"/>
      <c r="B1198" s="1" t="str">
        <v>Sous-total fictif 216</v>
      </c>
      <c r="C1198" s="1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</row>
    <row r="1199">
      <c r="A1199" s="1"/>
      <c r="B1199" s="6" t="str">
        <v>Section fictive 217</v>
      </c>
      <c r="C1199" s="1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</row>
    <row r="1200">
      <c r="A1200" s="1"/>
      <c r="B1200" s="1" t="str">
        <v>Ligne fictive 0614</v>
      </c>
      <c r="C1200" s="1" t="str">
        <v>ml</v>
      </c>
      <c r="D1200" s="5" t="n">
        <v>4</v>
      </c>
      <c r="E1200" s="5" t="n">
        <f>G1200*$L$2+J1200*$M$2*$O$2</f>
        <v>29.224</v>
      </c>
      <c r="F1200" s="5" t="n">
        <f>ROUND(D1200*E1200,2)</f>
        <v>116.9</v>
      </c>
      <c r="G1200" s="5" t="n">
        <v>2.48</v>
      </c>
      <c r="H1200" s="5" t="n">
        <f>D1200*G1200</f>
        <v>9.92</v>
      </c>
      <c r="I1200" s="5" t="n">
        <v>0.5</v>
      </c>
      <c r="J1200" s="5" t="n">
        <f>I1200*(1+$N$2)</f>
        <v>0.5</v>
      </c>
      <c r="K1200" s="5" t="n">
        <f>D1200*J1200</f>
        <v>2</v>
      </c>
      <c r="L1200" s="5"/>
      <c r="M1200" s="5"/>
      <c r="N1200" s="5"/>
      <c r="O1200" s="5"/>
    </row>
    <row r="1201">
      <c r="A1201" s="1"/>
      <c r="B1201" s="1" t="str">
        <v>Ligne fictive 0615</v>
      </c>
      <c r="C1201" s="1" t="str">
        <v>m2</v>
      </c>
      <c r="D1201" s="5" t="n">
        <v>5</v>
      </c>
      <c r="E1201" s="5" t="n">
        <f>G1201*$L$2+J1201*$M$2*$O$2</f>
        <v>36.205</v>
      </c>
      <c r="F1201" s="5" t="n">
        <f>ROUND(D1201*E1201,2)</f>
        <v>181.02</v>
      </c>
      <c r="G1201" s="5" t="n">
        <v>2.85</v>
      </c>
      <c r="H1201" s="5" t="n">
        <f>D1201*G1201</f>
        <v>14.25</v>
      </c>
      <c r="I1201" s="5" t="n">
        <v>0.625</v>
      </c>
      <c r="J1201" s="5" t="n">
        <f>I1201*(1+$N$2)</f>
        <v>0.625</v>
      </c>
      <c r="K1201" s="5" t="n">
        <f>D1201*J1201</f>
        <v>3.125</v>
      </c>
      <c r="L1201" s="5"/>
      <c r="M1201" s="5"/>
      <c r="N1201" s="5"/>
      <c r="O1201" s="5"/>
    </row>
    <row r="1202">
      <c r="A1202" s="1"/>
      <c r="B1202" s="1" t="str">
        <v>Ligne fictive 0616</v>
      </c>
      <c r="C1202" s="1" t="str">
        <v>u</v>
      </c>
      <c r="D1202" s="5" t="n">
        <v>1</v>
      </c>
      <c r="E1202" s="5" t="n">
        <f>G1202*$L$2+J1202*$M$2*$O$2</f>
        <v>10.686</v>
      </c>
      <c r="F1202" s="5" t="n">
        <f>ROUND(D1202*E1202,2)</f>
        <v>10.69</v>
      </c>
      <c r="G1202" s="5" t="n">
        <v>3.22</v>
      </c>
      <c r="H1202" s="5" t="n">
        <f>D1202*G1202</f>
        <v>3.22</v>
      </c>
      <c r="I1202" s="5" t="n">
        <v>0.125</v>
      </c>
      <c r="J1202" s="5" t="n">
        <f>I1202*(1+$N$2)</f>
        <v>0.125</v>
      </c>
      <c r="K1202" s="5" t="n">
        <f>D1202*J1202</f>
        <v>0.125</v>
      </c>
      <c r="L1202" s="5"/>
      <c r="M1202" s="5"/>
      <c r="N1202" s="5"/>
      <c r="O1202" s="5"/>
    </row>
    <row r="1203">
      <c r="A1203" s="1"/>
      <c r="B1203" s="1" t="str">
        <v>Statut fictif 077</v>
      </c>
      <c r="C1203" s="1" t="str">
        <v>NC</v>
      </c>
      <c r="D1203" s="5" t="n">
        <v>2</v>
      </c>
      <c r="E1203" s="5" t="n">
        <v>0</v>
      </c>
      <c r="F1203" s="5" t="n">
        <v>0</v>
      </c>
      <c r="G1203" s="5" t="n">
        <v>7.25</v>
      </c>
      <c r="H1203" s="5" t="n">
        <v>0</v>
      </c>
      <c r="I1203" s="5" t="n">
        <v>0.375</v>
      </c>
      <c r="J1203" s="5" t="n">
        <v>0</v>
      </c>
      <c r="K1203" s="5" t="n">
        <v>0</v>
      </c>
      <c r="L1203" s="5"/>
      <c r="M1203" s="5"/>
      <c r="N1203" s="5"/>
      <c r="O1203" s="5"/>
    </row>
    <row r="1204">
      <c r="A1204" s="1"/>
      <c r="B1204" s="1" t="str">
        <v>Réserve fictive 0076</v>
      </c>
      <c r="C1204" s="1" t="str">
        <v>u</v>
      </c>
      <c r="D1204" s="5"/>
      <c r="E1204" s="5" t="n">
        <v>0</v>
      </c>
      <c r="F1204" s="5" t="n">
        <v>0</v>
      </c>
      <c r="G1204" s="5" t="n">
        <v>0</v>
      </c>
      <c r="H1204" s="5" t="n">
        <v>0</v>
      </c>
      <c r="I1204" s="5" t="n">
        <v>0</v>
      </c>
      <c r="J1204" s="5" t="n">
        <v>0</v>
      </c>
      <c r="K1204" s="5" t="n">
        <v>0</v>
      </c>
      <c r="L1204" s="5"/>
      <c r="M1204" s="5"/>
      <c r="N1204" s="5"/>
      <c r="O1204" s="5"/>
    </row>
    <row r="1205">
      <c r="A1205" s="1"/>
      <c r="B1205" s="1" t="str">
        <v>Sous-total fictif 217</v>
      </c>
      <c r="C1205" s="1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</row>
    <row r="1206">
      <c r="A1206" s="1"/>
      <c r="B1206" s="6" t="str">
        <v>Section fictive 218</v>
      </c>
      <c r="C1206" s="1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</row>
    <row r="1207">
      <c r="A1207" s="1"/>
      <c r="B1207" s="1" t="str">
        <v>Ligne fictive 0617</v>
      </c>
      <c r="C1207" s="1" t="str">
        <v>ml</v>
      </c>
      <c r="D1207" s="5" t="n">
        <v>2</v>
      </c>
      <c r="E1207" s="5" t="n">
        <f>G1207*$L$2+J1207*$M$2*$O$2</f>
        <v>17.667</v>
      </c>
      <c r="F1207" s="5" t="n">
        <f>ROUND(D1207*E1207,2)</f>
        <v>35.33</v>
      </c>
      <c r="G1207" s="5" t="n">
        <v>3.59</v>
      </c>
      <c r="H1207" s="5" t="n">
        <f>D1207*G1207</f>
        <v>7.18</v>
      </c>
      <c r="I1207" s="5" t="n">
        <v>0.25</v>
      </c>
      <c r="J1207" s="5" t="n">
        <f>I1207*(1+$N$2)</f>
        <v>0.25</v>
      </c>
      <c r="K1207" s="5" t="n">
        <f>D1207*J1207</f>
        <v>0.5</v>
      </c>
      <c r="L1207" s="5"/>
      <c r="M1207" s="5"/>
      <c r="N1207" s="5"/>
      <c r="O1207" s="5"/>
    </row>
    <row r="1208">
      <c r="A1208" s="1"/>
      <c r="B1208" s="1" t="str">
        <v>Ligne fictive 0618</v>
      </c>
      <c r="C1208" s="1" t="str">
        <v>m2</v>
      </c>
      <c r="D1208" s="5" t="n">
        <v>3</v>
      </c>
      <c r="E1208" s="5" t="n">
        <f>G1208*$L$2+J1208*$M$2*$O$2</f>
        <v>24.648</v>
      </c>
      <c r="F1208" s="5" t="n">
        <f>ROUND(D1208*E1208,2)</f>
        <v>73.94</v>
      </c>
      <c r="G1208" s="5" t="n">
        <v>3.96</v>
      </c>
      <c r="H1208" s="5" t="n">
        <f>D1208*G1208</f>
        <v>11.879999999999999</v>
      </c>
      <c r="I1208" s="5" t="n">
        <v>0.375</v>
      </c>
      <c r="J1208" s="5" t="n">
        <f>I1208*(1+$N$2)</f>
        <v>0.375</v>
      </c>
      <c r="K1208" s="5" t="n">
        <f>D1208*J1208</f>
        <v>1.125</v>
      </c>
      <c r="L1208" s="5"/>
      <c r="M1208" s="5"/>
      <c r="N1208" s="5"/>
      <c r="O1208" s="5"/>
    </row>
    <row r="1209">
      <c r="A1209" s="1"/>
      <c r="B1209" s="1" t="str">
        <v>Ligne fictive 0619</v>
      </c>
      <c r="C1209" s="1" t="str">
        <v>u</v>
      </c>
      <c r="D1209" s="5" t="n">
        <v>4</v>
      </c>
      <c r="E1209" s="5" t="n">
        <f>G1209*$L$2+J1209*$M$2*$O$2</f>
        <v>31.629</v>
      </c>
      <c r="F1209" s="5" t="n">
        <f>ROUND(D1209*E1209,2)</f>
        <v>126.52</v>
      </c>
      <c r="G1209" s="5" t="n">
        <v>4.33</v>
      </c>
      <c r="H1209" s="5" t="n">
        <f>D1209*G1209</f>
        <v>17.32</v>
      </c>
      <c r="I1209" s="5" t="n">
        <v>0.5</v>
      </c>
      <c r="J1209" s="5" t="n">
        <f>I1209*(1+$N$2)</f>
        <v>0.5</v>
      </c>
      <c r="K1209" s="5" t="n">
        <f>D1209*J1209</f>
        <v>2</v>
      </c>
      <c r="L1209" s="5"/>
      <c r="M1209" s="5"/>
      <c r="N1209" s="5"/>
      <c r="O1209" s="5"/>
    </row>
    <row r="1210">
      <c r="A1210" s="1"/>
      <c r="B1210" s="1" t="str">
        <v>Sous-total fictif 218</v>
      </c>
      <c r="C1210" s="1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</row>
    <row r="1211">
      <c r="A1211" s="1"/>
      <c r="B1211" s="6" t="str">
        <v>Section fictive 219</v>
      </c>
      <c r="C1211" s="1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</row>
    <row r="1212">
      <c r="A1212" s="1"/>
      <c r="B1212" s="1" t="str">
        <v>Ligne fictive 0620</v>
      </c>
      <c r="C1212" s="1" t="str">
        <v>ml</v>
      </c>
      <c r="D1212" s="5" t="n">
        <v>5</v>
      </c>
      <c r="E1212" s="5" t="n">
        <f>G1212*$L$2+J1212*$M$2*$O$2</f>
        <v>38.61</v>
      </c>
      <c r="F1212" s="5" t="n">
        <f>ROUND(D1212*E1212,2)</f>
        <v>193.05</v>
      </c>
      <c r="G1212" s="5" t="n">
        <v>4.7</v>
      </c>
      <c r="H1212" s="5" t="n">
        <f>D1212*G1212</f>
        <v>23.5</v>
      </c>
      <c r="I1212" s="5" t="n">
        <v>0.625</v>
      </c>
      <c r="J1212" s="5" t="n">
        <f>I1212*(1+$N$2)</f>
        <v>0.625</v>
      </c>
      <c r="K1212" s="5" t="n">
        <f>D1212*J1212</f>
        <v>3.125</v>
      </c>
      <c r="L1212" s="5"/>
      <c r="M1212" s="5"/>
      <c r="N1212" s="5"/>
      <c r="O1212" s="5"/>
    </row>
    <row r="1213">
      <c r="A1213" s="1"/>
      <c r="B1213" s="1" t="str">
        <v>Ligne fictive 0621</v>
      </c>
      <c r="C1213" s="1" t="str">
        <v>m2</v>
      </c>
      <c r="D1213" s="5" t="n">
        <v>1</v>
      </c>
      <c r="E1213" s="5" t="n">
        <f>G1213*$L$2+J1213*$M$2*$O$2</f>
        <v>13.091000000000001</v>
      </c>
      <c r="F1213" s="5" t="n">
        <f>ROUND(D1213*E1213,2)</f>
        <v>13.09</v>
      </c>
      <c r="G1213" s="5" t="n">
        <v>5.07</v>
      </c>
      <c r="H1213" s="5" t="n">
        <f>D1213*G1213</f>
        <v>5.07</v>
      </c>
      <c r="I1213" s="5" t="n">
        <v>0.125</v>
      </c>
      <c r="J1213" s="5" t="n">
        <f>I1213*(1+$N$2)</f>
        <v>0.125</v>
      </c>
      <c r="K1213" s="5" t="n">
        <f>D1213*J1213</f>
        <v>0.125</v>
      </c>
      <c r="L1213" s="5"/>
      <c r="M1213" s="5"/>
      <c r="N1213" s="5"/>
      <c r="O1213" s="5"/>
    </row>
    <row r="1214">
      <c r="A1214" s="1"/>
      <c r="B1214" s="1" t="str">
        <v>Sous-total fictif 219</v>
      </c>
      <c r="C1214" s="1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</row>
    <row r="1215">
      <c r="A1215" s="1"/>
      <c r="B1215" s="6" t="str">
        <v>Section fictive 220</v>
      </c>
      <c r="C1215" s="1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</row>
    <row r="1216">
      <c r="A1216" s="1"/>
      <c r="B1216" s="1" t="str">
        <v>Ligne fictive 0622</v>
      </c>
      <c r="C1216" s="1" t="str">
        <v>u</v>
      </c>
      <c r="D1216" s="5" t="n">
        <v>2</v>
      </c>
      <c r="E1216" s="5" t="n">
        <f>G1216*$L$2+J1216*$M$2*$O$2</f>
        <v>20.072000000000003</v>
      </c>
      <c r="F1216" s="5" t="n">
        <f>ROUND(D1216*E1216,2)</f>
        <v>40.14</v>
      </c>
      <c r="G1216" s="5" t="n">
        <v>5.44</v>
      </c>
      <c r="H1216" s="5" t="n">
        <f>D1216*G1216</f>
        <v>10.88</v>
      </c>
      <c r="I1216" s="5" t="n">
        <v>0.25</v>
      </c>
      <c r="J1216" s="5" t="n">
        <f>I1216*(1+$N$2)</f>
        <v>0.25</v>
      </c>
      <c r="K1216" s="5" t="n">
        <f>D1216*J1216</f>
        <v>0.5</v>
      </c>
      <c r="L1216" s="5"/>
      <c r="M1216" s="5"/>
      <c r="N1216" s="5"/>
      <c r="O1216" s="5"/>
    </row>
    <row r="1217">
      <c r="A1217" s="1"/>
      <c r="B1217" s="1" t="str">
        <v>Ligne fictive 0623</v>
      </c>
      <c r="C1217" s="1" t="str">
        <v>ml</v>
      </c>
      <c r="D1217" s="5" t="n">
        <v>3</v>
      </c>
      <c r="E1217" s="5" t="n">
        <f>G1217*$L$2+J1217*$M$2*$O$2</f>
        <v>27.053</v>
      </c>
      <c r="F1217" s="5" t="n">
        <f>ROUND(D1217*E1217,2)</f>
        <v>81.16</v>
      </c>
      <c r="G1217" s="5" t="n">
        <v>5.81</v>
      </c>
      <c r="H1217" s="5" t="n">
        <f>D1217*G1217</f>
        <v>17.43</v>
      </c>
      <c r="I1217" s="5" t="n">
        <v>0.375</v>
      </c>
      <c r="J1217" s="5" t="n">
        <f>I1217*(1+$N$2)</f>
        <v>0.375</v>
      </c>
      <c r="K1217" s="5" t="n">
        <f>D1217*J1217</f>
        <v>1.125</v>
      </c>
      <c r="L1217" s="5"/>
      <c r="M1217" s="5"/>
      <c r="N1217" s="5"/>
      <c r="O1217" s="5"/>
    </row>
    <row r="1218">
      <c r="A1218" s="1"/>
      <c r="B1218" s="1" t="str">
        <v>Ligne fictive 0624</v>
      </c>
      <c r="C1218" s="1" t="str">
        <v>m2</v>
      </c>
      <c r="D1218" s="5" t="n">
        <v>4</v>
      </c>
      <c r="E1218" s="5" t="n">
        <f>G1218*$L$2+J1218*$M$2*$O$2</f>
        <v>34.034</v>
      </c>
      <c r="F1218" s="5" t="n">
        <f>ROUND(D1218*E1218,2)</f>
        <v>136.14</v>
      </c>
      <c r="G1218" s="5" t="n">
        <v>6.18</v>
      </c>
      <c r="H1218" s="5" t="n">
        <f>D1218*G1218</f>
        <v>24.72</v>
      </c>
      <c r="I1218" s="5" t="n">
        <v>0.5</v>
      </c>
      <c r="J1218" s="5" t="n">
        <f>I1218*(1+$N$2)</f>
        <v>0.5</v>
      </c>
      <c r="K1218" s="5" t="n">
        <f>D1218*J1218</f>
        <v>2</v>
      </c>
      <c r="L1218" s="5"/>
      <c r="M1218" s="5"/>
      <c r="N1218" s="5"/>
      <c r="O1218" s="5"/>
    </row>
    <row r="1219">
      <c r="A1219" s="1"/>
      <c r="B1219" s="1" t="str">
        <v>Statut fictif 078</v>
      </c>
      <c r="C1219" s="1" t="str">
        <v>NC</v>
      </c>
      <c r="D1219" s="5" t="n">
        <v>3</v>
      </c>
      <c r="E1219" s="5" t="n">
        <v>0</v>
      </c>
      <c r="F1219" s="5" t="n">
        <v>0</v>
      </c>
      <c r="G1219" s="5" t="n">
        <v>7.25</v>
      </c>
      <c r="H1219" s="5" t="n">
        <v>0</v>
      </c>
      <c r="I1219" s="5" t="n">
        <v>0.375</v>
      </c>
      <c r="J1219" s="5" t="n">
        <v>0</v>
      </c>
      <c r="K1219" s="5" t="n">
        <v>0</v>
      </c>
      <c r="L1219" s="5"/>
      <c r="M1219" s="5"/>
      <c r="N1219" s="5"/>
      <c r="O1219" s="5"/>
    </row>
    <row r="1220">
      <c r="A1220" s="1"/>
      <c r="B1220" s="1" t="str">
        <v>Réserve fictive 0077</v>
      </c>
      <c r="C1220" s="1" t="str">
        <v>u</v>
      </c>
      <c r="D1220" s="5"/>
      <c r="E1220" s="5" t="n">
        <v>0</v>
      </c>
      <c r="F1220" s="5" t="n">
        <v>0</v>
      </c>
      <c r="G1220" s="5" t="n">
        <v>0</v>
      </c>
      <c r="H1220" s="5" t="n">
        <v>0</v>
      </c>
      <c r="I1220" s="5" t="n">
        <v>0</v>
      </c>
      <c r="J1220" s="5" t="n">
        <v>0</v>
      </c>
      <c r="K1220" s="5" t="n">
        <v>0</v>
      </c>
      <c r="L1220" s="5"/>
      <c r="M1220" s="5"/>
      <c r="N1220" s="5"/>
      <c r="O1220" s="5"/>
    </row>
    <row r="1221">
      <c r="A1221" s="1"/>
      <c r="B1221" s="1" t="str">
        <v>Sous-total fictif 220</v>
      </c>
      <c r="C1221" s="1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</row>
    <row r="1222">
      <c r="A1222" s="1"/>
      <c r="B1222" s="6" t="str">
        <v>Section fictive 221</v>
      </c>
      <c r="C1222" s="1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</row>
    <row r="1223">
      <c r="A1223" s="1"/>
      <c r="B1223" s="1" t="str">
        <v>Ligne fictive 0625</v>
      </c>
      <c r="C1223" s="1" t="str">
        <v>u</v>
      </c>
      <c r="D1223" s="5" t="n">
        <v>5</v>
      </c>
      <c r="E1223" s="5" t="n">
        <f>G1223*$L$2+J1223*$M$2*$O$2</f>
        <v>41.015</v>
      </c>
      <c r="F1223" s="5" t="n">
        <f>ROUND(D1223*E1223,2)</f>
        <v>205.08</v>
      </c>
      <c r="G1223" s="5" t="n">
        <v>6.55</v>
      </c>
      <c r="H1223" s="5" t="n">
        <f>D1223*G1223</f>
        <v>32.75</v>
      </c>
      <c r="I1223" s="5" t="n">
        <v>0.625</v>
      </c>
      <c r="J1223" s="5" t="n">
        <f>I1223*(1+$N$2)</f>
        <v>0.625</v>
      </c>
      <c r="K1223" s="5" t="n">
        <f>D1223*J1223</f>
        <v>3.125</v>
      </c>
      <c r="L1223" s="5"/>
      <c r="M1223" s="5"/>
      <c r="N1223" s="5"/>
      <c r="O1223" s="5"/>
    </row>
    <row r="1224">
      <c r="A1224" s="1"/>
      <c r="B1224" s="1" t="str">
        <v>Ligne fictive 0626</v>
      </c>
      <c r="C1224" s="1" t="str">
        <v>ml</v>
      </c>
      <c r="D1224" s="5" t="n">
        <v>1</v>
      </c>
      <c r="E1224" s="5" t="n">
        <f>G1224*$L$2+J1224*$M$2*$O$2</f>
        <v>15.496</v>
      </c>
      <c r="F1224" s="5" t="n">
        <f>ROUND(D1224*E1224,2)</f>
        <v>15.5</v>
      </c>
      <c r="G1224" s="5" t="n">
        <v>6.92</v>
      </c>
      <c r="H1224" s="5" t="n">
        <f>D1224*G1224</f>
        <v>6.92</v>
      </c>
      <c r="I1224" s="5" t="n">
        <v>0.125</v>
      </c>
      <c r="J1224" s="5" t="n">
        <f>I1224*(1+$N$2)</f>
        <v>0.125</v>
      </c>
      <c r="K1224" s="5" t="n">
        <f>D1224*J1224</f>
        <v>0.125</v>
      </c>
      <c r="L1224" s="5"/>
      <c r="M1224" s="5"/>
      <c r="N1224" s="5"/>
      <c r="O1224" s="5"/>
    </row>
    <row r="1225">
      <c r="A1225" s="1"/>
      <c r="B1225" s="1" t="str">
        <v>Ligne fictive 0627</v>
      </c>
      <c r="C1225" s="1" t="str">
        <v>m2</v>
      </c>
      <c r="D1225" s="5" t="n">
        <v>2</v>
      </c>
      <c r="E1225" s="5" t="n">
        <f>G1225*$L$2+J1225*$M$2*$O$2</f>
        <v>22.477</v>
      </c>
      <c r="F1225" s="5" t="n">
        <f>ROUND(D1225*E1225,2)</f>
        <v>44.95</v>
      </c>
      <c r="G1225" s="5" t="n">
        <v>7.29</v>
      </c>
      <c r="H1225" s="5" t="n">
        <f>D1225*G1225</f>
        <v>14.58</v>
      </c>
      <c r="I1225" s="5" t="n">
        <v>0.25</v>
      </c>
      <c r="J1225" s="5" t="n">
        <f>I1225*(1+$N$2)</f>
        <v>0.25</v>
      </c>
      <c r="K1225" s="5" t="n">
        <f>D1225*J1225</f>
        <v>0.5</v>
      </c>
      <c r="L1225" s="5"/>
      <c r="M1225" s="5"/>
      <c r="N1225" s="5"/>
      <c r="O1225" s="5"/>
    </row>
    <row r="1226">
      <c r="A1226" s="1"/>
      <c r="B1226" s="1" t="str">
        <v>Sous-total fictif 221</v>
      </c>
      <c r="C1226" s="1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</row>
    <row r="1227">
      <c r="A1227" s="1"/>
      <c r="B1227" s="6" t="str">
        <v>Section fictive 222</v>
      </c>
      <c r="C1227" s="1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</row>
    <row r="1228">
      <c r="A1228" s="1"/>
      <c r="B1228" s="1" t="str">
        <v>Ligne fictive 0628</v>
      </c>
      <c r="C1228" s="1" t="str">
        <v>u</v>
      </c>
      <c r="D1228" s="5" t="n">
        <v>3</v>
      </c>
      <c r="E1228" s="5" t="n">
        <f>G1228*$L$2+J1228*$M$2*$O$2</f>
        <v>29.458</v>
      </c>
      <c r="F1228" s="5" t="n">
        <f>ROUND(D1228*E1228,2)</f>
        <v>88.37</v>
      </c>
      <c r="G1228" s="5" t="n">
        <v>7.66</v>
      </c>
      <c r="H1228" s="5" t="n">
        <f>D1228*G1228</f>
        <v>22.98</v>
      </c>
      <c r="I1228" s="5" t="n">
        <v>0.375</v>
      </c>
      <c r="J1228" s="5" t="n">
        <f>I1228*(1+$N$2)</f>
        <v>0.375</v>
      </c>
      <c r="K1228" s="5" t="n">
        <f>D1228*J1228</f>
        <v>1.125</v>
      </c>
      <c r="L1228" s="5"/>
      <c r="M1228" s="5"/>
      <c r="N1228" s="5"/>
      <c r="O1228" s="5"/>
    </row>
    <row r="1229">
      <c r="A1229" s="1"/>
      <c r="B1229" s="1" t="str">
        <v>Ligne fictive 0629</v>
      </c>
      <c r="C1229" s="1" t="str">
        <v>ml</v>
      </c>
      <c r="D1229" s="5" t="n">
        <v>4</v>
      </c>
      <c r="E1229" s="5" t="n">
        <f>G1229*$L$2+J1229*$M$2*$O$2</f>
        <v>36.439</v>
      </c>
      <c r="F1229" s="5" t="n">
        <f>ROUND(D1229*E1229,2)</f>
        <v>145.76</v>
      </c>
      <c r="G1229" s="5" t="n">
        <v>8.03</v>
      </c>
      <c r="H1229" s="5" t="n">
        <f>D1229*G1229</f>
        <v>32.12</v>
      </c>
      <c r="I1229" s="5" t="n">
        <v>0.5</v>
      </c>
      <c r="J1229" s="5" t="n">
        <f>I1229*(1+$N$2)</f>
        <v>0.5</v>
      </c>
      <c r="K1229" s="5" t="n">
        <f>D1229*J1229</f>
        <v>2</v>
      </c>
      <c r="L1229" s="5"/>
      <c r="M1229" s="5"/>
      <c r="N1229" s="5"/>
      <c r="O1229" s="5"/>
    </row>
    <row r="1230">
      <c r="A1230" s="1"/>
      <c r="B1230" s="1" t="str">
        <v>Ligne fictive 0630</v>
      </c>
      <c r="C1230" s="1" t="str">
        <v>m2</v>
      </c>
      <c r="D1230" s="5" t="n">
        <v>5</v>
      </c>
      <c r="E1230" s="5" t="n">
        <f>G1230*$L$2+J1230*$M$2*$O$2</f>
        <v>35.243</v>
      </c>
      <c r="F1230" s="5" t="n">
        <f>ROUND(D1230*E1230,2)</f>
        <v>176.22</v>
      </c>
      <c r="G1230" s="5" t="n">
        <v>2.11</v>
      </c>
      <c r="H1230" s="5" t="n">
        <f>D1230*G1230</f>
        <v>10.549999999999999</v>
      </c>
      <c r="I1230" s="5" t="n">
        <v>0.625</v>
      </c>
      <c r="J1230" s="5" t="n">
        <f>I1230*(1+$N$2)</f>
        <v>0.625</v>
      </c>
      <c r="K1230" s="5" t="n">
        <f>D1230*J1230</f>
        <v>3.125</v>
      </c>
      <c r="L1230" s="5"/>
      <c r="M1230" s="5"/>
      <c r="N1230" s="5"/>
      <c r="O1230" s="5"/>
    </row>
    <row r="1231">
      <c r="A1231" s="1"/>
      <c r="B1231" s="1" t="str">
        <v>Sous-total fictif 222</v>
      </c>
      <c r="C1231" s="1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</row>
    <row r="1232">
      <c r="A1232" s="1"/>
      <c r="B1232" s="6" t="str">
        <v>Section fictive 223</v>
      </c>
      <c r="C1232" s="1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</row>
    <row r="1233">
      <c r="A1233" s="1"/>
      <c r="B1233" s="1" t="str">
        <v>Ligne fictive 0631</v>
      </c>
      <c r="C1233" s="1" t="str">
        <v>u</v>
      </c>
      <c r="D1233" s="5" t="n">
        <v>1</v>
      </c>
      <c r="E1233" s="5" t="n">
        <f>G1233*$L$2+J1233*$M$2*$O$2</f>
        <v>9.724</v>
      </c>
      <c r="F1233" s="5" t="n">
        <f>ROUND(D1233*E1233,2)</f>
        <v>9.72</v>
      </c>
      <c r="G1233" s="5" t="n">
        <v>2.48</v>
      </c>
      <c r="H1233" s="5" t="n">
        <f>D1233*G1233</f>
        <v>2.48</v>
      </c>
      <c r="I1233" s="5" t="n">
        <v>0.125</v>
      </c>
      <c r="J1233" s="5" t="n">
        <f>I1233*(1+$N$2)</f>
        <v>0.125</v>
      </c>
      <c r="K1233" s="5" t="n">
        <f>D1233*J1233</f>
        <v>0.125</v>
      </c>
      <c r="L1233" s="5"/>
      <c r="M1233" s="5"/>
      <c r="N1233" s="5"/>
      <c r="O1233" s="5"/>
    </row>
    <row r="1234">
      <c r="A1234" s="1"/>
      <c r="B1234" s="1" t="str">
        <v>Ligne fictive 0632</v>
      </c>
      <c r="C1234" s="1" t="str">
        <v>ml</v>
      </c>
      <c r="D1234" s="5" t="n">
        <v>2</v>
      </c>
      <c r="E1234" s="5" t="n">
        <f>G1234*$L$2+J1234*$M$2*$O$2</f>
        <v>16.705</v>
      </c>
      <c r="F1234" s="5" t="n">
        <f>ROUND(D1234*E1234,2)</f>
        <v>33.41</v>
      </c>
      <c r="G1234" s="5" t="n">
        <v>2.85</v>
      </c>
      <c r="H1234" s="5" t="n">
        <f>D1234*G1234</f>
        <v>5.7</v>
      </c>
      <c r="I1234" s="5" t="n">
        <v>0.25</v>
      </c>
      <c r="J1234" s="5" t="n">
        <f>I1234*(1+$N$2)</f>
        <v>0.25</v>
      </c>
      <c r="K1234" s="5" t="n">
        <f>D1234*J1234</f>
        <v>0.5</v>
      </c>
      <c r="L1234" s="5"/>
      <c r="M1234" s="5"/>
      <c r="N1234" s="5"/>
      <c r="O1234" s="5"/>
    </row>
    <row r="1235">
      <c r="A1235" s="1"/>
      <c r="B1235" s="1" t="str">
        <v>Ligne fictive 0633</v>
      </c>
      <c r="C1235" s="1" t="str">
        <v>m2</v>
      </c>
      <c r="D1235" s="5" t="n">
        <v>3</v>
      </c>
      <c r="E1235" s="5" t="n">
        <f>G1235*$L$2+J1235*$M$2*$O$2</f>
        <v>23.686</v>
      </c>
      <c r="F1235" s="5" t="n">
        <f>ROUND(D1235*E1235,2)</f>
        <v>71.06</v>
      </c>
      <c r="G1235" s="5" t="n">
        <v>3.22</v>
      </c>
      <c r="H1235" s="5" t="n">
        <f>D1235*G1235</f>
        <v>9.66</v>
      </c>
      <c r="I1235" s="5" t="n">
        <v>0.375</v>
      </c>
      <c r="J1235" s="5" t="n">
        <f>I1235*(1+$N$2)</f>
        <v>0.375</v>
      </c>
      <c r="K1235" s="5" t="n">
        <f>D1235*J1235</f>
        <v>1.125</v>
      </c>
      <c r="L1235" s="5"/>
      <c r="M1235" s="5"/>
      <c r="N1235" s="5"/>
      <c r="O1235" s="5"/>
    </row>
    <row r="1236">
      <c r="A1236" s="1"/>
      <c r="B1236" s="1" t="str">
        <v>Statut fictif 079</v>
      </c>
      <c r="C1236" s="1" t="str">
        <v>SO</v>
      </c>
      <c r="D1236" s="5" t="n">
        <v>1</v>
      </c>
      <c r="E1236" s="5" t="n">
        <v>0</v>
      </c>
      <c r="F1236" s="5" t="n">
        <v>0</v>
      </c>
      <c r="G1236" s="5" t="n">
        <v>7.25</v>
      </c>
      <c r="H1236" s="5" t="n">
        <v>0</v>
      </c>
      <c r="I1236" s="5" t="n">
        <v>0.375</v>
      </c>
      <c r="J1236" s="5" t="n">
        <v>0</v>
      </c>
      <c r="K1236" s="5" t="n">
        <v>0</v>
      </c>
      <c r="L1236" s="5"/>
      <c r="M1236" s="5"/>
      <c r="N1236" s="5"/>
      <c r="O1236" s="5"/>
    </row>
    <row r="1237">
      <c r="A1237" s="1"/>
      <c r="B1237" s="1" t="str">
        <v>Réserve fictive 0078</v>
      </c>
      <c r="C1237" s="1" t="str">
        <v>u</v>
      </c>
      <c r="D1237" s="5"/>
      <c r="E1237" s="5" t="n">
        <v>0</v>
      </c>
      <c r="F1237" s="5" t="n">
        <v>0</v>
      </c>
      <c r="G1237" s="5" t="n">
        <v>0</v>
      </c>
      <c r="H1237" s="5" t="n">
        <v>0</v>
      </c>
      <c r="I1237" s="5" t="n">
        <v>0</v>
      </c>
      <c r="J1237" s="5" t="n">
        <v>0</v>
      </c>
      <c r="K1237" s="5" t="n">
        <v>0</v>
      </c>
      <c r="L1237" s="5"/>
      <c r="M1237" s="5"/>
      <c r="N1237" s="5"/>
      <c r="O1237" s="5"/>
    </row>
    <row r="1238">
      <c r="A1238" s="1"/>
      <c r="B1238" s="1" t="str">
        <v>Sous-total fictif 223</v>
      </c>
      <c r="C1238" s="1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</row>
    <row r="1239">
      <c r="A1239" s="1"/>
      <c r="B1239" s="6" t="str">
        <v>Section fictive 224</v>
      </c>
      <c r="C1239" s="1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</row>
    <row r="1240">
      <c r="A1240" s="1"/>
      <c r="B1240" s="1" t="str">
        <v>Ligne fictive 0634</v>
      </c>
      <c r="C1240" s="1" t="str">
        <v>u</v>
      </c>
      <c r="D1240" s="5" t="n">
        <v>4</v>
      </c>
      <c r="E1240" s="5" t="n">
        <f>G1240*$L$2+J1240*$M$2*$O$2</f>
        <v>30.667</v>
      </c>
      <c r="F1240" s="5" t="n">
        <f>ROUND(D1240*E1240,2)</f>
        <v>122.67</v>
      </c>
      <c r="G1240" s="5" t="n">
        <v>3.59</v>
      </c>
      <c r="H1240" s="5" t="n">
        <f>D1240*G1240</f>
        <v>14.36</v>
      </c>
      <c r="I1240" s="5" t="n">
        <v>0.5</v>
      </c>
      <c r="J1240" s="5" t="n">
        <f>I1240*(1+$N$2)</f>
        <v>0.5</v>
      </c>
      <c r="K1240" s="5" t="n">
        <f>D1240*J1240</f>
        <v>2</v>
      </c>
      <c r="L1240" s="5"/>
      <c r="M1240" s="5"/>
      <c r="N1240" s="5"/>
      <c r="O1240" s="5"/>
    </row>
    <row r="1241">
      <c r="A1241" s="1"/>
      <c r="B1241" s="1" t="str">
        <v>Ligne fictive 0635</v>
      </c>
      <c r="C1241" s="1" t="str">
        <v>ml</v>
      </c>
      <c r="D1241" s="5" t="n">
        <v>5</v>
      </c>
      <c r="E1241" s="5" t="n">
        <f>G1241*$L$2+J1241*$M$2*$O$2</f>
        <v>37.647999999999996</v>
      </c>
      <c r="F1241" s="5" t="n">
        <f>ROUND(D1241*E1241,2)</f>
        <v>188.24</v>
      </c>
      <c r="G1241" s="5" t="n">
        <v>3.96</v>
      </c>
      <c r="H1241" s="5" t="n">
        <f>D1241*G1241</f>
        <v>19.8</v>
      </c>
      <c r="I1241" s="5" t="n">
        <v>0.625</v>
      </c>
      <c r="J1241" s="5" t="n">
        <f>I1241*(1+$N$2)</f>
        <v>0.625</v>
      </c>
      <c r="K1241" s="5" t="n">
        <f>D1241*J1241</f>
        <v>3.125</v>
      </c>
      <c r="L1241" s="5"/>
      <c r="M1241" s="5"/>
      <c r="N1241" s="5"/>
      <c r="O1241" s="5"/>
    </row>
    <row r="1242">
      <c r="A1242" s="1"/>
      <c r="B1242" s="1" t="str">
        <v>Ligne fictive 0636</v>
      </c>
      <c r="C1242" s="1" t="str">
        <v>m2</v>
      </c>
      <c r="D1242" s="5" t="n">
        <v>1</v>
      </c>
      <c r="E1242" s="5" t="n">
        <f>G1242*$L$2+J1242*$M$2*$O$2</f>
        <v>12.129000000000001</v>
      </c>
      <c r="F1242" s="5" t="n">
        <f>ROUND(D1242*E1242,2)</f>
        <v>12.13</v>
      </c>
      <c r="G1242" s="5" t="n">
        <v>4.33</v>
      </c>
      <c r="H1242" s="5" t="n">
        <f>D1242*G1242</f>
        <v>4.33</v>
      </c>
      <c r="I1242" s="5" t="n">
        <v>0.125</v>
      </c>
      <c r="J1242" s="5" t="n">
        <f>I1242*(1+$N$2)</f>
        <v>0.125</v>
      </c>
      <c r="K1242" s="5" t="n">
        <f>D1242*J1242</f>
        <v>0.125</v>
      </c>
      <c r="L1242" s="5"/>
      <c r="M1242" s="5"/>
      <c r="N1242" s="5"/>
      <c r="O1242" s="5"/>
    </row>
    <row r="1243">
      <c r="A1243" s="1"/>
      <c r="B1243" s="1" t="str">
        <v>Sous-total fictif 224</v>
      </c>
      <c r="C1243" s="1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</row>
    <row r="1244">
      <c r="A1244" s="1"/>
      <c r="B1244" s="6" t="str">
        <v>Section fictive 225</v>
      </c>
      <c r="C1244" s="1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</row>
    <row r="1245">
      <c r="A1245" s="1"/>
      <c r="B1245" s="1" t="str">
        <v>Ligne fictive 0637</v>
      </c>
      <c r="C1245" s="1" t="str">
        <v>u</v>
      </c>
      <c r="D1245" s="5" t="n">
        <v>2</v>
      </c>
      <c r="E1245" s="5" t="n">
        <f>G1245*$L$2+J1245*$M$2*$O$2</f>
        <v>19.11</v>
      </c>
      <c r="F1245" s="5" t="n">
        <f>ROUND(D1245*E1245,2)</f>
        <v>38.22</v>
      </c>
      <c r="G1245" s="5" t="n">
        <v>4.7</v>
      </c>
      <c r="H1245" s="5" t="n">
        <f>D1245*G1245</f>
        <v>9.4</v>
      </c>
      <c r="I1245" s="5" t="n">
        <v>0.25</v>
      </c>
      <c r="J1245" s="5" t="n">
        <f>I1245*(1+$N$2)</f>
        <v>0.25</v>
      </c>
      <c r="K1245" s="5" t="n">
        <f>D1245*J1245</f>
        <v>0.5</v>
      </c>
      <c r="L1245" s="5"/>
      <c r="M1245" s="5"/>
      <c r="N1245" s="5"/>
      <c r="O1245" s="5"/>
    </row>
    <row r="1246">
      <c r="A1246" s="1"/>
      <c r="B1246" s="1" t="str">
        <v>Ligne fictive 0638</v>
      </c>
      <c r="C1246" s="1" t="str">
        <v>ml</v>
      </c>
      <c r="D1246" s="5" t="n">
        <v>3</v>
      </c>
      <c r="E1246" s="5" t="n">
        <f>G1246*$L$2+J1246*$M$2*$O$2</f>
        <v>26.091</v>
      </c>
      <c r="F1246" s="5" t="n">
        <f>ROUND(D1246*E1246,2)</f>
        <v>78.27</v>
      </c>
      <c r="G1246" s="5" t="n">
        <v>5.07</v>
      </c>
      <c r="H1246" s="5" t="n">
        <f>D1246*G1246</f>
        <v>15.21</v>
      </c>
      <c r="I1246" s="5" t="n">
        <v>0.375</v>
      </c>
      <c r="J1246" s="5" t="n">
        <f>I1246*(1+$N$2)</f>
        <v>0.375</v>
      </c>
      <c r="K1246" s="5" t="n">
        <f>D1246*J1246</f>
        <v>1.125</v>
      </c>
      <c r="L1246" s="5"/>
      <c r="M1246" s="5"/>
      <c r="N1246" s="5"/>
      <c r="O1246" s="5"/>
    </row>
    <row r="1247">
      <c r="A1247" s="1"/>
      <c r="B1247" s="1" t="str">
        <v>Sous-total fictif 225</v>
      </c>
      <c r="C1247" s="1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</row>
    <row r="1248">
      <c r="A1248" s="1"/>
      <c r="B1248" s="6" t="str">
        <v>Section fictive 226</v>
      </c>
      <c r="C1248" s="1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</row>
    <row r="1249">
      <c r="A1249" s="1"/>
      <c r="B1249" s="1" t="str">
        <v>Ligne fictive 0639</v>
      </c>
      <c r="C1249" s="1" t="str">
        <v>m2</v>
      </c>
      <c r="D1249" s="5" t="n">
        <v>4</v>
      </c>
      <c r="E1249" s="5" t="n">
        <f>G1249*$L$2+J1249*$M$2*$O$2</f>
        <v>33.072</v>
      </c>
      <c r="F1249" s="5" t="n">
        <f>ROUND(D1249*E1249,2)</f>
        <v>132.29</v>
      </c>
      <c r="G1249" s="5" t="n">
        <v>5.44</v>
      </c>
      <c r="H1249" s="5" t="n">
        <f>D1249*G1249</f>
        <v>21.76</v>
      </c>
      <c r="I1249" s="5" t="n">
        <v>0.5</v>
      </c>
      <c r="J1249" s="5" t="n">
        <f>I1249*(1+$N$2)</f>
        <v>0.5</v>
      </c>
      <c r="K1249" s="5" t="n">
        <f>D1249*J1249</f>
        <v>2</v>
      </c>
      <c r="L1249" s="5"/>
      <c r="M1249" s="5"/>
      <c r="N1249" s="5"/>
      <c r="O1249" s="5"/>
    </row>
    <row r="1250">
      <c r="A1250" s="1"/>
      <c r="B1250" s="1" t="str">
        <v>Ligne fictive 0640</v>
      </c>
      <c r="C1250" s="1" t="str">
        <v>u</v>
      </c>
      <c r="D1250" s="5" t="n">
        <v>5</v>
      </c>
      <c r="E1250" s="5" t="n">
        <f>G1250*$L$2+J1250*$M$2*$O$2</f>
        <v>40.053</v>
      </c>
      <c r="F1250" s="5" t="n">
        <f>ROUND(D1250*E1250,2)</f>
        <v>200.27</v>
      </c>
      <c r="G1250" s="5" t="n">
        <v>5.81</v>
      </c>
      <c r="H1250" s="5" t="n">
        <f>D1250*G1250</f>
        <v>29.049999999999997</v>
      </c>
      <c r="I1250" s="5" t="n">
        <v>0.625</v>
      </c>
      <c r="J1250" s="5" t="n">
        <f>I1250*(1+$N$2)</f>
        <v>0.625</v>
      </c>
      <c r="K1250" s="5" t="n">
        <f>D1250*J1250</f>
        <v>3.125</v>
      </c>
      <c r="L1250" s="5"/>
      <c r="M1250" s="5"/>
      <c r="N1250" s="5"/>
      <c r="O1250" s="5"/>
    </row>
    <row r="1251">
      <c r="A1251" s="1"/>
      <c r="B1251" s="1" t="str">
        <v>Ligne fictive 0641</v>
      </c>
      <c r="C1251" s="1" t="str">
        <v>ml</v>
      </c>
      <c r="D1251" s="5" t="n">
        <v>1</v>
      </c>
      <c r="E1251" s="5" t="n">
        <f>G1251*$L$2+J1251*$M$2*$O$2</f>
        <v>14.534</v>
      </c>
      <c r="F1251" s="5" t="n">
        <f>ROUND(D1251*E1251,2)</f>
        <v>14.53</v>
      </c>
      <c r="G1251" s="5" t="n">
        <v>6.18</v>
      </c>
      <c r="H1251" s="5" t="n">
        <f>D1251*G1251</f>
        <v>6.18</v>
      </c>
      <c r="I1251" s="5" t="n">
        <v>0.125</v>
      </c>
      <c r="J1251" s="5" t="n">
        <f>I1251*(1+$N$2)</f>
        <v>0.125</v>
      </c>
      <c r="K1251" s="5" t="n">
        <f>D1251*J1251</f>
        <v>0.125</v>
      </c>
      <c r="L1251" s="5"/>
      <c r="M1251" s="5"/>
      <c r="N1251" s="5"/>
      <c r="O1251" s="5"/>
    </row>
    <row r="1252">
      <c r="A1252" s="1"/>
      <c r="B1252" s="1" t="str">
        <v>Statut fictif 080</v>
      </c>
      <c r="C1252" s="1" t="str">
        <v>SO</v>
      </c>
      <c r="D1252" s="5" t="n">
        <v>2</v>
      </c>
      <c r="E1252" s="5" t="n">
        <v>0</v>
      </c>
      <c r="F1252" s="5" t="n">
        <v>0</v>
      </c>
      <c r="G1252" s="5" t="n">
        <v>7.25</v>
      </c>
      <c r="H1252" s="5" t="n">
        <v>0</v>
      </c>
      <c r="I1252" s="5" t="n">
        <v>0.375</v>
      </c>
      <c r="J1252" s="5" t="n">
        <v>0</v>
      </c>
      <c r="K1252" s="5" t="n">
        <v>0</v>
      </c>
      <c r="L1252" s="5"/>
      <c r="M1252" s="5"/>
      <c r="N1252" s="5"/>
      <c r="O1252" s="5"/>
    </row>
    <row r="1253">
      <c r="A1253" s="1"/>
      <c r="B1253" s="1" t="str">
        <v>Réserve fictive 0079</v>
      </c>
      <c r="C1253" s="1" t="str">
        <v>u</v>
      </c>
      <c r="D1253" s="5"/>
      <c r="E1253" s="5" t="n">
        <v>0</v>
      </c>
      <c r="F1253" s="5" t="n">
        <v>0</v>
      </c>
      <c r="G1253" s="5" t="n">
        <v>0</v>
      </c>
      <c r="H1253" s="5" t="n">
        <v>0</v>
      </c>
      <c r="I1253" s="5" t="n">
        <v>0</v>
      </c>
      <c r="J1253" s="5" t="n">
        <v>0</v>
      </c>
      <c r="K1253" s="5" t="n">
        <v>0</v>
      </c>
      <c r="L1253" s="5"/>
      <c r="M1253" s="5"/>
      <c r="N1253" s="5"/>
      <c r="O1253" s="5"/>
    </row>
    <row r="1254">
      <c r="A1254" s="1"/>
      <c r="B1254" s="1" t="str">
        <v>Sous-total fictif 226</v>
      </c>
      <c r="C1254" s="1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</row>
    <row r="1255">
      <c r="A1255" s="1"/>
      <c r="B1255" s="6" t="str">
        <v>Section fictive 227</v>
      </c>
      <c r="C1255" s="1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</row>
    <row r="1256">
      <c r="A1256" s="1"/>
      <c r="B1256" s="1" t="str">
        <v>Ligne fictive 0642</v>
      </c>
      <c r="C1256" s="1" t="str">
        <v>m2</v>
      </c>
      <c r="D1256" s="5" t="n">
        <v>2</v>
      </c>
      <c r="E1256" s="5" t="n">
        <f>G1256*$L$2+J1256*$M$2*$O$2</f>
        <v>21.515</v>
      </c>
      <c r="F1256" s="5" t="n">
        <f>ROUND(D1256*E1256,2)</f>
        <v>43.03</v>
      </c>
      <c r="G1256" s="5" t="n">
        <v>6.55</v>
      </c>
      <c r="H1256" s="5" t="n">
        <f>D1256*G1256</f>
        <v>13.1</v>
      </c>
      <c r="I1256" s="5" t="n">
        <v>0.25</v>
      </c>
      <c r="J1256" s="5" t="n">
        <f>I1256*(1+$N$2)</f>
        <v>0.25</v>
      </c>
      <c r="K1256" s="5" t="n">
        <f>D1256*J1256</f>
        <v>0.5</v>
      </c>
      <c r="L1256" s="5"/>
      <c r="M1256" s="5"/>
      <c r="N1256" s="5"/>
      <c r="O1256" s="5"/>
    </row>
    <row r="1257">
      <c r="A1257" s="1"/>
      <c r="B1257" s="1" t="str">
        <v>Ligne fictive 0643</v>
      </c>
      <c r="C1257" s="1" t="str">
        <v>u</v>
      </c>
      <c r="D1257" s="5" t="n">
        <v>3</v>
      </c>
      <c r="E1257" s="5" t="n">
        <f>G1257*$L$2+J1257*$M$2*$O$2</f>
        <v>28.496000000000002</v>
      </c>
      <c r="F1257" s="5" t="n">
        <f>ROUND(D1257*E1257,2)</f>
        <v>85.49</v>
      </c>
      <c r="G1257" s="5" t="n">
        <v>6.92</v>
      </c>
      <c r="H1257" s="5" t="n">
        <f>D1257*G1257</f>
        <v>20.759999999999998</v>
      </c>
      <c r="I1257" s="5" t="n">
        <v>0.375</v>
      </c>
      <c r="J1257" s="5" t="n">
        <f>I1257*(1+$N$2)</f>
        <v>0.375</v>
      </c>
      <c r="K1257" s="5" t="n">
        <f>D1257*J1257</f>
        <v>1.125</v>
      </c>
      <c r="L1257" s="5"/>
      <c r="M1257" s="5"/>
      <c r="N1257" s="5"/>
      <c r="O1257" s="5"/>
    </row>
    <row r="1258">
      <c r="A1258" s="1"/>
      <c r="B1258" s="1" t="str">
        <v>Ligne fictive 0644</v>
      </c>
      <c r="C1258" s="1" t="str">
        <v>ml</v>
      </c>
      <c r="D1258" s="5" t="n">
        <v>4</v>
      </c>
      <c r="E1258" s="5" t="n">
        <f>G1258*$L$2+J1258*$M$2*$O$2</f>
        <v>35.477000000000004</v>
      </c>
      <c r="F1258" s="5" t="n">
        <f>ROUND(D1258*E1258,2)</f>
        <v>141.91</v>
      </c>
      <c r="G1258" s="5" t="n">
        <v>7.29</v>
      </c>
      <c r="H1258" s="5" t="n">
        <f>D1258*G1258</f>
        <v>29.16</v>
      </c>
      <c r="I1258" s="5" t="n">
        <v>0.5</v>
      </c>
      <c r="J1258" s="5" t="n">
        <f>I1258*(1+$N$2)</f>
        <v>0.5</v>
      </c>
      <c r="K1258" s="5" t="n">
        <f>D1258*J1258</f>
        <v>2</v>
      </c>
      <c r="L1258" s="5"/>
      <c r="M1258" s="5"/>
      <c r="N1258" s="5"/>
      <c r="O1258" s="5"/>
    </row>
    <row r="1259">
      <c r="A1259" s="1"/>
      <c r="B1259" s="1" t="str">
        <v>Sous-total fictif 227</v>
      </c>
      <c r="C1259" s="1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</row>
    <row r="1260">
      <c r="A1260" s="1"/>
      <c r="B1260" s="6" t="str">
        <v>Section fictive 228</v>
      </c>
      <c r="C1260" s="1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</row>
    <row r="1261">
      <c r="A1261" s="1"/>
      <c r="B1261" s="1" t="str">
        <v>Ligne fictive 0645</v>
      </c>
      <c r="C1261" s="1" t="str">
        <v>m2</v>
      </c>
      <c r="D1261" s="5" t="n">
        <v>5</v>
      </c>
      <c r="E1261" s="5" t="n">
        <f>G1261*$L$2+J1261*$M$2*$O$2</f>
        <v>42.458</v>
      </c>
      <c r="F1261" s="5" t="n">
        <f>ROUND(D1261*E1261,2)</f>
        <v>212.29</v>
      </c>
      <c r="G1261" s="5" t="n">
        <v>7.66</v>
      </c>
      <c r="H1261" s="5" t="n">
        <f>D1261*G1261</f>
        <v>38.3</v>
      </c>
      <c r="I1261" s="5" t="n">
        <v>0.625</v>
      </c>
      <c r="J1261" s="5" t="n">
        <f>I1261*(1+$N$2)</f>
        <v>0.625</v>
      </c>
      <c r="K1261" s="5" t="n">
        <f>D1261*J1261</f>
        <v>3.125</v>
      </c>
      <c r="L1261" s="5"/>
      <c r="M1261" s="5"/>
      <c r="N1261" s="5"/>
      <c r="O1261" s="5"/>
    </row>
    <row r="1262">
      <c r="A1262" s="1"/>
      <c r="B1262" s="1" t="str">
        <v>Ligne fictive 0646</v>
      </c>
      <c r="C1262" s="1" t="str">
        <v>u</v>
      </c>
      <c r="D1262" s="5" t="n">
        <v>1</v>
      </c>
      <c r="E1262" s="5" t="n">
        <f>G1262*$L$2+J1262*$M$2*$O$2</f>
        <v>16.939</v>
      </c>
      <c r="F1262" s="5" t="n">
        <f>ROUND(D1262*E1262,2)</f>
        <v>16.94</v>
      </c>
      <c r="G1262" s="5" t="n">
        <v>8.03</v>
      </c>
      <c r="H1262" s="5" t="n">
        <f>D1262*G1262</f>
        <v>8.03</v>
      </c>
      <c r="I1262" s="5" t="n">
        <v>0.125</v>
      </c>
      <c r="J1262" s="5" t="n">
        <f>I1262*(1+$N$2)</f>
        <v>0.125</v>
      </c>
      <c r="K1262" s="5" t="n">
        <f>D1262*J1262</f>
        <v>0.125</v>
      </c>
      <c r="L1262" s="5"/>
      <c r="M1262" s="5"/>
      <c r="N1262" s="5"/>
      <c r="O1262" s="5"/>
    </row>
    <row r="1263">
      <c r="A1263" s="1"/>
      <c r="B1263" s="1" t="str">
        <v>Ligne fictive 0647</v>
      </c>
      <c r="C1263" s="1" t="str">
        <v>ml</v>
      </c>
      <c r="D1263" s="5" t="n">
        <v>2</v>
      </c>
      <c r="E1263" s="5" t="n">
        <f>G1263*$L$2+J1263*$M$2*$O$2</f>
        <v>15.743</v>
      </c>
      <c r="F1263" s="5" t="n">
        <f>ROUND(D1263*E1263,2)</f>
        <v>31.49</v>
      </c>
      <c r="G1263" s="5" t="n">
        <v>2.11</v>
      </c>
      <c r="H1263" s="5" t="n">
        <f>D1263*G1263</f>
        <v>4.22</v>
      </c>
      <c r="I1263" s="5" t="n">
        <v>0.25</v>
      </c>
      <c r="J1263" s="5" t="n">
        <f>I1263*(1+$N$2)</f>
        <v>0.25</v>
      </c>
      <c r="K1263" s="5" t="n">
        <f>D1263*J1263</f>
        <v>0.5</v>
      </c>
      <c r="L1263" s="5"/>
      <c r="M1263" s="5"/>
      <c r="N1263" s="5"/>
      <c r="O1263" s="5"/>
    </row>
    <row r="1264">
      <c r="A1264" s="1"/>
      <c r="B1264" s="1" t="str">
        <v>Sous-total fictif 228</v>
      </c>
      <c r="C1264" s="1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</row>
    <row r="1265">
      <c r="A1265" s="1"/>
      <c r="B1265" s="6" t="str">
        <v>Section fictive 229</v>
      </c>
      <c r="C1265" s="1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</row>
    <row r="1266">
      <c r="A1266" s="1"/>
      <c r="B1266" s="1" t="str">
        <v>Ligne fictive 0648</v>
      </c>
      <c r="C1266" s="1" t="str">
        <v>m2</v>
      </c>
      <c r="D1266" s="5" t="n">
        <v>3</v>
      </c>
      <c r="E1266" s="5" t="n">
        <f>G1266*$L$2+J1266*$M$2*$O$2</f>
        <v>22.724</v>
      </c>
      <c r="F1266" s="5" t="n">
        <f>ROUND(D1266*E1266,2)</f>
        <v>68.17</v>
      </c>
      <c r="G1266" s="5" t="n">
        <v>2.48</v>
      </c>
      <c r="H1266" s="5" t="n">
        <f>D1266*G1266</f>
        <v>7.4399999999999995</v>
      </c>
      <c r="I1266" s="5" t="n">
        <v>0.375</v>
      </c>
      <c r="J1266" s="5" t="n">
        <f>I1266*(1+$N$2)</f>
        <v>0.375</v>
      </c>
      <c r="K1266" s="5" t="n">
        <f>D1266*J1266</f>
        <v>1.125</v>
      </c>
      <c r="L1266" s="5"/>
      <c r="M1266" s="5"/>
      <c r="N1266" s="5"/>
      <c r="O1266" s="5"/>
    </row>
    <row r="1267">
      <c r="A1267" s="1"/>
      <c r="B1267" s="1" t="str">
        <v>Ligne fictive 0649</v>
      </c>
      <c r="C1267" s="1" t="str">
        <v>u</v>
      </c>
      <c r="D1267" s="5" t="n">
        <v>4</v>
      </c>
      <c r="E1267" s="5" t="n">
        <f>G1267*$L$2+J1267*$M$2*$O$2</f>
        <v>29.705</v>
      </c>
      <c r="F1267" s="5" t="n">
        <f>ROUND(D1267*E1267,2)</f>
        <v>118.82</v>
      </c>
      <c r="G1267" s="5" t="n">
        <v>2.85</v>
      </c>
      <c r="H1267" s="5" t="n">
        <f>D1267*G1267</f>
        <v>11.4</v>
      </c>
      <c r="I1267" s="5" t="n">
        <v>0.5</v>
      </c>
      <c r="J1267" s="5" t="n">
        <f>I1267*(1+$N$2)</f>
        <v>0.5</v>
      </c>
      <c r="K1267" s="5" t="n">
        <f>D1267*J1267</f>
        <v>2</v>
      </c>
      <c r="L1267" s="5"/>
      <c r="M1267" s="5"/>
      <c r="N1267" s="5"/>
      <c r="O1267" s="5"/>
    </row>
    <row r="1268">
      <c r="A1268" s="1"/>
      <c r="B1268" s="1" t="str">
        <v>Ligne fictive 0650</v>
      </c>
      <c r="C1268" s="1" t="str">
        <v>ml</v>
      </c>
      <c r="D1268" s="5" t="n">
        <v>5</v>
      </c>
      <c r="E1268" s="5" t="n">
        <f>G1268*$L$2+J1268*$M$2*$O$2</f>
        <v>36.686</v>
      </c>
      <c r="F1268" s="5" t="n">
        <f>ROUND(D1268*E1268,2)</f>
        <v>183.43</v>
      </c>
      <c r="G1268" s="5" t="n">
        <v>3.22</v>
      </c>
      <c r="H1268" s="5" t="n">
        <f>D1268*G1268</f>
        <v>16.1</v>
      </c>
      <c r="I1268" s="5" t="n">
        <v>0.625</v>
      </c>
      <c r="J1268" s="5" t="n">
        <f>I1268*(1+$N$2)</f>
        <v>0.625</v>
      </c>
      <c r="K1268" s="5" t="n">
        <f>D1268*J1268</f>
        <v>3.125</v>
      </c>
      <c r="L1268" s="5"/>
      <c r="M1268" s="5"/>
      <c r="N1268" s="5"/>
      <c r="O1268" s="5"/>
    </row>
    <row r="1269">
      <c r="A1269" s="1"/>
      <c r="B1269" s="1" t="str">
        <v>Statut fictif 081</v>
      </c>
      <c r="C1269" s="1" t="str">
        <v>SO</v>
      </c>
      <c r="D1269" s="5" t="n">
        <v>3</v>
      </c>
      <c r="E1269" s="5" t="n">
        <v>0</v>
      </c>
      <c r="F1269" s="5" t="n">
        <v>0</v>
      </c>
      <c r="G1269" s="5" t="n">
        <v>7.25</v>
      </c>
      <c r="H1269" s="5" t="n">
        <v>0</v>
      </c>
      <c r="I1269" s="5" t="n">
        <v>0.375</v>
      </c>
      <c r="J1269" s="5" t="n">
        <v>0</v>
      </c>
      <c r="K1269" s="5" t="n">
        <v>0</v>
      </c>
      <c r="L1269" s="5"/>
      <c r="M1269" s="5"/>
      <c r="N1269" s="5"/>
      <c r="O1269" s="5"/>
    </row>
    <row r="1270">
      <c r="A1270" s="1"/>
      <c r="B1270" s="1" t="str">
        <v>Réserve fictive 0080</v>
      </c>
      <c r="C1270" s="1" t="str">
        <v>u</v>
      </c>
      <c r="D1270" s="5"/>
      <c r="E1270" s="5" t="n">
        <v>0</v>
      </c>
      <c r="F1270" s="5" t="n">
        <v>0</v>
      </c>
      <c r="G1270" s="5" t="n">
        <v>0</v>
      </c>
      <c r="H1270" s="5" t="n">
        <v>0</v>
      </c>
      <c r="I1270" s="5" t="n">
        <v>0</v>
      </c>
      <c r="J1270" s="5" t="n">
        <v>0</v>
      </c>
      <c r="K1270" s="5" t="n">
        <v>0</v>
      </c>
      <c r="L1270" s="5"/>
      <c r="M1270" s="5"/>
      <c r="N1270" s="5"/>
      <c r="O1270" s="5"/>
    </row>
    <row r="1271">
      <c r="A1271" s="1"/>
      <c r="B1271" s="1" t="str">
        <v>Sous-total fictif 229</v>
      </c>
      <c r="C1271" s="1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</row>
    <row r="1272">
      <c r="A1272" s="1"/>
      <c r="B1272" s="6" t="str">
        <v>Section fictive 230</v>
      </c>
      <c r="C1272" s="1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</row>
    <row r="1273">
      <c r="A1273" s="1"/>
      <c r="B1273" s="1" t="str">
        <v>Ligne fictive 0651</v>
      </c>
      <c r="C1273" s="1" t="str">
        <v>m2</v>
      </c>
      <c r="D1273" s="5" t="n">
        <v>1</v>
      </c>
      <c r="E1273" s="5" t="n">
        <f>G1273*$L$2+J1273*$M$2*$O$2</f>
        <v>11.167</v>
      </c>
      <c r="F1273" s="5" t="n">
        <f>ROUND(D1273*E1273,2)</f>
        <v>11.17</v>
      </c>
      <c r="G1273" s="5" t="n">
        <v>3.59</v>
      </c>
      <c r="H1273" s="5" t="n">
        <f>D1273*G1273</f>
        <v>3.59</v>
      </c>
      <c r="I1273" s="5" t="n">
        <v>0.125</v>
      </c>
      <c r="J1273" s="5" t="n">
        <f>I1273*(1+$N$2)</f>
        <v>0.125</v>
      </c>
      <c r="K1273" s="5" t="n">
        <f>D1273*J1273</f>
        <v>0.125</v>
      </c>
      <c r="L1273" s="5"/>
      <c r="M1273" s="5"/>
      <c r="N1273" s="5"/>
      <c r="O1273" s="5"/>
    </row>
    <row r="1274">
      <c r="A1274" s="1"/>
      <c r="B1274" s="1" t="str">
        <v>Ligne fictive 0652</v>
      </c>
      <c r="C1274" s="1" t="str">
        <v>u</v>
      </c>
      <c r="D1274" s="5" t="n">
        <v>2</v>
      </c>
      <c r="E1274" s="5" t="n">
        <f>G1274*$L$2+J1274*$M$2*$O$2</f>
        <v>18.148</v>
      </c>
      <c r="F1274" s="5" t="n">
        <f>ROUND(D1274*E1274,2)</f>
        <v>36.3</v>
      </c>
      <c r="G1274" s="5" t="n">
        <v>3.96</v>
      </c>
      <c r="H1274" s="5" t="n">
        <f>D1274*G1274</f>
        <v>7.92</v>
      </c>
      <c r="I1274" s="5" t="n">
        <v>0.25</v>
      </c>
      <c r="J1274" s="5" t="n">
        <f>I1274*(1+$N$2)</f>
        <v>0.25</v>
      </c>
      <c r="K1274" s="5" t="n">
        <f>D1274*J1274</f>
        <v>0.5</v>
      </c>
      <c r="L1274" s="5"/>
      <c r="M1274" s="5"/>
      <c r="N1274" s="5"/>
      <c r="O1274" s="5"/>
    </row>
    <row r="1275">
      <c r="A1275" s="1"/>
      <c r="B1275" s="1" t="str">
        <v>Ligne fictive 0653</v>
      </c>
      <c r="C1275" s="1" t="str">
        <v>ml</v>
      </c>
      <c r="D1275" s="5" t="n">
        <v>3</v>
      </c>
      <c r="E1275" s="5" t="n">
        <f>G1275*$L$2+J1275*$M$2*$O$2</f>
        <v>25.129</v>
      </c>
      <c r="F1275" s="5" t="n">
        <f>ROUND(D1275*E1275,2)</f>
        <v>75.39</v>
      </c>
      <c r="G1275" s="5" t="n">
        <v>4.33</v>
      </c>
      <c r="H1275" s="5" t="n">
        <f>D1275*G1275</f>
        <v>12.99</v>
      </c>
      <c r="I1275" s="5" t="n">
        <v>0.375</v>
      </c>
      <c r="J1275" s="5" t="n">
        <f>I1275*(1+$N$2)</f>
        <v>0.375</v>
      </c>
      <c r="K1275" s="5" t="n">
        <f>D1275*J1275</f>
        <v>1.125</v>
      </c>
      <c r="L1275" s="5"/>
      <c r="M1275" s="5"/>
      <c r="N1275" s="5"/>
      <c r="O1275" s="5"/>
    </row>
    <row r="1276">
      <c r="A1276" s="1"/>
      <c r="B1276" s="1" t="str">
        <v>Sous-total fictif 230</v>
      </c>
      <c r="C1276" s="1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</row>
    <row r="1277">
      <c r="A1277" s="1"/>
      <c r="B1277" s="6" t="str">
        <v>Section fictive 231</v>
      </c>
      <c r="C1277" s="1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</row>
    <row r="1278">
      <c r="A1278" s="1"/>
      <c r="B1278" s="1" t="str">
        <v>Ligne fictive 0654</v>
      </c>
      <c r="C1278" s="1" t="str">
        <v>m2</v>
      </c>
      <c r="D1278" s="5" t="n">
        <v>4</v>
      </c>
      <c r="E1278" s="5" t="n">
        <f>G1278*$L$2+J1278*$M$2*$O$2</f>
        <v>32.11</v>
      </c>
      <c r="F1278" s="5" t="n">
        <f>ROUND(D1278*E1278,2)</f>
        <v>128.44</v>
      </c>
      <c r="G1278" s="5" t="n">
        <v>4.7</v>
      </c>
      <c r="H1278" s="5" t="n">
        <f>D1278*G1278</f>
        <v>18.8</v>
      </c>
      <c r="I1278" s="5" t="n">
        <v>0.5</v>
      </c>
      <c r="J1278" s="5" t="n">
        <f>I1278*(1+$N$2)</f>
        <v>0.5</v>
      </c>
      <c r="K1278" s="5" t="n">
        <f>D1278*J1278</f>
        <v>2</v>
      </c>
      <c r="L1278" s="5"/>
      <c r="M1278" s="5"/>
      <c r="N1278" s="5"/>
      <c r="O1278" s="5"/>
    </row>
    <row r="1279">
      <c r="A1279" s="1"/>
      <c r="B1279" s="1" t="str">
        <v>Ligne fictive 0655</v>
      </c>
      <c r="C1279" s="1" t="str">
        <v>u</v>
      </c>
      <c r="D1279" s="5" t="n">
        <v>5</v>
      </c>
      <c r="E1279" s="5" t="n">
        <f>G1279*$L$2+J1279*$M$2*$O$2</f>
        <v>39.091</v>
      </c>
      <c r="F1279" s="5" t="n">
        <f>ROUND(D1279*E1279,2)</f>
        <v>195.46</v>
      </c>
      <c r="G1279" s="5" t="n">
        <v>5.07</v>
      </c>
      <c r="H1279" s="5" t="n">
        <f>D1279*G1279</f>
        <v>25.35</v>
      </c>
      <c r="I1279" s="5" t="n">
        <v>0.625</v>
      </c>
      <c r="J1279" s="5" t="n">
        <f>I1279*(1+$N$2)</f>
        <v>0.625</v>
      </c>
      <c r="K1279" s="5" t="n">
        <f>D1279*J1279</f>
        <v>3.125</v>
      </c>
      <c r="L1279" s="5"/>
      <c r="M1279" s="5"/>
      <c r="N1279" s="5"/>
      <c r="O1279" s="5"/>
    </row>
    <row r="1280">
      <c r="A1280" s="1"/>
      <c r="B1280" s="1" t="str">
        <v>Ligne fictive 0656</v>
      </c>
      <c r="C1280" s="1" t="str">
        <v>ml</v>
      </c>
      <c r="D1280" s="5" t="n">
        <v>1</v>
      </c>
      <c r="E1280" s="5" t="n">
        <f>G1280*$L$2+J1280*$M$2*$O$2</f>
        <v>13.572000000000001</v>
      </c>
      <c r="F1280" s="5" t="n">
        <f>ROUND(D1280*E1280,2)</f>
        <v>13.57</v>
      </c>
      <c r="G1280" s="5" t="n">
        <v>5.44</v>
      </c>
      <c r="H1280" s="5" t="n">
        <f>D1280*G1280</f>
        <v>5.44</v>
      </c>
      <c r="I1280" s="5" t="n">
        <v>0.125</v>
      </c>
      <c r="J1280" s="5" t="n">
        <f>I1280*(1+$N$2)</f>
        <v>0.125</v>
      </c>
      <c r="K1280" s="5" t="n">
        <f>D1280*J1280</f>
        <v>0.125</v>
      </c>
      <c r="L1280" s="5"/>
      <c r="M1280" s="5"/>
      <c r="N1280" s="5"/>
      <c r="O1280" s="5"/>
    </row>
    <row r="1281">
      <c r="A1281" s="1"/>
      <c r="B1281" s="1" t="str">
        <v>Statut fictif 082</v>
      </c>
      <c r="C1281" s="1" t="str">
        <v>PM</v>
      </c>
      <c r="D1281" s="5" t="n">
        <v>1</v>
      </c>
      <c r="E1281" s="5" t="n">
        <v>0</v>
      </c>
      <c r="F1281" s="5" t="n">
        <v>0</v>
      </c>
      <c r="G1281" s="5" t="n">
        <v>7.25</v>
      </c>
      <c r="H1281" s="5" t="n">
        <v>0</v>
      </c>
      <c r="I1281" s="5" t="n">
        <v>0.375</v>
      </c>
      <c r="J1281" s="5" t="n">
        <v>0</v>
      </c>
      <c r="K1281" s="5" t="n">
        <v>0</v>
      </c>
      <c r="L1281" s="5"/>
      <c r="M1281" s="5"/>
      <c r="N1281" s="5"/>
      <c r="O1281" s="5"/>
    </row>
    <row r="1282">
      <c r="A1282" s="1"/>
      <c r="B1282" s="1" t="str">
        <v>Réserve fictive 0081</v>
      </c>
      <c r="C1282" s="1" t="str">
        <v>u</v>
      </c>
      <c r="D1282" s="5"/>
      <c r="E1282" s="5" t="n">
        <v>0</v>
      </c>
      <c r="F1282" s="5" t="n">
        <v>0</v>
      </c>
      <c r="G1282" s="5" t="n">
        <v>0</v>
      </c>
      <c r="H1282" s="5" t="n">
        <v>0</v>
      </c>
      <c r="I1282" s="5" t="n">
        <v>0</v>
      </c>
      <c r="J1282" s="5" t="n">
        <v>0</v>
      </c>
      <c r="K1282" s="5" t="n">
        <v>0</v>
      </c>
      <c r="L1282" s="5"/>
      <c r="M1282" s="5"/>
      <c r="N1282" s="5"/>
      <c r="O1282" s="5"/>
    </row>
    <row r="1283">
      <c r="A1283" s="1"/>
      <c r="B1283" s="1" t="str">
        <v>Total fictif HT</v>
      </c>
      <c r="C1283" s="1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</row>
  </sheetData>
  <pageMargins left="0.7" right="0.7" top="0.75" bottom="0.75" header="0.3" footer="0.3"/>
</worksheet>
</file>